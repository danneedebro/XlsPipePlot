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9" l="1"/>
  <c r="D7" i="9"/>
  <c r="D8" i="9"/>
  <c r="Q62" i="11" l="1"/>
  <c r="H31" i="11"/>
  <c r="D64" i="11" l="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<sst xmlns="http://schemas.openxmlformats.org/spreadsheetml/2006/main" count="505" uniqueCount="83">
  <si>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</si>
  <si>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</si>
  <si>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</si>
  <si>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</si>
  <si>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</si>
  <si>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</si>
  <si>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</si>
  <si>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</si>
  <si>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</si>
  <si>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</si>
  <si>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</si>
  <si>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</si>
  <si>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</si>
  <si>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</si>
  <si>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</si>
  <si>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</si>
  <si>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</si>
  <si>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</si>
  <si>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</si>
  <si>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</si>
  <si>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</si>
  <si>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</si>
  <si>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</si>
  <si>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</si>
  <si>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</si>
  <si>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</si>
  <si>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</si>
  <si>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</si>
  <si>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</si>
  <si>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</si>
  <si>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</si>
  <si>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</si>
  <si>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</si>
  <si>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</si>
  <si>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</si>
  <si>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</si>
  <si>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</si>
  <si>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</si>
  <si>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</si>
  <si>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</si>
  <si>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</si>
  <si>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</si>
  <si>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</si>
  <si>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</si>
  <si>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</si>
  <si>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</si>
  <si>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</si>
  <si>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</si>
  <si>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</si>
  <si>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</si>
  <si>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</si>
  <si>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</si>
  <si>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</si>
  <si>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</si>
  <si>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</si>
  <si>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</si>
  <si>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</si>
  <si>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</si>
  <si>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</si>
  <si>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</si>
  <si>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</si>
  <si>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</si>
  <si>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</si>
  <si>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</si>
  <si>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</si>
  <si>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</si>
  <si>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</si>
  <si>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</si>
  <si>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</si>
  <si>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</si>
  <si>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</si>
  <si>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</si>
  <si>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</si>
  <si>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</si>
  <si>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</si>
  <si>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</si>
  <si>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</si>
  <si>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</si>
  <si>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</si>
  <si>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</si>
  <si>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</si>
  <si>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</si>
  <si>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Debug2.scad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</si>
</sst>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37"/>
  <sheetViews>
    <sheetView tabSelected="1" zoomScale="85" zoomScaleNormal="85" workbookViewId="0">
      <pane ySplit="4" topLeftCell="A104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82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ht="14.45" customHeight="1" x14ac:dyDescent="0.25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x14ac:dyDescent="0.25">
      <c r="A7" t="s">
        <v>42</v>
      </c>
      <c r="D7" s="5" t="str">
        <f>HYPERLINK(SUBSTITUTE(D6,"XlsPipePlot.exe","stdlib\"))</f>
        <v>"..\stdlib\"</v>
      </c>
      <c r="F7" t="s">
        <v>81</v>
      </c>
      <c r="O7"/>
      <c r="P7"/>
    </row>
    <row r="8" spans="1:26" ht="14.45" x14ac:dyDescent="0.3">
      <c r="A8" s="41" t="s">
        <v>33</v>
      </c>
      <c r="B8" s="41"/>
      <c r="C8" s="41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D27</f>
        <v>PIPE_27</v>
      </c>
      <c r="C13" s="40" t="s">
        <v>43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6" ht="14.45" x14ac:dyDescent="0.3">
      <c r="A17" s="21"/>
      <c r="B17" s="22"/>
      <c r="C17" s="23"/>
      <c r="D17" s="24"/>
      <c r="E17" s="25"/>
      <c r="F17" s="26"/>
      <c r="O17"/>
      <c r="P17"/>
    </row>
    <row r="18" spans="1:26" ht="14.45" x14ac:dyDescent="0.3">
      <c r="A18" s="27"/>
      <c r="B18" s="27"/>
      <c r="C18" s="27"/>
      <c r="D18" s="28"/>
      <c r="E18" s="28"/>
      <c r="F18" s="28"/>
      <c r="O18"/>
      <c r="P18"/>
    </row>
    <row r="19" spans="1:26" ht="14.45" x14ac:dyDescent="0.3">
      <c r="O19"/>
      <c r="P19"/>
    </row>
    <row r="20" spans="1:26" ht="14.45" x14ac:dyDescent="0.3">
      <c r="O20"/>
      <c r="P20"/>
    </row>
    <row r="21" spans="1:26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ht="14.45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ht="14.45" x14ac:dyDescent="0.3">
      <c r="A26" s="7" t="s">
        <v>25</v>
      </c>
      <c r="B26" s="7" t="s">
        <v>69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ht="14.45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ht="14.45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ht="14.45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ht="14.45" x14ac:dyDescent="0.3">
      <c r="A31" s="7" t="s">
        <v>47</v>
      </c>
      <c r="B31" s="7" t="s">
        <v>9</v>
      </c>
      <c r="C31" s="30" t="s">
        <v>52</v>
      </c>
      <c r="D31" s="7" t="str">
        <f>CONCATENATE("COMP_",ROW())</f>
        <v>COMP_31</v>
      </c>
      <c r="E31" s="7" t="s">
        <v>53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ht="14.45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ht="14.45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ht="14.45" x14ac:dyDescent="0.3">
      <c r="A39" s="7" t="s">
        <v>47</v>
      </c>
      <c r="B39" s="7" t="s">
        <v>10</v>
      </c>
      <c r="C39" s="30" t="s">
        <v>54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ht="14.45" x14ac:dyDescent="0.3">
      <c r="A40" s="7" t="s">
        <v>65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ht="14.45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ht="14.45" x14ac:dyDescent="0.3">
      <c r="A47" s="7" t="s">
        <v>25</v>
      </c>
      <c r="B47" s="7" t="s">
        <v>66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ht="14.45" x14ac:dyDescent="0.3">
      <c r="A48" s="7" t="s">
        <v>47</v>
      </c>
      <c r="B48" s="7" t="s">
        <v>10</v>
      </c>
      <c r="C48" s="30" t="s">
        <v>54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ht="14.45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ht="14.45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55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x14ac:dyDescent="0.25">
      <c r="A53" s="7" t="s">
        <v>47</v>
      </c>
      <c r="B53" s="7" t="s">
        <v>9</v>
      </c>
      <c r="C53" s="30" t="s">
        <v>56</v>
      </c>
      <c r="D53" s="7" t="str">
        <f>CONCATENATE("COMP_",ROW())</f>
        <v>COMP_53</v>
      </c>
      <c r="E53" s="7" t="s">
        <v>53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x14ac:dyDescent="0.25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x14ac:dyDescent="0.25">
      <c r="A57" s="7" t="s">
        <v>47</v>
      </c>
      <c r="B57" s="7" t="s">
        <v>9</v>
      </c>
      <c r="C57" s="30" t="s">
        <v>57</v>
      </c>
      <c r="D57" s="7" t="str">
        <f>CONCATENATE("COMP_",ROW())</f>
        <v>COMP_57</v>
      </c>
      <c r="E57" s="7" t="s">
        <v>53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x14ac:dyDescent="0.25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x14ac:dyDescent="0.25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x14ac:dyDescent="0.25">
      <c r="A64" s="7" t="s">
        <v>25</v>
      </c>
      <c r="B64" s="7" t="s">
        <v>67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x14ac:dyDescent="0.25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x14ac:dyDescent="0.25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x14ac:dyDescent="0.25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x14ac:dyDescent="0.25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x14ac:dyDescent="0.25">
      <c r="A74" s="7" t="s">
        <v>47</v>
      </c>
      <c r="B74" s="7" t="s">
        <v>9</v>
      </c>
      <c r="C74" s="30" t="s">
        <v>64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58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59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60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25">
      <c r="A91" s="7" t="s">
        <v>30</v>
      </c>
      <c r="B91" s="7" t="s">
        <v>21</v>
      </c>
      <c r="C91" s="30" t="s">
        <v>61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68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62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62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62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62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25">
      <c r="A102" s="7" t="s">
        <v>47</v>
      </c>
      <c r="B102" s="7" t="s">
        <v>10</v>
      </c>
      <c r="C102" s="30" t="s">
        <v>63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62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62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62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72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62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62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62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62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62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70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62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62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62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62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62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71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62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zoomScale="85" zoomScaleNormal="85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-90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25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D28</f>
        <v>JUNC_28</v>
      </c>
      <c r="R62" s="31">
        <v>1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25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2019-08-31T08:37:32Z</dcterms:modified>
</cp:coreProperties>
</file>