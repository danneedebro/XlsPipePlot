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23250" windowHeight="12720" activeTab="3"/>
  </bookViews>
  <sheets>
    <sheet name="BDAHSG-01" sheetId="9" r:id="rId1"/>
    <sheet name="Simple" sheetId="12" r:id="rId2"/>
    <sheet name="Simple (2)" sheetId="13" r:id="rId3"/>
    <sheet name="Simple (3)" sheetId="17" r:id="rId4"/>
    <sheet name="Blad1" sheetId="14" r:id="rId5"/>
    <sheet name="Blad2" sheetId="15" r:id="rId6"/>
    <sheet name="Blad3" sheetId="16" r:id="rId7"/>
    <sheet name="Blad4" sheetId="18" r:id="rId8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6" i="16" l="1"/>
  <c r="C28" i="16" s="1"/>
  <c r="Q107" i="17"/>
  <c r="D107" i="17"/>
  <c r="N82" i="9"/>
  <c r="M82" i="9"/>
  <c r="X93" i="17" l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92" i="17"/>
  <c r="Z91" i="17"/>
  <c r="Z92" i="17" s="1"/>
  <c r="Z93" i="17" s="1"/>
  <c r="Z94" i="17" s="1"/>
  <c r="Z95" i="17" s="1"/>
  <c r="Z96" i="17" s="1"/>
  <c r="Z97" i="17" s="1"/>
  <c r="Z98" i="17" s="1"/>
  <c r="Z99" i="17" s="1"/>
  <c r="Z100" i="17" s="1"/>
  <c r="Z101" i="17" s="1"/>
  <c r="Z102" i="17" s="1"/>
  <c r="Z103" i="17" s="1"/>
  <c r="Z104" i="17" s="1"/>
  <c r="Y91" i="17"/>
  <c r="Y92" i="17" s="1"/>
  <c r="Y93" i="17" s="1"/>
  <c r="Y94" i="17" s="1"/>
  <c r="Y95" i="17" s="1"/>
  <c r="Y96" i="17" s="1"/>
  <c r="Y97" i="17" s="1"/>
  <c r="Y98" i="17" s="1"/>
  <c r="Y99" i="17" s="1"/>
  <c r="Y100" i="17" s="1"/>
  <c r="Y101" i="17" s="1"/>
  <c r="Y102" i="17" s="1"/>
  <c r="Y103" i="17" s="1"/>
  <c r="Y104" i="17" s="1"/>
  <c r="X91" i="17"/>
  <c r="Z85" i="17"/>
  <c r="Z86" i="17" s="1"/>
  <c r="Z87" i="17" s="1"/>
  <c r="Z88" i="17" s="1"/>
  <c r="Z84" i="17"/>
  <c r="Y84" i="17"/>
  <c r="Y85" i="17" s="1"/>
  <c r="Y86" i="17" s="1"/>
  <c r="Y87" i="17" s="1"/>
  <c r="Y88" i="17" s="1"/>
  <c r="X84" i="17"/>
  <c r="X85" i="17" s="1"/>
  <c r="X86" i="17" s="1"/>
  <c r="X87" i="17" s="1"/>
  <c r="X88" i="17" s="1"/>
  <c r="Y81" i="17"/>
  <c r="X81" i="17"/>
  <c r="Z80" i="17"/>
  <c r="Z81" i="17" s="1"/>
  <c r="Y80" i="17"/>
  <c r="X80" i="17"/>
  <c r="Y72" i="17"/>
  <c r="Y73" i="17" s="1"/>
  <c r="Y74" i="17" s="1"/>
  <c r="Y75" i="17" s="1"/>
  <c r="Y76" i="17" s="1"/>
  <c r="Y77" i="17" s="1"/>
  <c r="Y71" i="17"/>
  <c r="X71" i="17"/>
  <c r="X72" i="17" s="1"/>
  <c r="X73" i="17" s="1"/>
  <c r="X74" i="17" s="1"/>
  <c r="X75" i="17" s="1"/>
  <c r="X76" i="17" s="1"/>
  <c r="X77" i="17" s="1"/>
  <c r="Z70" i="17"/>
  <c r="Z71" i="17" s="1"/>
  <c r="Z72" i="17" s="1"/>
  <c r="Z73" i="17" s="1"/>
  <c r="Z74" i="17" s="1"/>
  <c r="Z75" i="17" s="1"/>
  <c r="Z76" i="17" s="1"/>
  <c r="Z77" i="17" s="1"/>
  <c r="Y70" i="17"/>
  <c r="X70" i="17"/>
  <c r="Y57" i="17"/>
  <c r="Y58" i="17" s="1"/>
  <c r="Y59" i="17" s="1"/>
  <c r="Y60" i="17" s="1"/>
  <c r="Y61" i="17" s="1"/>
  <c r="Y62" i="17" s="1"/>
  <c r="Y63" i="17" s="1"/>
  <c r="Y64" i="17" s="1"/>
  <c r="Y65" i="17" s="1"/>
  <c r="Y66" i="17" s="1"/>
  <c r="Y56" i="17"/>
  <c r="X56" i="17"/>
  <c r="X57" i="17" s="1"/>
  <c r="X58" i="17" s="1"/>
  <c r="X59" i="17" s="1"/>
  <c r="X60" i="17" s="1"/>
  <c r="X61" i="17" s="1"/>
  <c r="X62" i="17" s="1"/>
  <c r="X63" i="17" s="1"/>
  <c r="X64" i="17" s="1"/>
  <c r="X65" i="17" s="1"/>
  <c r="X66" i="17" s="1"/>
  <c r="Z55" i="17"/>
  <c r="Z56" i="17" s="1"/>
  <c r="Z57" i="17" s="1"/>
  <c r="Z58" i="17" s="1"/>
  <c r="Z59" i="17" s="1"/>
  <c r="Z60" i="17" s="1"/>
  <c r="Z61" i="17" s="1"/>
  <c r="Z62" i="17" s="1"/>
  <c r="Z63" i="17" s="1"/>
  <c r="Z64" i="17" s="1"/>
  <c r="Z65" i="17" s="1"/>
  <c r="Z66" i="17" s="1"/>
  <c r="Y55" i="17"/>
  <c r="X55" i="17"/>
  <c r="Z35" i="17"/>
  <c r="Z36" i="17" s="1"/>
  <c r="Z37" i="17" s="1"/>
  <c r="Z38" i="17" s="1"/>
  <c r="Z39" i="17" s="1"/>
  <c r="Z40" i="17" s="1"/>
  <c r="Z41" i="17" s="1"/>
  <c r="Z42" i="17" s="1"/>
  <c r="Z43" i="17" s="1"/>
  <c r="Z44" i="17" s="1"/>
  <c r="Z45" i="17" s="1"/>
  <c r="Z46" i="17" s="1"/>
  <c r="Z47" i="17" s="1"/>
  <c r="Z48" i="17" s="1"/>
  <c r="Z49" i="17" s="1"/>
  <c r="Z50" i="17" s="1"/>
  <c r="Z51" i="17" s="1"/>
  <c r="Z34" i="17"/>
  <c r="Y34" i="17"/>
  <c r="Y35" i="17" s="1"/>
  <c r="Y36" i="17" s="1"/>
  <c r="Y37" i="17" s="1"/>
  <c r="Y38" i="17" s="1"/>
  <c r="Y39" i="17" s="1"/>
  <c r="Y40" i="17" s="1"/>
  <c r="Y41" i="17" s="1"/>
  <c r="Y42" i="17" s="1"/>
  <c r="Y43" i="17" s="1"/>
  <c r="Y44" i="17" s="1"/>
  <c r="Y45" i="17" s="1"/>
  <c r="Y46" i="17" s="1"/>
  <c r="Y47" i="17" s="1"/>
  <c r="Y48" i="17" s="1"/>
  <c r="Y49" i="17" s="1"/>
  <c r="Y50" i="17" s="1"/>
  <c r="Y51" i="17" s="1"/>
  <c r="Z33" i="17"/>
  <c r="Y33" i="17"/>
  <c r="X33" i="17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D101" i="17"/>
  <c r="D100" i="17"/>
  <c r="Q91" i="17"/>
  <c r="D92" i="17"/>
  <c r="D91" i="17"/>
  <c r="Q95" i="17"/>
  <c r="D93" i="17"/>
  <c r="D95" i="17"/>
  <c r="D103" i="17"/>
  <c r="D97" i="17"/>
  <c r="S95" i="17" s="1"/>
  <c r="D98" i="17"/>
  <c r="D99" i="17"/>
  <c r="D102" i="17"/>
  <c r="S84" i="17"/>
  <c r="Q84" i="17"/>
  <c r="D84" i="17"/>
  <c r="D85" i="17"/>
  <c r="D86" i="17"/>
  <c r="D87" i="17"/>
  <c r="D37" i="17"/>
  <c r="S35" i="17" s="1"/>
  <c r="M80" i="17"/>
  <c r="D80" i="17"/>
  <c r="D76" i="17"/>
  <c r="S74" i="17" s="1"/>
  <c r="H74" i="17"/>
  <c r="H76" i="17" s="1"/>
  <c r="D74" i="17"/>
  <c r="Q80" i="17" s="1"/>
  <c r="D72" i="17"/>
  <c r="Q74" i="17" s="1"/>
  <c r="D70" i="17"/>
  <c r="D65" i="17"/>
  <c r="D63" i="17"/>
  <c r="Q65" i="17" s="1"/>
  <c r="D62" i="17"/>
  <c r="S60" i="17"/>
  <c r="Q60" i="17"/>
  <c r="D60" i="17"/>
  <c r="D58" i="17"/>
  <c r="D57" i="17"/>
  <c r="S55" i="17"/>
  <c r="D55" i="17"/>
  <c r="D50" i="17"/>
  <c r="S48" i="17" s="1"/>
  <c r="Q48" i="17"/>
  <c r="D48" i="17"/>
  <c r="D46" i="17"/>
  <c r="Q70" i="17" s="1"/>
  <c r="D45" i="17"/>
  <c r="D44" i="17"/>
  <c r="S65" i="17" s="1"/>
  <c r="D42" i="17"/>
  <c r="D40" i="17"/>
  <c r="Q55" i="17" s="1"/>
  <c r="D39" i="17"/>
  <c r="D38" i="17"/>
  <c r="D35" i="17"/>
  <c r="D33" i="17"/>
  <c r="Q35" i="17" s="1"/>
  <c r="D8" i="17"/>
  <c r="D7" i="17"/>
  <c r="B3" i="17"/>
  <c r="Q6" i="16"/>
  <c r="B13" i="17" l="1"/>
  <c r="S70" i="17"/>
  <c r="Q42" i="17"/>
  <c r="S42" i="17"/>
  <c r="Q80" i="13" l="1"/>
  <c r="M80" i="13"/>
  <c r="D80" i="13"/>
  <c r="S74" i="13"/>
  <c r="H76" i="13"/>
  <c r="D76" i="13"/>
  <c r="H74" i="13"/>
  <c r="Q74" i="13"/>
  <c r="D74" i="13"/>
  <c r="Q70" i="13"/>
  <c r="D72" i="13"/>
  <c r="S70" i="13" s="1"/>
  <c r="D70" i="13"/>
  <c r="D65" i="13"/>
  <c r="D63" i="13"/>
  <c r="Q65" i="13" s="1"/>
  <c r="D62" i="13"/>
  <c r="S60" i="13" s="1"/>
  <c r="Q60" i="13"/>
  <c r="D60" i="13"/>
  <c r="D58" i="13"/>
  <c r="D57" i="13"/>
  <c r="S55" i="13" s="1"/>
  <c r="D55" i="13"/>
  <c r="D50" i="13"/>
  <c r="S48" i="13"/>
  <c r="D48" i="13"/>
  <c r="D46" i="13"/>
  <c r="Q48" i="13" s="1"/>
  <c r="D45" i="13"/>
  <c r="D44" i="13"/>
  <c r="S65" i="13" s="1"/>
  <c r="S42" i="13"/>
  <c r="Q42" i="13"/>
  <c r="D42" i="13"/>
  <c r="D40" i="13"/>
  <c r="Q55" i="13" s="1"/>
  <c r="D39" i="13"/>
  <c r="D38" i="13"/>
  <c r="D37" i="13"/>
  <c r="S35" i="13" s="1"/>
  <c r="D35" i="13"/>
  <c r="D33" i="13"/>
  <c r="B13" i="13" s="1"/>
  <c r="D8" i="13"/>
  <c r="D7" i="13"/>
  <c r="B3" i="13"/>
  <c r="Q35" i="13" l="1"/>
  <c r="B13" i="12"/>
  <c r="D65" i="12"/>
  <c r="D63" i="12"/>
  <c r="Q65" i="12" s="1"/>
  <c r="D62" i="12"/>
  <c r="S60" i="12" s="1"/>
  <c r="D60" i="12"/>
  <c r="D58" i="12"/>
  <c r="Q60" i="12" s="1"/>
  <c r="D57" i="12"/>
  <c r="S55" i="12"/>
  <c r="D55" i="12"/>
  <c r="D50" i="12"/>
  <c r="S48" i="12"/>
  <c r="Q48" i="12"/>
  <c r="D48" i="12"/>
  <c r="D46" i="12"/>
  <c r="D45" i="12"/>
  <c r="D44" i="12"/>
  <c r="S65" i="12" s="1"/>
  <c r="D42" i="12"/>
  <c r="D40" i="12"/>
  <c r="Q42" i="12" s="1"/>
  <c r="D39" i="12"/>
  <c r="D38" i="12"/>
  <c r="D37" i="12"/>
  <c r="S35" i="12"/>
  <c r="Q35" i="12"/>
  <c r="D35" i="12"/>
  <c r="D33" i="12"/>
  <c r="D8" i="12"/>
  <c r="D7" i="12"/>
  <c r="B3" i="12"/>
  <c r="Q55" i="12" l="1"/>
  <c r="S42" i="12"/>
  <c r="D142" i="9"/>
  <c r="D132" i="9"/>
  <c r="D121" i="9"/>
  <c r="D116" i="9"/>
  <c r="D110" i="9"/>
  <c r="D103" i="9"/>
  <c r="D82" i="9"/>
  <c r="D73" i="9"/>
  <c r="D65" i="9"/>
  <c r="D61" i="9"/>
  <c r="D56" i="9"/>
  <c r="D47" i="9"/>
  <c r="D39" i="9"/>
  <c r="D7" i="9" l="1"/>
  <c r="D8" i="9"/>
  <c r="X34" i="9" l="1"/>
  <c r="Y34" i="9"/>
  <c r="Z34" i="9"/>
  <c r="Z142" i="9"/>
  <c r="Z143" i="9" s="1"/>
  <c r="Y142" i="9"/>
  <c r="Y143" i="9" s="1"/>
  <c r="X142" i="9"/>
  <c r="X143" i="9" s="1"/>
  <c r="X144" i="9" s="1"/>
  <c r="X145" i="9" s="1"/>
  <c r="Z132" i="9"/>
  <c r="Z133" i="9" s="1"/>
  <c r="Z134" i="9" s="1"/>
  <c r="Z135" i="9" s="1"/>
  <c r="Y132" i="9"/>
  <c r="Y133" i="9" s="1"/>
  <c r="Y134" i="9" s="1"/>
  <c r="Y135" i="9" s="1"/>
  <c r="Y136" i="9" s="1"/>
  <c r="Y137" i="9" s="1"/>
  <c r="Y138" i="9" s="1"/>
  <c r="Y139" i="9" s="1"/>
  <c r="X132" i="9"/>
  <c r="X133" i="9" s="1"/>
  <c r="X134" i="9" s="1"/>
  <c r="X135" i="9" s="1"/>
  <c r="X136" i="9" s="1"/>
  <c r="X137" i="9" s="1"/>
  <c r="X138" i="9" s="1"/>
  <c r="X139" i="9" s="1"/>
  <c r="Z121" i="9"/>
  <c r="Z122" i="9" s="1"/>
  <c r="Y121" i="9"/>
  <c r="Y122" i="9" s="1"/>
  <c r="X121" i="9"/>
  <c r="X122" i="9" s="1"/>
  <c r="Z103" i="9"/>
  <c r="Z104" i="9" s="1"/>
  <c r="Z105" i="9" s="1"/>
  <c r="Y103" i="9"/>
  <c r="Y104" i="9" s="1"/>
  <c r="X103" i="9"/>
  <c r="X104" i="9" s="1"/>
  <c r="Z94" i="9"/>
  <c r="Z95" i="9" s="1"/>
  <c r="Y94" i="9"/>
  <c r="Y95" i="9" s="1"/>
  <c r="X94" i="9"/>
  <c r="X95" i="9" s="1"/>
  <c r="Z73" i="9"/>
  <c r="Z74" i="9" s="1"/>
  <c r="Z75" i="9" s="1"/>
  <c r="Z76" i="9" s="1"/>
  <c r="Z77" i="9" s="1"/>
  <c r="Z78" i="9" s="1"/>
  <c r="Y73" i="9"/>
  <c r="Y74" i="9" s="1"/>
  <c r="Y75" i="9" s="1"/>
  <c r="Y76" i="9" s="1"/>
  <c r="Y77" i="9" s="1"/>
  <c r="Y78" i="9" s="1"/>
  <c r="Y79" i="9" s="1"/>
  <c r="X73" i="9"/>
  <c r="X74" i="9" s="1"/>
  <c r="X75" i="9" s="1"/>
  <c r="X76" i="9" s="1"/>
  <c r="X77" i="9" s="1"/>
  <c r="X78" i="9" s="1"/>
  <c r="X79" i="9" s="1"/>
  <c r="X80" i="9" s="1"/>
  <c r="X81" i="9" s="1"/>
  <c r="X82" i="9" s="1"/>
  <c r="X83" i="9" s="1"/>
  <c r="X84" i="9" s="1"/>
  <c r="X85" i="9" s="1"/>
  <c r="F84" i="9"/>
  <c r="D84" i="9"/>
  <c r="S82" i="9" s="1"/>
  <c r="F80" i="9"/>
  <c r="D80" i="9"/>
  <c r="Q82" i="9" s="1"/>
  <c r="F79" i="9"/>
  <c r="D79" i="9"/>
  <c r="D78" i="9"/>
  <c r="D77" i="9"/>
  <c r="D76" i="9"/>
  <c r="D75" i="9"/>
  <c r="S73" i="9" s="1"/>
  <c r="G144" i="9"/>
  <c r="D144" i="9"/>
  <c r="S142" i="9" s="1"/>
  <c r="D138" i="9"/>
  <c r="D137" i="9"/>
  <c r="L136" i="9"/>
  <c r="D136" i="9"/>
  <c r="D135" i="9"/>
  <c r="D134" i="9"/>
  <c r="S132" i="9" s="1"/>
  <c r="D127" i="9"/>
  <c r="D126" i="9"/>
  <c r="D125" i="9"/>
  <c r="D124" i="9"/>
  <c r="F123" i="9"/>
  <c r="D123" i="9"/>
  <c r="S121" i="9" s="1"/>
  <c r="D114" i="9"/>
  <c r="Q116" i="9" s="1"/>
  <c r="D113" i="9"/>
  <c r="F112" i="9"/>
  <c r="D112" i="9"/>
  <c r="S110" i="9" s="1"/>
  <c r="F108" i="9"/>
  <c r="D108" i="9"/>
  <c r="Q110" i="9" s="1"/>
  <c r="F107" i="9"/>
  <c r="D107" i="9"/>
  <c r="F106" i="9"/>
  <c r="D106" i="9"/>
  <c r="F105" i="9"/>
  <c r="D105" i="9"/>
  <c r="S103" i="9" s="1"/>
  <c r="R103" i="9"/>
  <c r="M99" i="9"/>
  <c r="O99" i="9" s="1"/>
  <c r="D99" i="9"/>
  <c r="Q121" i="9" s="1"/>
  <c r="M94" i="9"/>
  <c r="O94" i="9" s="1"/>
  <c r="D94" i="9"/>
  <c r="Q132" i="9" s="1"/>
  <c r="F68" i="9"/>
  <c r="D68" i="9"/>
  <c r="F67" i="9"/>
  <c r="D67" i="9"/>
  <c r="S65" i="9" s="1"/>
  <c r="F63" i="9"/>
  <c r="D63" i="9"/>
  <c r="Q65" i="9" s="1"/>
  <c r="F59" i="9"/>
  <c r="D59" i="9"/>
  <c r="Q61" i="9" s="1"/>
  <c r="F58" i="9"/>
  <c r="D58" i="9"/>
  <c r="S56" i="9" s="1"/>
  <c r="D45" i="9"/>
  <c r="Q47" i="9" s="1"/>
  <c r="D44" i="9"/>
  <c r="D43" i="9"/>
  <c r="B21" i="9" s="1"/>
  <c r="D42" i="9"/>
  <c r="F41" i="9"/>
  <c r="D41" i="9"/>
  <c r="S39" i="9" s="1"/>
  <c r="F37" i="9"/>
  <c r="D37" i="9"/>
  <c r="Q39" i="9" s="1"/>
  <c r="D36" i="9"/>
  <c r="F35" i="9"/>
  <c r="X35" i="9" s="1"/>
  <c r="X36" i="9" s="1"/>
  <c r="X37" i="9" s="1"/>
  <c r="X38" i="9" s="1"/>
  <c r="X39" i="9" s="1"/>
  <c r="X40" i="9" s="1"/>
  <c r="D35" i="9"/>
  <c r="B13" i="9" s="1"/>
  <c r="H106" i="9"/>
  <c r="Y123" i="9" l="1"/>
  <c r="Y124" i="9" s="1"/>
  <c r="Y125" i="9" s="1"/>
  <c r="Y126" i="9" s="1"/>
  <c r="Y127" i="9" s="1"/>
  <c r="Y128" i="9" s="1"/>
  <c r="X41" i="9"/>
  <c r="X42" i="9" s="1"/>
  <c r="X43" i="9" s="1"/>
  <c r="X44" i="9" s="1"/>
  <c r="X45" i="9" s="1"/>
  <c r="X46" i="9" s="1"/>
  <c r="X47" i="9" s="1"/>
  <c r="X48" i="9" s="1"/>
  <c r="Y105" i="9"/>
  <c r="Y106" i="9" s="1"/>
  <c r="Y107" i="9" s="1"/>
  <c r="Y108" i="9" s="1"/>
  <c r="Y109" i="9" s="1"/>
  <c r="Y110" i="9" s="1"/>
  <c r="Y111" i="9" s="1"/>
  <c r="Y112" i="9" s="1"/>
  <c r="Y113" i="9" s="1"/>
  <c r="Y114" i="9" s="1"/>
  <c r="Y115" i="9" s="1"/>
  <c r="Y116" i="9" s="1"/>
  <c r="Y117" i="9" s="1"/>
  <c r="Y80" i="9"/>
  <c r="Y81" i="9" s="1"/>
  <c r="Y82" i="9" s="1"/>
  <c r="Y83" i="9" s="1"/>
  <c r="Y84" i="9" s="1"/>
  <c r="Y85" i="9" s="1"/>
  <c r="X123" i="9"/>
  <c r="X124" i="9" s="1"/>
  <c r="X125" i="9" s="1"/>
  <c r="X126" i="9" s="1"/>
  <c r="X127" i="9" s="1"/>
  <c r="X128" i="9" s="1"/>
  <c r="X55" i="9"/>
  <c r="X56" i="9" s="1"/>
  <c r="X57" i="9" s="1"/>
  <c r="X58" i="9" s="1"/>
  <c r="X59" i="9" s="1"/>
  <c r="X60" i="9" s="1"/>
  <c r="X61" i="9" s="1"/>
  <c r="X62" i="9" s="1"/>
  <c r="X63" i="9" s="1"/>
  <c r="X64" i="9" s="1"/>
  <c r="X65" i="9" s="1"/>
  <c r="X66" i="9" s="1"/>
  <c r="X67" i="9" s="1"/>
  <c r="X68" i="9" s="1"/>
  <c r="X69" i="9" s="1"/>
  <c r="X98" i="9"/>
  <c r="X99" i="9" s="1"/>
  <c r="X100" i="9" s="1"/>
  <c r="Y35" i="9"/>
  <c r="Y36" i="9" s="1"/>
  <c r="Y37" i="9" s="1"/>
  <c r="Y38" i="9" s="1"/>
  <c r="Y39" i="9" s="1"/>
  <c r="Y40" i="9" s="1"/>
  <c r="Y41" i="9" s="1"/>
  <c r="Y42" i="9" s="1"/>
  <c r="Y43" i="9" s="1"/>
  <c r="Y44" i="9" s="1"/>
  <c r="Y45" i="9" s="1"/>
  <c r="Y46" i="9" s="1"/>
  <c r="Y47" i="9" s="1"/>
  <c r="Y48" i="9" s="1"/>
  <c r="Z79" i="9"/>
  <c r="Z80" i="9" s="1"/>
  <c r="Z81" i="9" s="1"/>
  <c r="Z82" i="9" s="1"/>
  <c r="Z83" i="9" s="1"/>
  <c r="Z84" i="9" s="1"/>
  <c r="Z85" i="9" s="1"/>
  <c r="Y144" i="9"/>
  <c r="Y145" i="9" s="1"/>
  <c r="Z106" i="9"/>
  <c r="Z107" i="9" s="1"/>
  <c r="Z108" i="9" s="1"/>
  <c r="Z109" i="9" s="1"/>
  <c r="Z110" i="9" s="1"/>
  <c r="Z111" i="9" s="1"/>
  <c r="Z112" i="9" s="1"/>
  <c r="Z113" i="9" s="1"/>
  <c r="Z114" i="9" s="1"/>
  <c r="Z115" i="9" s="1"/>
  <c r="Z116" i="9" s="1"/>
  <c r="Z117" i="9" s="1"/>
  <c r="Z35" i="9"/>
  <c r="Z36" i="9" s="1"/>
  <c r="Z37" i="9" s="1"/>
  <c r="Z38" i="9" s="1"/>
  <c r="Z39" i="9" s="1"/>
  <c r="Z40" i="9" s="1"/>
  <c r="Z41" i="9" s="1"/>
  <c r="Z42" i="9" s="1"/>
  <c r="Z43" i="9" s="1"/>
  <c r="Z44" i="9" s="1"/>
  <c r="Z45" i="9" s="1"/>
  <c r="Z46" i="9" s="1"/>
  <c r="Z47" i="9" s="1"/>
  <c r="Z48" i="9" s="1"/>
  <c r="X105" i="9"/>
  <c r="X106" i="9" s="1"/>
  <c r="X107" i="9" s="1"/>
  <c r="X108" i="9" s="1"/>
  <c r="X109" i="9" s="1"/>
  <c r="X110" i="9" s="1"/>
  <c r="X111" i="9" s="1"/>
  <c r="X112" i="9" s="1"/>
  <c r="X113" i="9" s="1"/>
  <c r="X114" i="9" s="1"/>
  <c r="X115" i="9" s="1"/>
  <c r="X116" i="9" s="1"/>
  <c r="X117" i="9" s="1"/>
  <c r="Z123" i="9"/>
  <c r="Z124" i="9" s="1"/>
  <c r="Z125" i="9" s="1"/>
  <c r="Z126" i="9" s="1"/>
  <c r="Z127" i="9" s="1"/>
  <c r="Z128" i="9" s="1"/>
  <c r="Z144" i="9"/>
  <c r="Z145" i="9" s="1"/>
  <c r="Z136" i="9"/>
  <c r="Z137" i="9" s="1"/>
  <c r="Z138" i="9" s="1"/>
  <c r="Z139" i="9" s="1"/>
  <c r="Q73" i="9"/>
  <c r="S47" i="9"/>
  <c r="Q56" i="9"/>
  <c r="Q142" i="9"/>
  <c r="S61" i="9"/>
  <c r="S116" i="9"/>
  <c r="Q103" i="9"/>
  <c r="B3" i="9"/>
  <c r="Z98" i="9" l="1"/>
  <c r="Z99" i="9" s="1"/>
  <c r="Z100" i="9" s="1"/>
  <c r="Z55" i="9"/>
  <c r="Z56" i="9" s="1"/>
  <c r="Z57" i="9" s="1"/>
  <c r="Z58" i="9" s="1"/>
  <c r="Z59" i="9" s="1"/>
  <c r="Z60" i="9" s="1"/>
  <c r="Z61" i="9" s="1"/>
  <c r="Z62" i="9" s="1"/>
  <c r="Z63" i="9" s="1"/>
  <c r="Z64" i="9" s="1"/>
  <c r="Z65" i="9" s="1"/>
  <c r="Z66" i="9" s="1"/>
  <c r="Z67" i="9" s="1"/>
  <c r="Z68" i="9" s="1"/>
  <c r="Z69" i="9" s="1"/>
  <c r="Y55" i="9"/>
  <c r="Y56" i="9" s="1"/>
  <c r="Y57" i="9" s="1"/>
  <c r="Y58" i="9" s="1"/>
  <c r="Y59" i="9" s="1"/>
  <c r="Y60" i="9" s="1"/>
  <c r="Y61" i="9" s="1"/>
  <c r="Y62" i="9" s="1"/>
  <c r="Y63" i="9" s="1"/>
  <c r="Y64" i="9" s="1"/>
  <c r="Y65" i="9" s="1"/>
  <c r="Y66" i="9" s="1"/>
  <c r="Y67" i="9" s="1"/>
  <c r="Y68" i="9" s="1"/>
  <c r="Y69" i="9" s="1"/>
  <c r="Y98" i="9"/>
  <c r="Y99" i="9" s="1"/>
  <c r="Y100" i="9" s="1"/>
</calcChain>
</file>

<file path=xl/sharedStrings.xml><?xml version="1.0" encoding="utf-8"?>
<sst xmlns="http://schemas.openxmlformats.org/spreadsheetml/2006/main" count="753" uniqueCount="98">
  <si>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</si>
  <si>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</si>
  <si>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</si>
  <si>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</si>
  <si>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</si>
  <si>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</si>
  <si>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</si>
  <si>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</si>
  <si>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</si>
  <si>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</si>
  <si>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</si>
  <si>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</si>
  <si>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</si>
  <si>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</si>
  <si>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</si>
  <si>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</si>
  <si>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Unique-ID</t>
  </si>
  <si>
    <t>Dx (m)</t>
  </si>
  <si>
    <t>Dy (m)</t>
  </si>
  <si>
    <t>Dz (m)</t>
  </si>
  <si>
    <t>Conn</t>
  </si>
  <si>
    <t>Tank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</si>
  <si>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</si>
  <si>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</si>
  <si>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Refvol</t>
  </si>
  <si>
    <t>Notes</t>
  </si>
  <si>
    <t>Template</t>
  </si>
  <si>
    <t>Dwg</t>
  </si>
  <si>
    <t>Family</t>
  </si>
  <si>
    <t>Volume</t>
  </si>
  <si>
    <t>Main settings:</t>
  </si>
  <si>
    <t>Program Path:</t>
  </si>
  <si>
    <t>Local components folder: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</si>
  <si>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</si>
  <si>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</si>
  <si>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</si>
  <si>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</si>
  <si>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</si>
  <si>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</si>
  <si>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</si>
  <si>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</si>
  <si>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A</t>
  </si>
  <si>
    <t>B</t>
  </si>
  <si>
    <t>Debug.scad</t>
  </si>
  <si>
    <t/>
  </si>
  <si>
    <t>Junction</t>
  </si>
  <si>
    <t>Conditional formatting below this line (Restore by first selecting the range you want to reset and then using the macro "ResetFormat")</t>
  </si>
  <si>
    <t>X (m)</t>
  </si>
  <si>
    <t>Y (m)</t>
  </si>
  <si>
    <t>Z (m)</t>
  </si>
  <si>
    <t>V9823</t>
  </si>
  <si>
    <t>Cylinder.scad</t>
  </si>
  <si>
    <t>To-BDAHSG-01</t>
  </si>
  <si>
    <t>Tee towards SV9829 0.372 m</t>
  </si>
  <si>
    <t>FE648</t>
  </si>
  <si>
    <t>V9824</t>
  </si>
  <si>
    <t>BDAHSG-01  unit A</t>
  </si>
  <si>
    <t>BDAHSG-01A</t>
  </si>
  <si>
    <t>BDAHSG-01  unit B</t>
  </si>
  <si>
    <t>BDAHSG-01B</t>
  </si>
  <si>
    <t>0366-1-58-6</t>
  </si>
  <si>
    <t>Flange</t>
  </si>
  <si>
    <t>SV9829</t>
  </si>
  <si>
    <t>Connects to shell side of BDAHSG-01 unit B</t>
  </si>
  <si>
    <t>System 711 after BDAHSG-01 (unit B)</t>
  </si>
  <si>
    <t>Relief valve 711-9829</t>
  </si>
  <si>
    <t>Connecting pipe from shell outlet of unit A to inlet of tube package 1 in unit B (B1)</t>
  </si>
  <si>
    <t>System 711 before BDAHSG-01 (unit B)</t>
  </si>
  <si>
    <t>Connecting pipe from tube side outlet of unit A  to inlet of B2</t>
  </si>
  <si>
    <t>Connecting pipe from B2 outlet</t>
  </si>
  <si>
    <t>Connecting pipe from outlet B1 to inlet tube side unit A</t>
  </si>
  <si>
    <t>From Tank 1 to Tank 2</t>
  </si>
  <si>
    <t>T1</t>
  </si>
  <si>
    <t>-</t>
  </si>
  <si>
    <t>V1</t>
  </si>
  <si>
    <t>T2</t>
  </si>
  <si>
    <t>Valve bypass</t>
  </si>
  <si>
    <t>V2</t>
  </si>
  <si>
    <t>"..\XlsPipePlot.exe"</t>
  </si>
  <si>
    <t>(static)</t>
  </si>
  <si>
    <t>Loopcheck</t>
  </si>
  <si>
    <t>Loop checks. Check coordinates (leave coordinate(s) to ignore blank)</t>
  </si>
  <si>
    <t>Section</t>
  </si>
  <si>
    <t>Relief valve</t>
  </si>
  <si>
    <t>ValvePRV</t>
  </si>
  <si>
    <t>PRV</t>
  </si>
  <si>
    <t>Text</t>
  </si>
  <si>
    <t>PIPE_37</t>
  </si>
  <si>
    <t>Reducer</t>
  </si>
  <si>
    <t>FlangeInlet</t>
  </si>
  <si>
    <t>FlangeOutlet</t>
  </si>
  <si>
    <t>Heat exchanger</t>
  </si>
  <si>
    <t>Inlet</t>
  </si>
  <si>
    <t>MainBody</t>
  </si>
  <si>
    <t>Outlet</t>
  </si>
  <si>
    <t>Flange.scad</t>
  </si>
  <si>
    <t>PipeClamp.scad</t>
  </si>
  <si>
    <t>C:\Danne\Kodning\XlsPipePlot_2sep\bin\XlsPipePlot.exe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</si>
</sst>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\°"/>
    <numFmt numFmtId="165" formatCode="0.000\ \m"/>
    <numFmt numFmtId="166" formatCode="0.00\ \m\m"/>
    <numFmt numFmtId="167" formatCode="0.000"/>
    <numFmt numFmtId="168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1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  <xf numFmtId="0" fontId="0" fillId="0" borderId="0" xfId="0" quotePrefix="1"/>
    <xf numFmtId="0" fontId="7" fillId="0" borderId="0" xfId="0" applyNumberFormat="1" applyFont="1" applyFill="1"/>
    <xf numFmtId="0" fontId="6" fillId="0" borderId="0" xfId="0" applyNumberFormat="1" applyFont="1" applyFill="1"/>
    <xf numFmtId="168" fontId="1" fillId="2" borderId="0" xfId="0" applyNumberFormat="1" applyFont="1" applyFill="1" applyAlignment="1">
      <alignment vertical="top"/>
    </xf>
    <xf numFmtId="168" fontId="0" fillId="2" borderId="0" xfId="0" applyNumberFormat="1" applyFill="1"/>
    <xf numFmtId="168" fontId="0" fillId="0" borderId="0" xfId="0" applyNumberFormat="1"/>
    <xf numFmtId="165" fontId="0" fillId="0" borderId="3" xfId="0" applyNumberFormat="1" applyBorder="1"/>
    <xf numFmtId="0" fontId="11" fillId="0" borderId="0" xfId="0" applyFont="1" applyFill="1"/>
    <xf numFmtId="0" fontId="1" fillId="3" borderId="5" xfId="0" applyFont="1" applyFill="1" applyBorder="1"/>
    <xf numFmtId="0" fontId="1" fillId="3" borderId="1" xfId="0" applyFont="1" applyFill="1" applyBorder="1"/>
    <xf numFmtId="0" fontId="1" fillId="3" borderId="3" xfId="0" applyFont="1" applyFill="1" applyBorder="1" applyAlignment="1">
      <alignment horizontal="right"/>
    </xf>
    <xf numFmtId="0" fontId="1" fillId="3" borderId="1" xfId="0" applyFont="1" applyFill="1" applyBorder="1" applyAlignment="1">
      <alignment horizontal="right"/>
    </xf>
    <xf numFmtId="0" fontId="1" fillId="3" borderId="2" xfId="0" applyFont="1" applyFill="1" applyBorder="1" applyAlignment="1">
      <alignment horizontal="right"/>
    </xf>
    <xf numFmtId="0" fontId="0" fillId="0" borderId="0" xfId="0" applyFill="1" applyBorder="1"/>
    <xf numFmtId="0" fontId="1" fillId="0" borderId="0" xfId="0" applyFont="1" applyFill="1" applyBorder="1"/>
    <xf numFmtId="165" fontId="9" fillId="0" borderId="0" xfId="0" applyNumberFormat="1" applyFont="1" applyFill="1" applyBorder="1"/>
    <xf numFmtId="164" fontId="9" fillId="0" borderId="0" xfId="0" applyNumberFormat="1" applyFont="1" applyFill="1" applyBorder="1"/>
    <xf numFmtId="165" fontId="10" fillId="0" borderId="0" xfId="0" applyNumberFormat="1" applyFont="1" applyFill="1" applyBorder="1"/>
    <xf numFmtId="166" fontId="9" fillId="0" borderId="0" xfId="0" applyNumberFormat="1" applyFont="1" applyFill="1" applyBorder="1"/>
    <xf numFmtId="0" fontId="6" fillId="0" borderId="0" xfId="0" applyNumberFormat="1" applyFont="1" applyFill="1" applyBorder="1"/>
    <xf numFmtId="0" fontId="11" fillId="0" borderId="0" xfId="0" applyFont="1" applyFill="1" applyBorder="1"/>
    <xf numFmtId="0" fontId="0" fillId="0" borderId="0" xfId="0" applyFont="1" applyFill="1"/>
    <xf numFmtId="0" fontId="9" fillId="0" borderId="0" xfId="0" applyNumberFormat="1" applyFont="1" applyFill="1"/>
    <xf numFmtId="0" fontId="10" fillId="0" borderId="0" xfId="0" applyNumberFormat="1" applyFont="1" applyFill="1"/>
    <xf numFmtId="0" fontId="0" fillId="0" borderId="0" xfId="0" applyFont="1" applyFill="1" applyBorder="1"/>
    <xf numFmtId="0" fontId="0" fillId="0" borderId="0" xfId="0" applyAlignment="1">
      <alignment horizontal="left"/>
    </xf>
    <xf numFmtId="0" fontId="0" fillId="0" borderId="0" xfId="0" applyAlignment="1"/>
  </cellXfs>
  <cellStyles count="2">
    <cellStyle name="Hyperlänk" xfId="1" builtinId="8"/>
    <cellStyle name="Normal" xfId="0" builtinId="0"/>
  </cellStyles>
  <dxfs count="446">
    <dxf>
      <border>
        <right style="thin">
          <color auto="1"/>
        </right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0C0C0"/>
        </patternFill>
      </fill>
    </dxf>
    <dxf>
      <fill>
        <patternFill>
          <bgColor rgb="FFCCFFFF"/>
        </patternFill>
      </fill>
    </dxf>
    <dxf>
      <fill>
        <patternFill>
          <bgColor rgb="FF4BACC6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font>
        <b val="0"/>
        <i/>
        <color rgb="FFFF0000"/>
      </font>
    </dxf>
    <dxf>
      <border>
        <right style="thin">
          <color auto="1"/>
        </right>
      </border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font>
        <b val="0"/>
        <i/>
        <color rgb="FFFF0000"/>
      </font>
    </dxf>
    <dxf>
      <border>
        <right style="thin">
          <color auto="1"/>
        </right>
      </border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font>
        <b val="0"/>
        <i/>
        <color rgb="FFFF0000"/>
      </font>
    </dxf>
    <dxf>
      <border>
        <right style="thin">
          <color auto="1"/>
        </right>
      </border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color rgb="FF00B050"/>
      </font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color rgb="FF00B050"/>
      </font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font>
        <b val="0"/>
        <i/>
        <color rgb="FFFF0000"/>
      </font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</dxf>
    <dxf>
      <font>
        <b val="0"/>
        <i/>
        <color rgb="FFFF0000"/>
      </font>
    </dxf>
    <dxf>
      <font>
        <color rgb="FF808080"/>
      </font>
    </dxf>
    <dxf>
      <font>
        <color rgb="FF808080"/>
      </font>
    </dxf>
    <dxf>
      <fill>
        <patternFill>
          <bgColor rgb="FFC0C0C0"/>
        </patternFill>
      </fill>
    </dxf>
    <dxf>
      <fill>
        <patternFill>
          <bgColor rgb="FF4BACC6"/>
        </patternFill>
      </fill>
    </dxf>
    <dxf>
      <fill>
        <patternFill>
          <bgColor rgb="FFCCFFFF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color rgb="FF00B050"/>
      </font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color rgb="FF00B050"/>
      </font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57150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57150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57150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419100</xdr:colOff>
          <xdr:row>3</xdr:row>
          <xdr:rowOff>47625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57150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390525</xdr:colOff>
          <xdr:row>3</xdr:row>
          <xdr:rowOff>47625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66675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38100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38100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371475</xdr:colOff>
          <xdr:row>3</xdr:row>
          <xdr:rowOff>28575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38100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66675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38100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38100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371475</xdr:colOff>
          <xdr:row>3</xdr:row>
          <xdr:rowOff>28575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Z345"/>
  <sheetViews>
    <sheetView zoomScale="85" zoomScaleNormal="85" workbookViewId="0">
      <pane ySplit="4" topLeftCell="A38" activePane="bottomLeft" state="frozenSplit"/>
      <selection pane="bottomLeft" activeCell="A87" sqref="A87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</row>
    <row r="2" spans="1:26" s="12" customFormat="1" ht="14.45" x14ac:dyDescent="0.3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30</v>
      </c>
      <c r="D5" s="34" t="s">
        <v>44</v>
      </c>
      <c r="O5"/>
      <c r="P5"/>
    </row>
    <row r="6" spans="1:26" ht="14.45" customHeight="1" x14ac:dyDescent="0.3">
      <c r="A6" s="59" t="s">
        <v>31</v>
      </c>
      <c r="B6" s="59"/>
      <c r="C6" s="59"/>
      <c r="D6" s="60" t="s">
        <v>78</v>
      </c>
      <c r="E6" s="60"/>
      <c r="F6" s="60"/>
      <c r="G6" s="60"/>
      <c r="O6"/>
      <c r="P6"/>
    </row>
    <row r="7" spans="1:26" ht="14.45" x14ac:dyDescent="0.3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26" ht="14.45" x14ac:dyDescent="0.3">
      <c r="A8" s="59" t="s">
        <v>32</v>
      </c>
      <c r="B8" s="59"/>
      <c r="C8" s="59"/>
      <c r="D8" s="5" t="str">
        <f>HYPERLINK("\loclib")</f>
        <v>\loclib</v>
      </c>
      <c r="O8"/>
      <c r="P8"/>
    </row>
    <row r="9" spans="1:26" ht="14.45" x14ac:dyDescent="0.3">
      <c r="O9"/>
      <c r="P9"/>
    </row>
    <row r="10" spans="1:26" ht="18" x14ac:dyDescent="0.35">
      <c r="A10" s="15" t="s">
        <v>33</v>
      </c>
      <c r="O10"/>
      <c r="P10"/>
    </row>
    <row r="11" spans="1:26" ht="14.45" x14ac:dyDescent="0.3">
      <c r="A11" t="s">
        <v>34</v>
      </c>
      <c r="O11"/>
      <c r="P11"/>
    </row>
    <row r="12" spans="1:26" ht="15.6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26" ht="14.45" x14ac:dyDescent="0.3">
      <c r="A13" s="21" t="s">
        <v>24</v>
      </c>
      <c r="B13" s="22" t="str">
        <f>D35</f>
        <v>PIPE_35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A19" t="s">
        <v>81</v>
      </c>
      <c r="O19"/>
      <c r="P19"/>
    </row>
    <row r="20" spans="1:22" ht="15.6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ht="14.45" x14ac:dyDescent="0.3">
      <c r="A21" s="21" t="s">
        <v>80</v>
      </c>
      <c r="B21" s="22" t="str">
        <f>D43</f>
        <v>PIPE_43</v>
      </c>
      <c r="C21" s="40" t="s">
        <v>41</v>
      </c>
      <c r="D21" s="24"/>
      <c r="E21" s="25"/>
      <c r="F21" s="26">
        <v>107.24</v>
      </c>
      <c r="O21"/>
      <c r="P21"/>
    </row>
    <row r="22" spans="1:22" ht="14.45" x14ac:dyDescent="0.3">
      <c r="A22" s="21"/>
      <c r="B22" s="22"/>
      <c r="C22" s="23"/>
      <c r="D22" s="24"/>
      <c r="E22" s="25"/>
      <c r="F22" s="26"/>
      <c r="O22"/>
      <c r="P22"/>
    </row>
    <row r="23" spans="1:22" ht="14.45" x14ac:dyDescent="0.3">
      <c r="A23" s="21"/>
      <c r="B23" s="22"/>
      <c r="C23" s="23"/>
      <c r="D23" s="24"/>
      <c r="E23" s="25"/>
      <c r="F23" s="26"/>
      <c r="O23"/>
      <c r="P23"/>
    </row>
    <row r="24" spans="1:22" ht="14.45" x14ac:dyDescent="0.3">
      <c r="A24" s="21"/>
      <c r="B24" s="22"/>
      <c r="C24" s="23"/>
      <c r="D24" s="24"/>
      <c r="E24" s="25"/>
      <c r="F24" s="26"/>
      <c r="O24"/>
      <c r="P24"/>
    </row>
    <row r="25" spans="1:22" ht="14.45" x14ac:dyDescent="0.3">
      <c r="A25" s="21"/>
      <c r="B25" s="22"/>
      <c r="C25" s="23"/>
      <c r="D25" s="24"/>
      <c r="E25" s="25"/>
      <c r="F25" s="26"/>
      <c r="O25"/>
      <c r="P25"/>
    </row>
    <row r="26" spans="1:22" ht="14.45" x14ac:dyDescent="0.3">
      <c r="A26" s="21"/>
      <c r="B26" s="22"/>
      <c r="C26" s="23"/>
      <c r="D26" s="24"/>
      <c r="E26" s="25"/>
      <c r="F26" s="26"/>
      <c r="O26"/>
      <c r="P26"/>
    </row>
    <row r="27" spans="1:22" ht="14.45" x14ac:dyDescent="0.3">
      <c r="O27"/>
      <c r="P27"/>
    </row>
    <row r="28" spans="1:22" ht="14.45" x14ac:dyDescent="0.3">
      <c r="O28"/>
      <c r="P28"/>
    </row>
    <row r="29" spans="1:22" thickBot="1" x14ac:dyDescent="0.35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ht="14.45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ht="14.45" x14ac:dyDescent="0.3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ht="14.45" x14ac:dyDescent="0.3">
      <c r="A32" s="7"/>
      <c r="B32" s="7"/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6" ht="14.45" x14ac:dyDescent="0.3">
      <c r="A33" s="7"/>
      <c r="B33" s="7"/>
      <c r="C33" s="30"/>
      <c r="D33" s="7"/>
      <c r="E33" s="7"/>
      <c r="F33" s="31"/>
      <c r="G33" s="32"/>
      <c r="H33" s="32"/>
      <c r="I33" s="32"/>
      <c r="J33" s="29"/>
      <c r="K33" s="29"/>
      <c r="L33" s="29"/>
      <c r="M33" s="33"/>
      <c r="N33" s="33"/>
      <c r="O33" s="36"/>
      <c r="P33" s="36"/>
      <c r="Q33" s="7"/>
      <c r="R33" s="31"/>
      <c r="S33" s="7"/>
      <c r="T33" s="31"/>
      <c r="U33" s="7"/>
      <c r="V33" s="7"/>
    </row>
    <row r="34" spans="1:26" ht="14.45" x14ac:dyDescent="0.3">
      <c r="A34" s="47" t="s">
        <v>82</v>
      </c>
      <c r="B34" s="47" t="s">
        <v>67</v>
      </c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  <c r="X34" s="39">
        <f t="shared" ref="X34:Y34" si="0">D13</f>
        <v>0</v>
      </c>
      <c r="Y34" s="39">
        <f t="shared" si="0"/>
        <v>0</v>
      </c>
      <c r="Z34" s="39">
        <f>F13</f>
        <v>107.24</v>
      </c>
    </row>
    <row r="35" spans="1:26" ht="14.45" x14ac:dyDescent="0.3">
      <c r="A35" s="7" t="s">
        <v>7</v>
      </c>
      <c r="B35" s="7" t="s">
        <v>7</v>
      </c>
      <c r="C35" s="30" t="s">
        <v>7</v>
      </c>
      <c r="D35" s="7" t="str">
        <f t="shared" ref="D35:D45" si="1">CONCATENATE("PIPE_",ROW())</f>
        <v>PIPE_35</v>
      </c>
      <c r="E35" s="7"/>
      <c r="F35" s="31">
        <f>0.229+0.73</f>
        <v>0.95899999999999996</v>
      </c>
      <c r="G35" s="32">
        <v>0</v>
      </c>
      <c r="H35" s="32">
        <v>180</v>
      </c>
      <c r="I35" s="32">
        <v>0</v>
      </c>
      <c r="J35" s="29">
        <v>0</v>
      </c>
      <c r="K35" s="29">
        <v>0</v>
      </c>
      <c r="L35" s="29">
        <v>0</v>
      </c>
      <c r="M35" s="33">
        <v>168.3</v>
      </c>
      <c r="N35" s="33">
        <v>7.11</v>
      </c>
      <c r="O35" s="36">
        <v>1.36</v>
      </c>
      <c r="P35" s="36"/>
      <c r="Q35" s="7"/>
      <c r="R35" s="31"/>
      <c r="S35" s="7"/>
      <c r="T35" s="31"/>
      <c r="U35" s="7"/>
      <c r="V35" s="7"/>
      <c r="X35" s="39">
        <f t="shared" ref="X35:X48" si="2">IF(OR(A35="volume",A35="pipe",A35="junction"),X34+F35*COS(G35*PI()/180)*COS(H35*PI()/180)+J35,X34)</f>
        <v>-0.95899999999999996</v>
      </c>
      <c r="Y35" s="39">
        <f t="shared" ref="Y35:Y48" si="3">IF(OR(A35="volume",A35="pipe",A35="junction"),Y34+F35*COS(G35*PI()/180)*SIN(H35*PI()/180)+K35,Y34)</f>
        <v>1.1749173682573664E-16</v>
      </c>
      <c r="Z35" s="39">
        <f t="shared" ref="Z35:Z48" si="4">IF(OR(A35="volume",A35="pipe",A35="junction"),Z34+F35*SIN(G35*PI()/180)+L35,Z34)</f>
        <v>107.24</v>
      </c>
    </row>
    <row r="36" spans="1:26" ht="14.45" x14ac:dyDescent="0.3">
      <c r="A36" s="7" t="s">
        <v>7</v>
      </c>
      <c r="B36" s="7" t="s">
        <v>7</v>
      </c>
      <c r="C36" s="30" t="s">
        <v>7</v>
      </c>
      <c r="D36" s="7" t="str">
        <f t="shared" si="1"/>
        <v>PIPE_36</v>
      </c>
      <c r="E36" s="7"/>
      <c r="F36" s="31">
        <v>0.9</v>
      </c>
      <c r="G36" s="32">
        <v>0</v>
      </c>
      <c r="H36" s="32">
        <v>180</v>
      </c>
      <c r="I36" s="32">
        <v>0</v>
      </c>
      <c r="J36" s="29">
        <v>0</v>
      </c>
      <c r="K36" s="29">
        <v>0</v>
      </c>
      <c r="L36" s="29">
        <v>0</v>
      </c>
      <c r="M36" s="33">
        <v>168.3</v>
      </c>
      <c r="N36" s="33">
        <v>7.11</v>
      </c>
      <c r="O36" s="36">
        <v>1.28</v>
      </c>
      <c r="P36" s="36"/>
      <c r="Q36" s="7"/>
      <c r="R36" s="31"/>
      <c r="S36" s="7"/>
      <c r="T36" s="31"/>
      <c r="U36" s="7"/>
      <c r="V36" s="7"/>
      <c r="X36" s="39">
        <f t="shared" si="2"/>
        <v>-1.859</v>
      </c>
      <c r="Y36" s="39">
        <f t="shared" si="3"/>
        <v>2.2775509776751247E-16</v>
      </c>
      <c r="Z36" s="39">
        <f t="shared" si="4"/>
        <v>107.24</v>
      </c>
    </row>
    <row r="37" spans="1:26" ht="14.45" x14ac:dyDescent="0.3">
      <c r="A37" s="7" t="s">
        <v>7</v>
      </c>
      <c r="B37" s="7" t="s">
        <v>7</v>
      </c>
      <c r="C37" s="30" t="s">
        <v>7</v>
      </c>
      <c r="D37" s="7" t="str">
        <f t="shared" si="1"/>
        <v>PIPE_37</v>
      </c>
      <c r="E37" s="7"/>
      <c r="F37" s="31">
        <f>0.229+1.475+1.475+0.1</f>
        <v>3.2790000000000004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168.3</v>
      </c>
      <c r="N37" s="33">
        <v>7.11</v>
      </c>
      <c r="O37" s="36">
        <v>1.28</v>
      </c>
      <c r="P37" s="36"/>
      <c r="Q37" s="7"/>
      <c r="R37" s="31"/>
      <c r="S37" s="7"/>
      <c r="T37" s="31"/>
      <c r="U37" s="7"/>
      <c r="V37" s="7"/>
      <c r="X37" s="39">
        <f t="shared" si="2"/>
        <v>-1.8589999999999998</v>
      </c>
      <c r="Y37" s="39">
        <f t="shared" si="3"/>
        <v>2.2775509776751247E-16</v>
      </c>
      <c r="Z37" s="39">
        <f t="shared" si="4"/>
        <v>103.961</v>
      </c>
    </row>
    <row r="38" spans="1:26" ht="14.45" x14ac:dyDescent="0.3">
      <c r="A38" s="7"/>
      <c r="B38" s="7"/>
      <c r="C38" s="30"/>
      <c r="D38" s="7"/>
      <c r="E38" s="7"/>
      <c r="F38" s="31"/>
      <c r="G38" s="32"/>
      <c r="H38" s="32"/>
      <c r="I38" s="32"/>
      <c r="J38" s="29"/>
      <c r="K38" s="29"/>
      <c r="L38" s="29"/>
      <c r="M38" s="33"/>
      <c r="N38" s="33"/>
      <c r="O38" s="36"/>
      <c r="P38" s="36"/>
      <c r="Q38" s="7"/>
      <c r="R38" s="31"/>
      <c r="S38" s="7"/>
      <c r="T38" s="31"/>
      <c r="U38" s="7"/>
      <c r="V38" s="7"/>
      <c r="X38" s="39">
        <f t="shared" si="2"/>
        <v>-1.8589999999999998</v>
      </c>
      <c r="Y38" s="39">
        <f t="shared" si="3"/>
        <v>2.2775509776751247E-16</v>
      </c>
      <c r="Z38" s="39">
        <f t="shared" si="4"/>
        <v>103.961</v>
      </c>
    </row>
    <row r="39" spans="1:26" ht="14.45" x14ac:dyDescent="0.3">
      <c r="A39" s="7" t="s">
        <v>45</v>
      </c>
      <c r="B39" s="7" t="s">
        <v>9</v>
      </c>
      <c r="C39" s="30" t="s">
        <v>50</v>
      </c>
      <c r="D39" s="7" t="str">
        <f>CONCATENATE("JUNC_",ROW())</f>
        <v>JUNC_39</v>
      </c>
      <c r="E39" s="7" t="s">
        <v>51</v>
      </c>
      <c r="F39" s="31">
        <v>0.08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168.3</v>
      </c>
      <c r="N39" s="33">
        <v>7.11</v>
      </c>
      <c r="O39" s="36"/>
      <c r="P39" s="36"/>
      <c r="Q39" s="7" t="str">
        <f ca="1">OFFSET($A$1,ROW()-3,3)</f>
        <v>PIPE_37</v>
      </c>
      <c r="R39" s="31" t="s">
        <v>42</v>
      </c>
      <c r="S39" s="7" t="str">
        <f ca="1">OFFSET($A$1,ROW()+1,3)</f>
        <v>PIPE_41</v>
      </c>
      <c r="T39" s="31" t="s">
        <v>41</v>
      </c>
      <c r="U39" s="7"/>
      <c r="V39" s="7"/>
      <c r="X39" s="39">
        <f t="shared" si="2"/>
        <v>-1.8589999999999998</v>
      </c>
      <c r="Y39" s="39">
        <f t="shared" si="3"/>
        <v>2.2775509776751247E-16</v>
      </c>
      <c r="Z39" s="39">
        <f t="shared" si="4"/>
        <v>103.881</v>
      </c>
    </row>
    <row r="40" spans="1:26" ht="14.45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  <c r="X40" s="39">
        <f t="shared" si="2"/>
        <v>-1.8589999999999998</v>
      </c>
      <c r="Y40" s="39">
        <f t="shared" si="3"/>
        <v>2.2775509776751247E-16</v>
      </c>
      <c r="Z40" s="39">
        <f t="shared" si="4"/>
        <v>103.881</v>
      </c>
    </row>
    <row r="41" spans="1:26" ht="14.45" x14ac:dyDescent="0.3">
      <c r="A41" s="7" t="s">
        <v>7</v>
      </c>
      <c r="B41" s="7" t="s">
        <v>7</v>
      </c>
      <c r="C41" s="30" t="s">
        <v>7</v>
      </c>
      <c r="D41" s="7" t="str">
        <f t="shared" si="1"/>
        <v>PIPE_41</v>
      </c>
      <c r="E41" s="7"/>
      <c r="F41" s="31">
        <f>0.1+3.65+0.229</f>
        <v>3.9790000000000001</v>
      </c>
      <c r="G41" s="32">
        <v>-90</v>
      </c>
      <c r="H41" s="32">
        <v>0</v>
      </c>
      <c r="I41" s="32">
        <v>0</v>
      </c>
      <c r="J41" s="29">
        <v>0</v>
      </c>
      <c r="K41" s="29">
        <v>0</v>
      </c>
      <c r="L41" s="29">
        <v>0</v>
      </c>
      <c r="M41" s="33">
        <v>168.3</v>
      </c>
      <c r="N41" s="33">
        <v>7.11</v>
      </c>
      <c r="O41" s="36">
        <v>1.28</v>
      </c>
      <c r="P41" s="36"/>
      <c r="Q41" s="7"/>
      <c r="R41" s="31"/>
      <c r="S41" s="7"/>
      <c r="T41" s="31"/>
      <c r="U41" s="7"/>
      <c r="V41" s="7"/>
      <c r="X41" s="39">
        <f t="shared" si="2"/>
        <v>-1.8589999999999995</v>
      </c>
      <c r="Y41" s="39">
        <f t="shared" si="3"/>
        <v>2.2775509776751247E-16</v>
      </c>
      <c r="Z41" s="39">
        <f t="shared" si="4"/>
        <v>99.902000000000001</v>
      </c>
    </row>
    <row r="42" spans="1:26" ht="14.45" x14ac:dyDescent="0.3">
      <c r="A42" s="7" t="s">
        <v>7</v>
      </c>
      <c r="B42" s="7" t="s">
        <v>7</v>
      </c>
      <c r="C42" s="30" t="s">
        <v>7</v>
      </c>
      <c r="D42" s="7" t="str">
        <f t="shared" si="1"/>
        <v>PIPE_42</v>
      </c>
      <c r="E42" s="7"/>
      <c r="F42" s="31">
        <v>0.75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168.3</v>
      </c>
      <c r="N42" s="33">
        <v>7.11</v>
      </c>
      <c r="O42" s="36">
        <v>1.28</v>
      </c>
      <c r="P42" s="36"/>
      <c r="Q42" s="7"/>
      <c r="R42" s="31"/>
      <c r="S42" s="7"/>
      <c r="T42" s="31"/>
      <c r="U42" s="7"/>
      <c r="V42" s="7"/>
      <c r="X42" s="39">
        <f t="shared" si="2"/>
        <v>-1.8589999999999998</v>
      </c>
      <c r="Y42" s="39">
        <f t="shared" si="3"/>
        <v>-0.74999999999999978</v>
      </c>
      <c r="Z42" s="39">
        <f t="shared" si="4"/>
        <v>99.902000000000001</v>
      </c>
    </row>
    <row r="43" spans="1:26" ht="14.45" x14ac:dyDescent="0.3">
      <c r="A43" s="7" t="s">
        <v>7</v>
      </c>
      <c r="B43" s="7" t="s">
        <v>7</v>
      </c>
      <c r="C43" s="30" t="s">
        <v>7</v>
      </c>
      <c r="D43" s="7" t="str">
        <f t="shared" si="1"/>
        <v>PIPE_43</v>
      </c>
      <c r="E43" s="7"/>
      <c r="F43" s="31">
        <v>4.5</v>
      </c>
      <c r="G43" s="32">
        <v>0</v>
      </c>
      <c r="H43" s="32">
        <v>180</v>
      </c>
      <c r="I43" s="32">
        <v>0</v>
      </c>
      <c r="J43" s="29">
        <v>0</v>
      </c>
      <c r="K43" s="29">
        <v>0</v>
      </c>
      <c r="L43" s="29">
        <v>0</v>
      </c>
      <c r="M43" s="33">
        <v>168.3</v>
      </c>
      <c r="N43" s="33">
        <v>7.11</v>
      </c>
      <c r="O43" s="36">
        <v>1.28</v>
      </c>
      <c r="P43" s="36"/>
      <c r="Q43" s="7"/>
      <c r="R43" s="31"/>
      <c r="S43" s="7"/>
      <c r="T43" s="31"/>
      <c r="U43" s="7"/>
      <c r="V43" s="7"/>
      <c r="X43" s="39">
        <f t="shared" si="2"/>
        <v>-6.359</v>
      </c>
      <c r="Y43" s="39">
        <f t="shared" si="3"/>
        <v>-0.74999999999999922</v>
      </c>
      <c r="Z43" s="39">
        <f t="shared" si="4"/>
        <v>99.902000000000001</v>
      </c>
    </row>
    <row r="44" spans="1:26" ht="14.45" x14ac:dyDescent="0.3">
      <c r="A44" s="7" t="s">
        <v>7</v>
      </c>
      <c r="B44" s="7" t="s">
        <v>7</v>
      </c>
      <c r="C44" s="30" t="s">
        <v>7</v>
      </c>
      <c r="D44" s="7" t="str">
        <f t="shared" si="1"/>
        <v>PIPE_44</v>
      </c>
      <c r="E44" s="7"/>
      <c r="F44" s="31">
        <v>2</v>
      </c>
      <c r="G44" s="32">
        <v>-90</v>
      </c>
      <c r="H44" s="32">
        <v>0</v>
      </c>
      <c r="I44" s="32">
        <v>0</v>
      </c>
      <c r="J44" s="29">
        <v>0</v>
      </c>
      <c r="K44" s="29">
        <v>0</v>
      </c>
      <c r="L44" s="29">
        <v>0</v>
      </c>
      <c r="M44" s="33">
        <v>168.3</v>
      </c>
      <c r="N44" s="33">
        <v>7.11</v>
      </c>
      <c r="O44" s="36">
        <v>1.28</v>
      </c>
      <c r="P44" s="36"/>
      <c r="Q44" s="7"/>
      <c r="R44" s="31"/>
      <c r="S44" s="7"/>
      <c r="T44" s="31"/>
      <c r="U44" s="7"/>
      <c r="V44" s="7"/>
      <c r="X44" s="39">
        <f t="shared" si="2"/>
        <v>-6.359</v>
      </c>
      <c r="Y44" s="39">
        <f t="shared" si="3"/>
        <v>-0.74999999999999922</v>
      </c>
      <c r="Z44" s="39">
        <f t="shared" si="4"/>
        <v>97.902000000000001</v>
      </c>
    </row>
    <row r="45" spans="1:26" x14ac:dyDescent="0.25">
      <c r="A45" s="7" t="s">
        <v>7</v>
      </c>
      <c r="B45" s="7" t="s">
        <v>7</v>
      </c>
      <c r="C45" s="30" t="s">
        <v>7</v>
      </c>
      <c r="D45" s="7" t="str">
        <f t="shared" si="1"/>
        <v>PIPE_45</v>
      </c>
      <c r="E45" s="7"/>
      <c r="F45" s="31">
        <v>0.629</v>
      </c>
      <c r="G45" s="32">
        <v>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168.3</v>
      </c>
      <c r="N45" s="33">
        <v>7.11</v>
      </c>
      <c r="O45" s="36">
        <v>1.28</v>
      </c>
      <c r="P45" s="36"/>
      <c r="Q45" s="7"/>
      <c r="R45" s="31"/>
      <c r="S45" s="7"/>
      <c r="T45" s="31"/>
      <c r="U45" s="7"/>
      <c r="V45" s="7"/>
      <c r="X45" s="39">
        <f t="shared" si="2"/>
        <v>-5.73</v>
      </c>
      <c r="Y45" s="39">
        <f t="shared" si="3"/>
        <v>-0.74999999999999922</v>
      </c>
      <c r="Z45" s="39">
        <f t="shared" si="4"/>
        <v>97.902000000000001</v>
      </c>
    </row>
    <row r="46" spans="1:26" x14ac:dyDescent="0.25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  <c r="X46" s="39">
        <f t="shared" si="2"/>
        <v>-5.73</v>
      </c>
      <c r="Y46" s="39">
        <f t="shared" si="3"/>
        <v>-0.74999999999999922</v>
      </c>
      <c r="Z46" s="39">
        <f t="shared" si="4"/>
        <v>97.902000000000001</v>
      </c>
    </row>
    <row r="47" spans="1:26" x14ac:dyDescent="0.25">
      <c r="A47" s="7" t="s">
        <v>45</v>
      </c>
      <c r="B47" s="7" t="s">
        <v>10</v>
      </c>
      <c r="C47" s="30" t="s">
        <v>52</v>
      </c>
      <c r="D47" s="7" t="str">
        <f>CONCATENATE("JUNC_",ROW())</f>
        <v>JUNC_47</v>
      </c>
      <c r="E47" s="7"/>
      <c r="F47" s="31">
        <v>0</v>
      </c>
      <c r="G47" s="32">
        <v>0</v>
      </c>
      <c r="H47" s="32">
        <v>0</v>
      </c>
      <c r="I47" s="32">
        <v>0</v>
      </c>
      <c r="J47" s="29">
        <v>0</v>
      </c>
      <c r="K47" s="29">
        <v>0</v>
      </c>
      <c r="L47" s="29">
        <v>0</v>
      </c>
      <c r="M47" s="33">
        <v>125</v>
      </c>
      <c r="N47" s="33">
        <v>2.02</v>
      </c>
      <c r="O47" s="36"/>
      <c r="P47" s="36"/>
      <c r="Q47" s="7" t="str">
        <f ca="1">OFFSET($A$1,ROW()-3,3)</f>
        <v>PIPE_45</v>
      </c>
      <c r="R47" s="31" t="s">
        <v>42</v>
      </c>
      <c r="S47" s="7" t="str">
        <f>D99</f>
        <v>VOL_99</v>
      </c>
      <c r="T47" s="31" t="s">
        <v>42</v>
      </c>
      <c r="U47" s="7"/>
      <c r="V47" s="7"/>
      <c r="X47" s="39">
        <f t="shared" si="2"/>
        <v>-5.73</v>
      </c>
      <c r="Y47" s="39">
        <f t="shared" si="3"/>
        <v>-0.74999999999999922</v>
      </c>
      <c r="Z47" s="39">
        <f t="shared" si="4"/>
        <v>97.902000000000001</v>
      </c>
    </row>
    <row r="48" spans="1:26" x14ac:dyDescent="0.25">
      <c r="A48" s="7" t="s">
        <v>63</v>
      </c>
      <c r="B48" s="7"/>
      <c r="C48" s="30"/>
      <c r="D48" s="7"/>
      <c r="E48" s="7"/>
      <c r="F48" s="31"/>
      <c r="G48" s="32"/>
      <c r="H48" s="32"/>
      <c r="I48" s="32"/>
      <c r="J48" s="29"/>
      <c r="K48" s="29"/>
      <c r="L48" s="29"/>
      <c r="M48" s="33"/>
      <c r="N48" s="33"/>
      <c r="O48" s="36"/>
      <c r="P48" s="36"/>
      <c r="Q48" s="7"/>
      <c r="R48" s="31"/>
      <c r="S48" s="7"/>
      <c r="T48" s="31"/>
      <c r="U48" s="7"/>
      <c r="V48" s="7"/>
      <c r="X48" s="39">
        <f t="shared" si="2"/>
        <v>-5.73</v>
      </c>
      <c r="Y48" s="39">
        <f t="shared" si="3"/>
        <v>-0.74999999999999922</v>
      </c>
      <c r="Z48" s="39">
        <f t="shared" si="4"/>
        <v>97.902000000000001</v>
      </c>
    </row>
    <row r="49" spans="1:26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6" x14ac:dyDescent="0.25">
      <c r="A50" s="7"/>
      <c r="B50" s="7"/>
      <c r="C50" s="30"/>
      <c r="D50" s="7"/>
      <c r="E50" s="7"/>
      <c r="F50" s="31"/>
      <c r="G50" s="32"/>
      <c r="H50" s="32"/>
      <c r="I50" s="32"/>
      <c r="J50" s="29"/>
      <c r="K50" s="29"/>
      <c r="L50" s="29"/>
      <c r="M50" s="33"/>
      <c r="N50" s="33"/>
      <c r="O50" s="36"/>
      <c r="P50" s="36"/>
      <c r="Q50" s="7"/>
      <c r="R50" s="31"/>
      <c r="S50" s="7"/>
      <c r="T50" s="31"/>
      <c r="U50" s="7"/>
      <c r="V50" s="7"/>
    </row>
    <row r="51" spans="1:26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</row>
    <row r="52" spans="1:26" x14ac:dyDescent="0.25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6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6" x14ac:dyDescent="0.25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6" x14ac:dyDescent="0.25">
      <c r="A55" s="47" t="s">
        <v>82</v>
      </c>
      <c r="B55" s="54" t="s">
        <v>64</v>
      </c>
      <c r="C55" s="48"/>
      <c r="D55" s="47"/>
      <c r="E55" s="47"/>
      <c r="F55" s="49"/>
      <c r="G55" s="50"/>
      <c r="H55" s="50"/>
      <c r="I55" s="50"/>
      <c r="J55" s="51"/>
      <c r="K55" s="51"/>
      <c r="L55" s="51"/>
      <c r="M55" s="52"/>
      <c r="N55" s="52"/>
      <c r="O55" s="53"/>
      <c r="P55" s="53"/>
      <c r="Q55" s="47"/>
      <c r="R55" s="49"/>
      <c r="S55" s="47"/>
      <c r="T55" s="49"/>
      <c r="U55" s="47"/>
      <c r="V55" s="47"/>
      <c r="X55" s="39">
        <f>X48-R56</f>
        <v>-6.9740000000000002</v>
      </c>
      <c r="Y55" s="39">
        <f>Y48</f>
        <v>-0.74999999999999922</v>
      </c>
      <c r="Z55" s="39">
        <f>Z48</f>
        <v>97.902000000000001</v>
      </c>
    </row>
    <row r="56" spans="1:26" x14ac:dyDescent="0.25">
      <c r="A56" s="7" t="s">
        <v>45</v>
      </c>
      <c r="B56" s="7" t="s">
        <v>10</v>
      </c>
      <c r="C56" s="30" t="s">
        <v>52</v>
      </c>
      <c r="D56" s="7" t="str">
        <f>CONCATENATE("JUNC_",ROW())</f>
        <v>JUNC_56</v>
      </c>
      <c r="E56" s="7"/>
      <c r="F56" s="31">
        <v>0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125</v>
      </c>
      <c r="N56" s="33">
        <v>2.02</v>
      </c>
      <c r="O56" s="36"/>
      <c r="P56" s="36"/>
      <c r="Q56" s="7" t="str">
        <f>D99</f>
        <v>VOL_99</v>
      </c>
      <c r="R56" s="31">
        <v>1.244</v>
      </c>
      <c r="S56" s="7" t="str">
        <f ca="1">OFFSET($A$1,ROW()+1,3)</f>
        <v>PIPE_58</v>
      </c>
      <c r="T56" s="31" t="s">
        <v>41</v>
      </c>
      <c r="U56" s="7"/>
      <c r="V56" s="7"/>
      <c r="X56" s="39">
        <f t="shared" ref="X56:X69" si="5">IF(OR(A56="volume",A56="pipe",A56="junction"),X55+F56*COS(G56*PI()/180)*COS(H56*PI()/180)+J56,X55)</f>
        <v>-6.9740000000000002</v>
      </c>
      <c r="Y56" s="39">
        <f t="shared" ref="Y56:Y69" si="6">IF(OR(A56="volume",A56="pipe",A56="junction"),Y55+F56*COS(G56*PI()/180)*SIN(H56*PI()/180)+K56,Y55)</f>
        <v>-0.74999999999999922</v>
      </c>
      <c r="Z56" s="39">
        <f t="shared" ref="Z56:Z69" si="7">IF(OR(A56="volume",A56="pipe",A56="junction"),Z55+F56*SIN(G56*PI()/180)+L56,Z55)</f>
        <v>97.902000000000001</v>
      </c>
    </row>
    <row r="57" spans="1:26" x14ac:dyDescent="0.25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  <c r="X57" s="39">
        <f t="shared" si="5"/>
        <v>-6.9740000000000002</v>
      </c>
      <c r="Y57" s="39">
        <f t="shared" si="6"/>
        <v>-0.74999999999999922</v>
      </c>
      <c r="Z57" s="39">
        <f t="shared" si="7"/>
        <v>97.902000000000001</v>
      </c>
    </row>
    <row r="58" spans="1:26" x14ac:dyDescent="0.25">
      <c r="A58" s="7" t="s">
        <v>7</v>
      </c>
      <c r="B58" s="7" t="s">
        <v>7</v>
      </c>
      <c r="C58" s="30" t="s">
        <v>7</v>
      </c>
      <c r="D58" s="7" t="str">
        <f t="shared" ref="D58:D68" si="8">CONCATENATE("PIPE_",ROW())</f>
        <v>PIPE_58</v>
      </c>
      <c r="E58" s="7"/>
      <c r="F58" s="31">
        <f>0.504/2+0.229</f>
        <v>0.48099999999999998</v>
      </c>
      <c r="G58" s="32">
        <v>0</v>
      </c>
      <c r="H58" s="32">
        <v>90</v>
      </c>
      <c r="I58" s="32">
        <v>0</v>
      </c>
      <c r="J58" s="29">
        <v>0</v>
      </c>
      <c r="K58" s="29">
        <v>0</v>
      </c>
      <c r="L58" s="29">
        <v>0</v>
      </c>
      <c r="M58" s="33">
        <v>168.3</v>
      </c>
      <c r="N58" s="33">
        <v>7.11</v>
      </c>
      <c r="O58" s="36">
        <v>1.36</v>
      </c>
      <c r="P58" s="36"/>
      <c r="Q58" s="7"/>
      <c r="R58" s="31"/>
      <c r="S58" s="7"/>
      <c r="T58" s="31"/>
      <c r="U58" s="7"/>
      <c r="V58" s="7"/>
      <c r="X58" s="39">
        <f t="shared" si="5"/>
        <v>-6.9740000000000002</v>
      </c>
      <c r="Y58" s="39">
        <f t="shared" si="6"/>
        <v>-0.26899999999999924</v>
      </c>
      <c r="Z58" s="39">
        <f t="shared" si="7"/>
        <v>97.902000000000001</v>
      </c>
    </row>
    <row r="59" spans="1:26" x14ac:dyDescent="0.25">
      <c r="A59" s="7" t="s">
        <v>7</v>
      </c>
      <c r="B59" s="7" t="s">
        <v>7</v>
      </c>
      <c r="C59" s="30" t="s">
        <v>7</v>
      </c>
      <c r="D59" s="7" t="str">
        <f t="shared" si="8"/>
        <v>PIPE_59</v>
      </c>
      <c r="E59" s="7"/>
      <c r="F59" s="31">
        <f>0.229+2*0.143+3.325+0.1-0.08/2</f>
        <v>3.9000000000000004</v>
      </c>
      <c r="G59" s="32">
        <v>90</v>
      </c>
      <c r="H59" s="32">
        <v>0</v>
      </c>
      <c r="I59" s="32">
        <v>0</v>
      </c>
      <c r="J59" s="29">
        <v>0</v>
      </c>
      <c r="K59" s="29">
        <v>0</v>
      </c>
      <c r="L59" s="29">
        <v>0</v>
      </c>
      <c r="M59" s="33">
        <v>168.3</v>
      </c>
      <c r="N59" s="33">
        <v>7.11</v>
      </c>
      <c r="O59" s="36">
        <v>1.36</v>
      </c>
      <c r="P59" s="36"/>
      <c r="Q59" s="7"/>
      <c r="R59" s="31"/>
      <c r="S59" s="7"/>
      <c r="T59" s="31"/>
      <c r="U59" s="7"/>
      <c r="V59" s="7" t="s">
        <v>53</v>
      </c>
      <c r="X59" s="39">
        <f t="shared" si="5"/>
        <v>-6.9740000000000002</v>
      </c>
      <c r="Y59" s="39">
        <f t="shared" si="6"/>
        <v>-0.26899999999999924</v>
      </c>
      <c r="Z59" s="39">
        <f t="shared" si="7"/>
        <v>101.80200000000001</v>
      </c>
    </row>
    <row r="60" spans="1:26" x14ac:dyDescent="0.25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  <c r="X60" s="39">
        <f t="shared" si="5"/>
        <v>-6.9740000000000002</v>
      </c>
      <c r="Y60" s="39">
        <f t="shared" si="6"/>
        <v>-0.26899999999999924</v>
      </c>
      <c r="Z60" s="39">
        <f t="shared" si="7"/>
        <v>101.80200000000001</v>
      </c>
    </row>
    <row r="61" spans="1:26" x14ac:dyDescent="0.25">
      <c r="A61" s="7" t="s">
        <v>45</v>
      </c>
      <c r="B61" s="7" t="s">
        <v>9</v>
      </c>
      <c r="C61" s="30" t="s">
        <v>54</v>
      </c>
      <c r="D61" s="7" t="str">
        <f>CONCATENATE("JUNC_",ROW())</f>
        <v>JUNC_61</v>
      </c>
      <c r="E61" s="7" t="s">
        <v>51</v>
      </c>
      <c r="F61" s="31">
        <v>0.08</v>
      </c>
      <c r="G61" s="32">
        <v>90</v>
      </c>
      <c r="H61" s="32">
        <v>0</v>
      </c>
      <c r="I61" s="32">
        <v>0</v>
      </c>
      <c r="J61" s="29">
        <v>0</v>
      </c>
      <c r="K61" s="29">
        <v>0</v>
      </c>
      <c r="L61" s="29">
        <v>0</v>
      </c>
      <c r="M61" s="33">
        <v>168.3</v>
      </c>
      <c r="N61" s="33">
        <v>7.11</v>
      </c>
      <c r="O61" s="36"/>
      <c r="P61" s="36"/>
      <c r="Q61" s="7" t="str">
        <f ca="1">OFFSET($A$1,ROW()-3,3)</f>
        <v>PIPE_59</v>
      </c>
      <c r="R61" s="31" t="s">
        <v>42</v>
      </c>
      <c r="S61" s="7" t="str">
        <f ca="1">OFFSET($A$1,ROW()+1,3)</f>
        <v>PIPE_63</v>
      </c>
      <c r="T61" s="31" t="s">
        <v>41</v>
      </c>
      <c r="U61" s="7"/>
      <c r="V61" s="7"/>
      <c r="X61" s="39">
        <f t="shared" si="5"/>
        <v>-6.9740000000000002</v>
      </c>
      <c r="Y61" s="39">
        <f t="shared" si="6"/>
        <v>-0.26899999999999924</v>
      </c>
      <c r="Z61" s="39">
        <f t="shared" si="7"/>
        <v>101.88200000000001</v>
      </c>
    </row>
    <row r="62" spans="1:26" x14ac:dyDescent="0.25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  <c r="X62" s="39">
        <f t="shared" si="5"/>
        <v>-6.9740000000000002</v>
      </c>
      <c r="Y62" s="39">
        <f t="shared" si="6"/>
        <v>-0.26899999999999924</v>
      </c>
      <c r="Z62" s="39">
        <f t="shared" si="7"/>
        <v>101.88200000000001</v>
      </c>
    </row>
    <row r="63" spans="1:26" x14ac:dyDescent="0.25">
      <c r="A63" s="7" t="s">
        <v>7</v>
      </c>
      <c r="B63" s="7" t="s">
        <v>7</v>
      </c>
      <c r="C63" s="30" t="s">
        <v>7</v>
      </c>
      <c r="D63" s="7" t="str">
        <f t="shared" si="8"/>
        <v>PIPE_63</v>
      </c>
      <c r="E63" s="7"/>
      <c r="F63" s="31">
        <f>0.1-0.08/2+1.84</f>
        <v>1.9000000000000001</v>
      </c>
      <c r="G63" s="32">
        <v>90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168.3</v>
      </c>
      <c r="N63" s="33">
        <v>7.11</v>
      </c>
      <c r="O63" s="36">
        <v>1.28</v>
      </c>
      <c r="P63" s="36"/>
      <c r="Q63" s="7"/>
      <c r="R63" s="31"/>
      <c r="S63" s="7"/>
      <c r="T63" s="31"/>
      <c r="U63" s="7"/>
      <c r="V63" s="7"/>
      <c r="X63" s="39">
        <f t="shared" si="5"/>
        <v>-6.9740000000000002</v>
      </c>
      <c r="Y63" s="39">
        <f t="shared" si="6"/>
        <v>-0.26899999999999924</v>
      </c>
      <c r="Z63" s="39">
        <f t="shared" si="7"/>
        <v>103.78200000000001</v>
      </c>
    </row>
    <row r="64" spans="1:26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  <c r="X64" s="39">
        <f t="shared" si="5"/>
        <v>-6.9740000000000002</v>
      </c>
      <c r="Y64" s="39">
        <f t="shared" si="6"/>
        <v>-0.26899999999999924</v>
      </c>
      <c r="Z64" s="39">
        <f t="shared" si="7"/>
        <v>103.78200000000001</v>
      </c>
    </row>
    <row r="65" spans="1:26" x14ac:dyDescent="0.25">
      <c r="A65" s="7" t="s">
        <v>45</v>
      </c>
      <c r="B65" s="7" t="s">
        <v>9</v>
      </c>
      <c r="C65" s="30" t="s">
        <v>55</v>
      </c>
      <c r="D65" s="7" t="str">
        <f>CONCATENATE("JUNC_",ROW())</f>
        <v>JUNC_65</v>
      </c>
      <c r="E65" s="7" t="s">
        <v>51</v>
      </c>
      <c r="F65" s="31">
        <v>7.5999999999999998E-2</v>
      </c>
      <c r="G65" s="32">
        <v>90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168.3</v>
      </c>
      <c r="N65" s="33">
        <v>7.11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 ca="1">OFFSET($A$1,ROW()+1,3)</f>
        <v>PIPE_67</v>
      </c>
      <c r="T65" s="31" t="s">
        <v>41</v>
      </c>
      <c r="U65" s="7"/>
      <c r="V65" s="7"/>
      <c r="X65" s="39">
        <f t="shared" si="5"/>
        <v>-6.9740000000000002</v>
      </c>
      <c r="Y65" s="39">
        <f t="shared" si="6"/>
        <v>-0.26899999999999924</v>
      </c>
      <c r="Z65" s="39">
        <f t="shared" si="7"/>
        <v>103.858</v>
      </c>
    </row>
    <row r="66" spans="1:26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  <c r="X66" s="39">
        <f t="shared" si="5"/>
        <v>-6.9740000000000002</v>
      </c>
      <c r="Y66" s="39">
        <f t="shared" si="6"/>
        <v>-0.26899999999999924</v>
      </c>
      <c r="Z66" s="39">
        <f t="shared" si="7"/>
        <v>103.858</v>
      </c>
    </row>
    <row r="67" spans="1:26" x14ac:dyDescent="0.25">
      <c r="A67" s="7" t="s">
        <v>7</v>
      </c>
      <c r="B67" s="7" t="s">
        <v>7</v>
      </c>
      <c r="C67" s="30" t="s">
        <v>7</v>
      </c>
      <c r="D67" s="7" t="str">
        <f t="shared" si="8"/>
        <v>PIPE_67</v>
      </c>
      <c r="E67" s="7"/>
      <c r="F67" s="31">
        <f>2.361+0.229</f>
        <v>2.5900000000000003</v>
      </c>
      <c r="G67" s="32">
        <v>90</v>
      </c>
      <c r="H67" s="32">
        <v>0</v>
      </c>
      <c r="I67" s="32">
        <v>0</v>
      </c>
      <c r="J67" s="29">
        <v>0</v>
      </c>
      <c r="K67" s="29">
        <v>0</v>
      </c>
      <c r="L67" s="29">
        <v>0</v>
      </c>
      <c r="M67" s="33">
        <v>168.3</v>
      </c>
      <c r="N67" s="33">
        <v>7.11</v>
      </c>
      <c r="O67" s="36">
        <v>1.28</v>
      </c>
      <c r="P67" s="36"/>
      <c r="Q67" s="7"/>
      <c r="R67" s="31"/>
      <c r="S67" s="7"/>
      <c r="T67" s="31"/>
      <c r="U67" s="7"/>
      <c r="V67" s="7"/>
      <c r="X67" s="39">
        <f t="shared" si="5"/>
        <v>-6.9740000000000002</v>
      </c>
      <c r="Y67" s="39">
        <f t="shared" si="6"/>
        <v>-0.26899999999999924</v>
      </c>
      <c r="Z67" s="39">
        <f t="shared" si="7"/>
        <v>106.44800000000001</v>
      </c>
    </row>
    <row r="68" spans="1:26" x14ac:dyDescent="0.25">
      <c r="A68" s="7" t="s">
        <v>7</v>
      </c>
      <c r="B68" s="7" t="s">
        <v>7</v>
      </c>
      <c r="C68" s="30" t="s">
        <v>7</v>
      </c>
      <c r="D68" s="7" t="str">
        <f t="shared" si="8"/>
        <v>PIPE_68</v>
      </c>
      <c r="E68" s="7"/>
      <c r="F68" s="31">
        <f>0.659+0.194</f>
        <v>0.85299999999999998</v>
      </c>
      <c r="G68" s="32">
        <v>0</v>
      </c>
      <c r="H68" s="32">
        <v>270</v>
      </c>
      <c r="I68" s="32">
        <v>0</v>
      </c>
      <c r="J68" s="29">
        <v>0</v>
      </c>
      <c r="K68" s="29">
        <v>0</v>
      </c>
      <c r="L68" s="29">
        <v>0</v>
      </c>
      <c r="M68" s="33">
        <v>168.3</v>
      </c>
      <c r="N68" s="33">
        <v>7.11</v>
      </c>
      <c r="O68" s="36">
        <v>1.28</v>
      </c>
      <c r="P68" s="36"/>
      <c r="Q68" s="7"/>
      <c r="R68" s="31"/>
      <c r="S68" s="7"/>
      <c r="T68" s="31"/>
      <c r="U68" s="7"/>
      <c r="V68" s="7"/>
      <c r="X68" s="39">
        <f t="shared" si="5"/>
        <v>-6.9740000000000002</v>
      </c>
      <c r="Y68" s="39">
        <f t="shared" si="6"/>
        <v>-1.1219999999999992</v>
      </c>
      <c r="Z68" s="39">
        <f t="shared" si="7"/>
        <v>106.44800000000001</v>
      </c>
    </row>
    <row r="69" spans="1:26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  <c r="X69" s="39">
        <f t="shared" si="5"/>
        <v>-6.9740000000000002</v>
      </c>
      <c r="Y69" s="39">
        <f t="shared" si="6"/>
        <v>-1.1219999999999992</v>
      </c>
      <c r="Z69" s="39">
        <f t="shared" si="7"/>
        <v>106.44800000000001</v>
      </c>
    </row>
    <row r="70" spans="1:26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6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6" x14ac:dyDescent="0.25">
      <c r="A72" s="7" t="s">
        <v>82</v>
      </c>
      <c r="B72" s="7" t="s">
        <v>65</v>
      </c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6" x14ac:dyDescent="0.25">
      <c r="A73" s="7" t="s">
        <v>45</v>
      </c>
      <c r="B73" s="7" t="s">
        <v>10</v>
      </c>
      <c r="C73" s="30" t="s">
        <v>20</v>
      </c>
      <c r="D73" s="7" t="str">
        <f>CONCATENATE("JUNC_",ROW())</f>
        <v>JUNC_73</v>
      </c>
      <c r="E73" s="7"/>
      <c r="F73" s="31">
        <v>0</v>
      </c>
      <c r="G73" s="32">
        <v>0</v>
      </c>
      <c r="H73" s="32">
        <v>0</v>
      </c>
      <c r="I73" s="32">
        <v>0</v>
      </c>
      <c r="J73" s="29">
        <v>0</v>
      </c>
      <c r="K73" s="29">
        <v>0</v>
      </c>
      <c r="L73" s="29">
        <v>0</v>
      </c>
      <c r="M73" s="33">
        <v>97.93</v>
      </c>
      <c r="N73" s="33">
        <v>2.02</v>
      </c>
      <c r="O73" s="36"/>
      <c r="P73" s="36"/>
      <c r="Q73" s="7" t="str">
        <f>D59</f>
        <v>PIPE_59</v>
      </c>
      <c r="R73" s="31">
        <v>0.372</v>
      </c>
      <c r="S73" s="7" t="str">
        <f ca="1">OFFSET($A$1,ROW()+1,3)</f>
        <v>PIPE_75</v>
      </c>
      <c r="T73" s="31" t="s">
        <v>41</v>
      </c>
      <c r="U73" s="7"/>
      <c r="V73" s="7"/>
      <c r="X73" s="39">
        <f t="shared" ref="X73:X85" si="9">IF(OR(A73="volume",A73="pipe",A73="junction"),X72+F73*COS(G73*PI()/180)*COS(H73*PI()/180)+J73,X72)</f>
        <v>0</v>
      </c>
      <c r="Y73" s="39">
        <f t="shared" ref="Y73:Y85" si="10">IF(OR(A73="volume",A73="pipe",A73="junction"),Y72+F73*COS(G73*PI()/180)*SIN(H73*PI()/180)+K73,Y72)</f>
        <v>0</v>
      </c>
      <c r="Z73" s="39">
        <f t="shared" ref="Z73:Z85" si="11">IF(OR(A73="volume",A73="pipe",A73="junction"),Z72+F73*SIN(G73*PI()/180)+L73,Z72)</f>
        <v>0</v>
      </c>
    </row>
    <row r="74" spans="1:26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  <c r="X74" s="39">
        <f t="shared" si="9"/>
        <v>0</v>
      </c>
      <c r="Y74" s="39">
        <f t="shared" si="10"/>
        <v>0</v>
      </c>
      <c r="Z74" s="39">
        <f t="shared" si="11"/>
        <v>0</v>
      </c>
    </row>
    <row r="75" spans="1:26" x14ac:dyDescent="0.25">
      <c r="A75" s="7" t="s">
        <v>7</v>
      </c>
      <c r="B75" s="7" t="s">
        <v>7</v>
      </c>
      <c r="C75" s="30" t="s">
        <v>7</v>
      </c>
      <c r="D75" s="7" t="str">
        <f t="shared" ref="D75:D80" si="12">CONCATENATE("PIPE_",ROW())</f>
        <v>PIPE_75</v>
      </c>
      <c r="E75" s="7"/>
      <c r="F75" s="31">
        <v>0.17499999999999999</v>
      </c>
      <c r="G75" s="32">
        <v>0</v>
      </c>
      <c r="H75" s="32">
        <v>45</v>
      </c>
      <c r="I75" s="32">
        <v>0</v>
      </c>
      <c r="J75" s="29">
        <v>0</v>
      </c>
      <c r="K75" s="29">
        <v>0</v>
      </c>
      <c r="L75" s="29">
        <v>0</v>
      </c>
      <c r="M75" s="33">
        <v>88.9</v>
      </c>
      <c r="N75" s="33">
        <v>5.49</v>
      </c>
      <c r="O75" s="36">
        <v>1.28</v>
      </c>
      <c r="P75" s="36"/>
      <c r="Q75" s="7"/>
      <c r="R75" s="31"/>
      <c r="S75" s="7"/>
      <c r="T75" s="31"/>
      <c r="U75" s="7"/>
      <c r="V75" s="7"/>
      <c r="X75" s="39">
        <f t="shared" si="9"/>
        <v>0.12374368670764582</v>
      </c>
      <c r="Y75" s="39">
        <f t="shared" si="10"/>
        <v>0.12374368670764579</v>
      </c>
      <c r="Z75" s="39">
        <f t="shared" si="11"/>
        <v>0</v>
      </c>
    </row>
    <row r="76" spans="1:26" x14ac:dyDescent="0.25">
      <c r="A76" s="7" t="s">
        <v>7</v>
      </c>
      <c r="B76" s="7" t="s">
        <v>7</v>
      </c>
      <c r="C76" s="30" t="s">
        <v>7</v>
      </c>
      <c r="D76" s="7" t="str">
        <f t="shared" si="12"/>
        <v>PIPE_76</v>
      </c>
      <c r="E76" s="7"/>
      <c r="F76" s="31">
        <v>0.47499999999999998</v>
      </c>
      <c r="G76" s="32">
        <v>0</v>
      </c>
      <c r="H76" s="32">
        <v>0</v>
      </c>
      <c r="I76" s="32">
        <v>0</v>
      </c>
      <c r="J76" s="29">
        <v>0</v>
      </c>
      <c r="K76" s="29">
        <v>0</v>
      </c>
      <c r="L76" s="29">
        <v>0</v>
      </c>
      <c r="M76" s="33">
        <v>88.9</v>
      </c>
      <c r="N76" s="33">
        <v>5.49</v>
      </c>
      <c r="O76" s="36">
        <v>1.28</v>
      </c>
      <c r="P76" s="36"/>
      <c r="Q76" s="7"/>
      <c r="R76" s="31"/>
      <c r="S76" s="7"/>
      <c r="T76" s="31"/>
      <c r="U76" s="7"/>
      <c r="V76" s="7"/>
      <c r="X76" s="39">
        <f t="shared" si="9"/>
        <v>0.59874368670764577</v>
      </c>
      <c r="Y76" s="39">
        <f t="shared" si="10"/>
        <v>0.12374368670764579</v>
      </c>
      <c r="Z76" s="39">
        <f t="shared" si="11"/>
        <v>0</v>
      </c>
    </row>
    <row r="77" spans="1:26" x14ac:dyDescent="0.25">
      <c r="A77" s="7" t="s">
        <v>7</v>
      </c>
      <c r="B77" s="7" t="s">
        <v>7</v>
      </c>
      <c r="C77" s="30" t="s">
        <v>7</v>
      </c>
      <c r="D77" s="7" t="str">
        <f t="shared" si="12"/>
        <v>PIPE_77</v>
      </c>
      <c r="E77" s="7"/>
      <c r="F77" s="31">
        <v>0.44800000000000001</v>
      </c>
      <c r="G77" s="32">
        <v>0</v>
      </c>
      <c r="H77" s="32">
        <v>90</v>
      </c>
      <c r="I77" s="32">
        <v>0</v>
      </c>
      <c r="J77" s="29">
        <v>0</v>
      </c>
      <c r="K77" s="29">
        <v>0</v>
      </c>
      <c r="L77" s="29">
        <v>0</v>
      </c>
      <c r="M77" s="33">
        <v>88.9</v>
      </c>
      <c r="N77" s="33">
        <v>5.49</v>
      </c>
      <c r="O77" s="36">
        <v>1.28</v>
      </c>
      <c r="P77" s="36"/>
      <c r="Q77" s="7"/>
      <c r="R77" s="31"/>
      <c r="S77" s="7"/>
      <c r="T77" s="31"/>
      <c r="U77" s="7"/>
      <c r="V77" s="7"/>
      <c r="X77" s="39">
        <f t="shared" si="9"/>
        <v>0.59874368670764577</v>
      </c>
      <c r="Y77" s="39">
        <f t="shared" si="10"/>
        <v>0.57174368670764575</v>
      </c>
      <c r="Z77" s="39">
        <f t="shared" si="11"/>
        <v>0</v>
      </c>
    </row>
    <row r="78" spans="1:26" x14ac:dyDescent="0.25">
      <c r="A78" s="7" t="s">
        <v>7</v>
      </c>
      <c r="B78" s="7" t="s">
        <v>7</v>
      </c>
      <c r="C78" s="30" t="s">
        <v>7</v>
      </c>
      <c r="D78" s="7" t="str">
        <f t="shared" si="12"/>
        <v>PIPE_78</v>
      </c>
      <c r="E78" s="7"/>
      <c r="F78" s="31">
        <v>0.114</v>
      </c>
      <c r="G78" s="32">
        <v>90</v>
      </c>
      <c r="H78" s="32">
        <v>0</v>
      </c>
      <c r="I78" s="32">
        <v>0</v>
      </c>
      <c r="J78" s="29">
        <v>0</v>
      </c>
      <c r="K78" s="29">
        <v>0</v>
      </c>
      <c r="L78" s="29">
        <v>0</v>
      </c>
      <c r="M78" s="33">
        <v>88.9</v>
      </c>
      <c r="N78" s="33">
        <v>5.49</v>
      </c>
      <c r="O78" s="36">
        <v>1.28</v>
      </c>
      <c r="P78" s="36"/>
      <c r="Q78" s="7"/>
      <c r="R78" s="31"/>
      <c r="S78" s="7"/>
      <c r="T78" s="31"/>
      <c r="U78" s="7"/>
      <c r="V78" s="7"/>
      <c r="X78" s="39">
        <f t="shared" si="9"/>
        <v>0.59874368670764577</v>
      </c>
      <c r="Y78" s="39">
        <f t="shared" si="10"/>
        <v>0.57174368670764575</v>
      </c>
      <c r="Z78" s="39">
        <f t="shared" si="11"/>
        <v>0.114</v>
      </c>
    </row>
    <row r="79" spans="1:26" x14ac:dyDescent="0.25">
      <c r="A79" s="7" t="s">
        <v>7</v>
      </c>
      <c r="B79" s="7" t="s">
        <v>7</v>
      </c>
      <c r="C79" s="30" t="s">
        <v>7</v>
      </c>
      <c r="D79" s="7" t="str">
        <f t="shared" si="12"/>
        <v>PIPE_79</v>
      </c>
      <c r="E79" s="7"/>
      <c r="F79" s="31">
        <f>0.063+0.08</f>
        <v>0.14300000000000002</v>
      </c>
      <c r="G79" s="32">
        <v>90</v>
      </c>
      <c r="H79" s="32">
        <v>0</v>
      </c>
      <c r="I79" s="32">
        <v>0</v>
      </c>
      <c r="J79" s="29">
        <v>0</v>
      </c>
      <c r="K79" s="29">
        <v>0</v>
      </c>
      <c r="L79" s="29">
        <v>0</v>
      </c>
      <c r="M79" s="33">
        <v>60.32</v>
      </c>
      <c r="N79" s="33">
        <v>3.91</v>
      </c>
      <c r="O79" s="36">
        <v>1.28</v>
      </c>
      <c r="P79" s="36"/>
      <c r="Q79" s="7"/>
      <c r="R79" s="31"/>
      <c r="S79" s="7"/>
      <c r="T79" s="31"/>
      <c r="U79" s="7"/>
      <c r="V79" s="7"/>
      <c r="X79" s="39">
        <f t="shared" si="9"/>
        <v>0.59874368670764577</v>
      </c>
      <c r="Y79" s="39">
        <f t="shared" si="10"/>
        <v>0.57174368670764575</v>
      </c>
      <c r="Z79" s="39">
        <f t="shared" si="11"/>
        <v>0.25700000000000001</v>
      </c>
    </row>
    <row r="80" spans="1:26" x14ac:dyDescent="0.25">
      <c r="A80" s="7" t="s">
        <v>7</v>
      </c>
      <c r="B80" s="7" t="s">
        <v>7</v>
      </c>
      <c r="C80" s="30" t="s">
        <v>7</v>
      </c>
      <c r="D80" s="7" t="str">
        <f t="shared" si="12"/>
        <v>PIPE_80</v>
      </c>
      <c r="E80" s="7"/>
      <c r="F80" s="31">
        <f>0.063+0.1+0.071</f>
        <v>0.23399999999999999</v>
      </c>
      <c r="G80" s="32">
        <v>90</v>
      </c>
      <c r="H80" s="32">
        <v>0</v>
      </c>
      <c r="I80" s="32">
        <v>0</v>
      </c>
      <c r="J80" s="29">
        <v>0</v>
      </c>
      <c r="K80" s="29">
        <v>0</v>
      </c>
      <c r="L80" s="29">
        <v>0</v>
      </c>
      <c r="M80" s="33">
        <v>48.26</v>
      </c>
      <c r="N80" s="33">
        <v>3.68</v>
      </c>
      <c r="O80" s="36">
        <v>1.28</v>
      </c>
      <c r="P80" s="36"/>
      <c r="Q80" s="7"/>
      <c r="R80" s="31"/>
      <c r="S80" s="7"/>
      <c r="T80" s="31"/>
      <c r="U80" s="7"/>
      <c r="V80" s="7"/>
      <c r="X80" s="39">
        <f t="shared" si="9"/>
        <v>0.59874368670764577</v>
      </c>
      <c r="Y80" s="39">
        <f t="shared" si="10"/>
        <v>0.57174368670764575</v>
      </c>
      <c r="Z80" s="39">
        <f t="shared" si="11"/>
        <v>0.49099999999999999</v>
      </c>
    </row>
    <row r="81" spans="1:26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  <c r="X81" s="39">
        <f t="shared" si="9"/>
        <v>0.59874368670764577</v>
      </c>
      <c r="Y81" s="39">
        <f t="shared" si="10"/>
        <v>0.57174368670764575</v>
      </c>
      <c r="Z81" s="39">
        <f t="shared" si="11"/>
        <v>0.49099999999999999</v>
      </c>
    </row>
    <row r="82" spans="1:26" x14ac:dyDescent="0.25">
      <c r="A82" s="7" t="s">
        <v>45</v>
      </c>
      <c r="B82" s="7" t="s">
        <v>84</v>
      </c>
      <c r="C82" s="30" t="s">
        <v>62</v>
      </c>
      <c r="D82" s="7" t="str">
        <f>CONCATENATE("JUNC_",ROW())</f>
        <v>JUNC_82</v>
      </c>
      <c r="E82" s="7"/>
      <c r="F82" s="31">
        <v>0</v>
      </c>
      <c r="G82" s="32">
        <v>90</v>
      </c>
      <c r="H82" s="32">
        <v>0</v>
      </c>
      <c r="I82" s="32">
        <v>0</v>
      </c>
      <c r="J82" s="29">
        <v>0</v>
      </c>
      <c r="K82" s="29">
        <v>0</v>
      </c>
      <c r="L82" s="29">
        <v>0</v>
      </c>
      <c r="M82" s="33">
        <f>M80</f>
        <v>48.26</v>
      </c>
      <c r="N82" s="33">
        <f>N80</f>
        <v>3.68</v>
      </c>
      <c r="O82" s="36"/>
      <c r="P82" s="36"/>
      <c r="Q82" s="7" t="str">
        <f ca="1">OFFSET($A$1,ROW()-3,3)</f>
        <v>PIPE_80</v>
      </c>
      <c r="R82" s="31" t="s">
        <v>42</v>
      </c>
      <c r="S82" s="7" t="str">
        <f ca="1">OFFSET($A$1,ROW()+1,3)</f>
        <v>PIPE_84</v>
      </c>
      <c r="T82" s="31" t="s">
        <v>41</v>
      </c>
      <c r="U82" s="7"/>
      <c r="V82" s="7"/>
      <c r="X82" s="39">
        <f t="shared" si="9"/>
        <v>0.59874368670764577</v>
      </c>
      <c r="Y82" s="39">
        <f t="shared" si="10"/>
        <v>0.57174368670764575</v>
      </c>
      <c r="Z82" s="39">
        <f t="shared" si="11"/>
        <v>0.49099999999999999</v>
      </c>
    </row>
    <row r="83" spans="1:26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  <c r="X83" s="39">
        <f t="shared" si="9"/>
        <v>0.59874368670764577</v>
      </c>
      <c r="Y83" s="39">
        <f t="shared" si="10"/>
        <v>0.57174368670764575</v>
      </c>
      <c r="Z83" s="39">
        <f t="shared" si="11"/>
        <v>0.49099999999999999</v>
      </c>
    </row>
    <row r="84" spans="1:26" x14ac:dyDescent="0.25">
      <c r="A84" s="7" t="s">
        <v>7</v>
      </c>
      <c r="B84" s="7" t="s">
        <v>7</v>
      </c>
      <c r="C84" s="30" t="s">
        <v>7</v>
      </c>
      <c r="D84" s="7" t="str">
        <f>CONCATENATE("PIPE_",ROW())</f>
        <v>PIPE_84</v>
      </c>
      <c r="E84" s="7"/>
      <c r="F84" s="31">
        <f>0.1+0.445+0.1</f>
        <v>0.64500000000000002</v>
      </c>
      <c r="G84" s="32">
        <v>0</v>
      </c>
      <c r="H84" s="32">
        <v>0</v>
      </c>
      <c r="I84" s="32">
        <v>0</v>
      </c>
      <c r="J84" s="29">
        <v>0</v>
      </c>
      <c r="K84" s="29">
        <v>0</v>
      </c>
      <c r="L84" s="29">
        <v>0</v>
      </c>
      <c r="M84" s="33">
        <v>60</v>
      </c>
      <c r="N84" s="33">
        <v>3.05</v>
      </c>
      <c r="O84" s="36">
        <v>1.5</v>
      </c>
      <c r="P84" s="36"/>
      <c r="Q84" s="7"/>
      <c r="R84" s="31"/>
      <c r="S84" s="7"/>
      <c r="T84" s="31"/>
      <c r="U84" s="7"/>
      <c r="V84" s="7"/>
      <c r="X84" s="39">
        <f t="shared" si="9"/>
        <v>1.2437436867076457</v>
      </c>
      <c r="Y84" s="39">
        <f t="shared" si="10"/>
        <v>0.57174368670764575</v>
      </c>
      <c r="Z84" s="39">
        <f t="shared" si="11"/>
        <v>0.49099999999999999</v>
      </c>
    </row>
    <row r="85" spans="1:26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  <c r="X85" s="39">
        <f t="shared" si="9"/>
        <v>1.2437436867076457</v>
      </c>
      <c r="Y85" s="39">
        <f t="shared" si="10"/>
        <v>0.57174368670764575</v>
      </c>
      <c r="Z85" s="39">
        <f t="shared" si="11"/>
        <v>0.49099999999999999</v>
      </c>
    </row>
    <row r="86" spans="1:26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6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6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6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6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6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6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6" x14ac:dyDescent="0.25">
      <c r="A93" s="7" t="s">
        <v>82</v>
      </c>
      <c r="B93" s="41" t="s">
        <v>56</v>
      </c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6" x14ac:dyDescent="0.25">
      <c r="A94" s="7" t="s">
        <v>29</v>
      </c>
      <c r="B94" s="7" t="s">
        <v>21</v>
      </c>
      <c r="C94" s="30" t="s">
        <v>57</v>
      </c>
      <c r="D94" s="7" t="str">
        <f>CONCATENATE("VOL_",ROW())</f>
        <v>VOL_94</v>
      </c>
      <c r="E94" s="7"/>
      <c r="F94" s="31">
        <v>4.8</v>
      </c>
      <c r="G94" s="32">
        <v>0</v>
      </c>
      <c r="H94" s="32">
        <v>180</v>
      </c>
      <c r="I94" s="32">
        <v>0</v>
      </c>
      <c r="J94" s="29">
        <v>0</v>
      </c>
      <c r="K94" s="29">
        <v>0</v>
      </c>
      <c r="L94" s="29">
        <v>0</v>
      </c>
      <c r="M94" s="33">
        <f>(15+7/8)*25.4</f>
        <v>403.22499999999997</v>
      </c>
      <c r="N94" s="33">
        <v>12</v>
      </c>
      <c r="O94" s="36">
        <f>M94/2000</f>
        <v>0.20161249999999997</v>
      </c>
      <c r="P94" s="36"/>
      <c r="Q94" s="7"/>
      <c r="R94" s="31"/>
      <c r="S94" s="7"/>
      <c r="T94" s="31"/>
      <c r="U94" s="7"/>
      <c r="V94" s="7"/>
      <c r="X94" s="39">
        <f>IF(OR(A94="volume",A94="pipe",A94="junction"),X93+F94*COS(G94*PI()/180)*COS(H94*PI()/180)+J94,X93)</f>
        <v>-4.8</v>
      </c>
      <c r="Y94" s="39">
        <f>IF(OR(A94="volume",A94="pipe",A94="junction"),Y93+F94*COS(G94*PI()/180)*SIN(H94*PI()/180)+K94,Y93)</f>
        <v>5.8807125835613761E-16</v>
      </c>
      <c r="Z94" s="39">
        <f>IF(OR(A94="volume",A94="pipe",A94="junction"),Z93+F94*SIN(G94*PI()/180)+L94,Z93)</f>
        <v>0</v>
      </c>
    </row>
    <row r="95" spans="1:26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  <c r="X95" s="39">
        <f>IF(OR(A95="volume",A95="pipe",A95="junction"),X94+F95*COS(G95*PI()/180)*COS(H95*PI()/180)+J95,X94)</f>
        <v>-4.8</v>
      </c>
      <c r="Y95" s="39">
        <f>IF(OR(A95="volume",A95="pipe",A95="junction"),Y94+F95*COS(G95*PI()/180)*SIN(H95*PI()/180)+K95,Y94)</f>
        <v>5.8807125835613761E-16</v>
      </c>
      <c r="Z95" s="39">
        <f>IF(OR(A95="volume",A95="pipe",A95="junction"),Z94+F95*SIN(G95*PI()/180)+L95,Z94)</f>
        <v>0</v>
      </c>
    </row>
    <row r="96" spans="1:26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6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6" x14ac:dyDescent="0.25">
      <c r="A98" s="7" t="s">
        <v>82</v>
      </c>
      <c r="B98" s="7" t="s">
        <v>58</v>
      </c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  <c r="X98" s="39">
        <f>X48</f>
        <v>-5.73</v>
      </c>
      <c r="Y98" s="39">
        <f t="shared" ref="Y98:Z98" si="13">Y48</f>
        <v>-0.74999999999999922</v>
      </c>
      <c r="Z98" s="39">
        <f t="shared" si="13"/>
        <v>97.902000000000001</v>
      </c>
    </row>
    <row r="99" spans="1:26" x14ac:dyDescent="0.25">
      <c r="A99" s="7" t="s">
        <v>29</v>
      </c>
      <c r="B99" s="7" t="s">
        <v>21</v>
      </c>
      <c r="C99" s="30" t="s">
        <v>59</v>
      </c>
      <c r="D99" s="7" t="str">
        <f>CONCATENATE("VOL_",ROW())</f>
        <v>VOL_99</v>
      </c>
      <c r="E99" s="7"/>
      <c r="F99" s="31">
        <v>4.8</v>
      </c>
      <c r="G99" s="32">
        <v>0</v>
      </c>
      <c r="H99" s="32">
        <v>180</v>
      </c>
      <c r="I99" s="32">
        <v>0</v>
      </c>
      <c r="J99" s="29">
        <v>0</v>
      </c>
      <c r="K99" s="29">
        <v>0</v>
      </c>
      <c r="L99" s="29">
        <v>0</v>
      </c>
      <c r="M99" s="33">
        <f>(19+7/8)*25.4</f>
        <v>504.82499999999999</v>
      </c>
      <c r="N99" s="33">
        <v>12</v>
      </c>
      <c r="O99" s="36">
        <f>M99/2000</f>
        <v>0.25241249999999998</v>
      </c>
      <c r="P99" s="36"/>
      <c r="Q99" s="7"/>
      <c r="R99" s="31"/>
      <c r="S99" s="7"/>
      <c r="T99" s="31"/>
      <c r="U99" s="7"/>
      <c r="V99" s="7"/>
      <c r="X99" s="39">
        <f>IF(OR(A99="volume",A99="pipe",A99="junction"),X98+F99*COS(G99*PI()/180)*COS(H99*PI()/180)+J99,X98)</f>
        <v>-10.530000000000001</v>
      </c>
      <c r="Y99" s="39">
        <f>IF(OR(A99="volume",A99="pipe",A99="junction"),Y98+F99*COS(G99*PI()/180)*SIN(H99*PI()/180)+K99,Y98)</f>
        <v>-0.74999999999999867</v>
      </c>
      <c r="Z99" s="39">
        <f>IF(OR(A99="volume",A99="pipe",A99="junction"),Z98+F99*SIN(G99*PI()/180)+L99,Z98)</f>
        <v>97.902000000000001</v>
      </c>
    </row>
    <row r="100" spans="1:26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  <c r="X100" s="39">
        <f>IF(OR(A100="volume",A100="pipe",A100="junction"),X99+F100*COS(G100*PI()/180)*COS(H100*PI()/180)+J100,X99)</f>
        <v>-10.530000000000001</v>
      </c>
      <c r="Y100" s="39">
        <f>IF(OR(A100="volume",A100="pipe",A100="junction"),Y99+F100*COS(G100*PI()/180)*SIN(H100*PI()/180)+K100,Y99)</f>
        <v>-0.74999999999999867</v>
      </c>
      <c r="Z100" s="39">
        <f>IF(OR(A100="volume",A100="pipe",A100="junction"),Z99+F100*SIN(G100*PI()/180)+L100,Z99)</f>
        <v>97.902000000000001</v>
      </c>
    </row>
    <row r="101" spans="1:26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6" x14ac:dyDescent="0.25">
      <c r="A102" s="7" t="s">
        <v>82</v>
      </c>
      <c r="B102" s="7" t="s">
        <v>66</v>
      </c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6" x14ac:dyDescent="0.25">
      <c r="A103" s="7" t="s">
        <v>45</v>
      </c>
      <c r="B103" s="7" t="s">
        <v>10</v>
      </c>
      <c r="C103" s="30" t="s">
        <v>20</v>
      </c>
      <c r="D103" s="7" t="str">
        <f>CONCATENATE("JUNC_",ROW())</f>
        <v>JUNC_103</v>
      </c>
      <c r="E103" s="7"/>
      <c r="F103" s="31">
        <v>0</v>
      </c>
      <c r="G103" s="32">
        <v>0</v>
      </c>
      <c r="H103" s="32">
        <v>0</v>
      </c>
      <c r="I103" s="32">
        <v>0</v>
      </c>
      <c r="J103" s="29">
        <v>0</v>
      </c>
      <c r="K103" s="29">
        <v>0</v>
      </c>
      <c r="L103" s="29">
        <v>0</v>
      </c>
      <c r="M103" s="33">
        <v>88.9</v>
      </c>
      <c r="N103" s="33">
        <v>11.12</v>
      </c>
      <c r="O103" s="36"/>
      <c r="P103" s="36"/>
      <c r="Q103" s="7" t="str">
        <f>D94</f>
        <v>VOL_94</v>
      </c>
      <c r="R103" s="31">
        <f>0.741618+0.4</f>
        <v>1.141618</v>
      </c>
      <c r="S103" s="7" t="str">
        <f ca="1">OFFSET($A$1,ROW()+1,3)</f>
        <v>PIPE_105</v>
      </c>
      <c r="T103" s="31" t="s">
        <v>41</v>
      </c>
      <c r="U103" s="7"/>
      <c r="V103" s="7"/>
      <c r="X103" s="39">
        <f t="shared" ref="X103:X117" si="14">IF(OR(A103="volume",A103="pipe",A103="junction"),X102+F103*COS(G103*PI()/180)*COS(H103*PI()/180)+J103,X102)</f>
        <v>0</v>
      </c>
      <c r="Y103" s="39">
        <f t="shared" ref="Y103:Y117" si="15">IF(OR(A103="volume",A103="pipe",A103="junction"),Y102+F103*COS(G103*PI()/180)*SIN(H103*PI()/180)+K103,Y102)</f>
        <v>0</v>
      </c>
      <c r="Z103" s="39">
        <f t="shared" ref="Z103:Z117" si="16">IF(OR(A103="volume",A103="pipe",A103="junction"),Z102+F103*SIN(G103*PI()/180)+L103,Z102)</f>
        <v>0</v>
      </c>
    </row>
    <row r="104" spans="1:26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  <c r="X104" s="39">
        <f t="shared" si="14"/>
        <v>0</v>
      </c>
      <c r="Y104" s="39">
        <f t="shared" si="15"/>
        <v>0</v>
      </c>
      <c r="Z104" s="39">
        <f t="shared" si="16"/>
        <v>0</v>
      </c>
    </row>
    <row r="105" spans="1:26" x14ac:dyDescent="0.25">
      <c r="A105" s="7" t="s">
        <v>7</v>
      </c>
      <c r="B105" s="7" t="s">
        <v>7</v>
      </c>
      <c r="C105" s="30" t="s">
        <v>7</v>
      </c>
      <c r="D105" s="7" t="str">
        <f t="shared" ref="D105:D108" si="17">CONCATENATE("PIPE_",ROW())</f>
        <v>PIPE_105</v>
      </c>
      <c r="E105" s="7"/>
      <c r="F105" s="31">
        <f>(1*304.8+(4+3/8)*25.4)*0.001</f>
        <v>0.41592500000000004</v>
      </c>
      <c r="G105" s="32">
        <v>90</v>
      </c>
      <c r="H105" s="32">
        <v>0</v>
      </c>
      <c r="I105" s="32">
        <v>0</v>
      </c>
      <c r="J105" s="29">
        <v>0</v>
      </c>
      <c r="K105" s="29">
        <v>0</v>
      </c>
      <c r="L105" s="29">
        <v>0</v>
      </c>
      <c r="M105" s="33">
        <v>88.9</v>
      </c>
      <c r="N105" s="33">
        <v>11.12</v>
      </c>
      <c r="O105" s="36">
        <v>1.5</v>
      </c>
      <c r="P105" s="36"/>
      <c r="Q105" s="7"/>
      <c r="R105" s="31"/>
      <c r="S105" s="7"/>
      <c r="T105" s="31"/>
      <c r="U105" s="7" t="s">
        <v>60</v>
      </c>
      <c r="V105" s="7"/>
      <c r="X105" s="39">
        <f t="shared" si="14"/>
        <v>2.5478493555393392E-17</v>
      </c>
      <c r="Y105" s="39">
        <f t="shared" si="15"/>
        <v>0</v>
      </c>
      <c r="Z105" s="39">
        <f t="shared" si="16"/>
        <v>0.41592500000000004</v>
      </c>
    </row>
    <row r="106" spans="1:26" x14ac:dyDescent="0.25">
      <c r="A106" s="7" t="s">
        <v>7</v>
      </c>
      <c r="B106" s="7" t="s">
        <v>7</v>
      </c>
      <c r="C106" s="30" t="s">
        <v>7</v>
      </c>
      <c r="D106" s="7" t="str">
        <f t="shared" si="17"/>
        <v>PIPE_106</v>
      </c>
      <c r="E106" s="7"/>
      <c r="F106" s="31">
        <f>(2*4.5+7+3/32)*0.0254</f>
        <v>0.40878124999999998</v>
      </c>
      <c r="G106" s="32">
        <v>0</v>
      </c>
      <c r="H106" s="32">
        <f>270-GetAngle_DyDz(6.5*25.4,305+3*25.4)</f>
        <v>246.58227506973051</v>
      </c>
      <c r="I106" s="32">
        <v>0</v>
      </c>
      <c r="J106" s="29">
        <v>0</v>
      </c>
      <c r="K106" s="29">
        <v>0</v>
      </c>
      <c r="L106" s="29">
        <v>0</v>
      </c>
      <c r="M106" s="33">
        <v>88.9</v>
      </c>
      <c r="N106" s="33">
        <v>11.12</v>
      </c>
      <c r="O106" s="36">
        <v>1.5</v>
      </c>
      <c r="P106" s="36"/>
      <c r="Q106" s="7"/>
      <c r="R106" s="31"/>
      <c r="S106" s="7"/>
      <c r="T106" s="31"/>
      <c r="U106" s="7" t="s">
        <v>60</v>
      </c>
      <c r="V106" s="7"/>
      <c r="X106" s="39">
        <f t="shared" si="14"/>
        <v>-0.16246266256606498</v>
      </c>
      <c r="Y106" s="39">
        <f t="shared" si="15"/>
        <v>-0.37511064184252013</v>
      </c>
      <c r="Z106" s="39">
        <f t="shared" si="16"/>
        <v>0.41592500000000004</v>
      </c>
    </row>
    <row r="107" spans="1:26" x14ac:dyDescent="0.25">
      <c r="A107" s="7" t="s">
        <v>7</v>
      </c>
      <c r="B107" s="7" t="s">
        <v>7</v>
      </c>
      <c r="C107" s="30" t="s">
        <v>7</v>
      </c>
      <c r="D107" s="7" t="str">
        <f t="shared" si="17"/>
        <v>PIPE_107</v>
      </c>
      <c r="E107" s="7"/>
      <c r="F107" s="31">
        <f>0.9559+0.838</f>
        <v>1.7938999999999998</v>
      </c>
      <c r="G107" s="32">
        <v>-90</v>
      </c>
      <c r="H107" s="32">
        <v>0</v>
      </c>
      <c r="I107" s="32">
        <v>0</v>
      </c>
      <c r="J107" s="29">
        <v>0</v>
      </c>
      <c r="K107" s="29">
        <v>0</v>
      </c>
      <c r="L107" s="29">
        <v>0</v>
      </c>
      <c r="M107" s="33">
        <v>88.9</v>
      </c>
      <c r="N107" s="33">
        <v>11.12</v>
      </c>
      <c r="O107" s="36">
        <v>1.5</v>
      </c>
      <c r="P107" s="36"/>
      <c r="Q107" s="7"/>
      <c r="R107" s="31"/>
      <c r="S107" s="7"/>
      <c r="T107" s="31"/>
      <c r="U107" s="7" t="s">
        <v>60</v>
      </c>
      <c r="V107" s="7"/>
      <c r="X107" s="39">
        <f t="shared" si="14"/>
        <v>-0.16246266256606487</v>
      </c>
      <c r="Y107" s="39">
        <f t="shared" si="15"/>
        <v>-0.37511064184252013</v>
      </c>
      <c r="Z107" s="39">
        <f t="shared" si="16"/>
        <v>-1.3779749999999997</v>
      </c>
    </row>
    <row r="108" spans="1:26" x14ac:dyDescent="0.25">
      <c r="A108" s="7" t="s">
        <v>7</v>
      </c>
      <c r="B108" s="7" t="s">
        <v>7</v>
      </c>
      <c r="C108" s="30" t="s">
        <v>7</v>
      </c>
      <c r="D108" s="7" t="str">
        <f t="shared" si="17"/>
        <v>PIPE_108</v>
      </c>
      <c r="E108" s="7"/>
      <c r="F108" s="31">
        <f>(2*304.8+(2+3/32)*25.4)*0.001</f>
        <v>0.66278124999999999</v>
      </c>
      <c r="G108" s="32">
        <v>0</v>
      </c>
      <c r="H108" s="32">
        <v>0</v>
      </c>
      <c r="I108" s="32">
        <v>0</v>
      </c>
      <c r="J108" s="29">
        <v>0</v>
      </c>
      <c r="K108" s="29">
        <v>0</v>
      </c>
      <c r="L108" s="29">
        <v>0</v>
      </c>
      <c r="M108" s="33">
        <v>88.9</v>
      </c>
      <c r="N108" s="33">
        <v>11.12</v>
      </c>
      <c r="O108" s="36">
        <v>1.5</v>
      </c>
      <c r="P108" s="36"/>
      <c r="Q108" s="7"/>
      <c r="R108" s="31"/>
      <c r="S108" s="7"/>
      <c r="T108" s="31"/>
      <c r="U108" s="7" t="s">
        <v>60</v>
      </c>
      <c r="V108" s="7"/>
      <c r="X108" s="39">
        <f t="shared" si="14"/>
        <v>0.50031858743393509</v>
      </c>
      <c r="Y108" s="39">
        <f t="shared" si="15"/>
        <v>-0.37511064184252013</v>
      </c>
      <c r="Z108" s="39">
        <f t="shared" si="16"/>
        <v>-1.3779749999999997</v>
      </c>
    </row>
    <row r="109" spans="1:26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  <c r="X109" s="39">
        <f t="shared" si="14"/>
        <v>0.50031858743393509</v>
      </c>
      <c r="Y109" s="39">
        <f t="shared" si="15"/>
        <v>-0.37511064184252013</v>
      </c>
      <c r="Z109" s="39">
        <f t="shared" si="16"/>
        <v>-1.3779749999999997</v>
      </c>
    </row>
    <row r="110" spans="1:26" x14ac:dyDescent="0.25">
      <c r="A110" s="7" t="s">
        <v>45</v>
      </c>
      <c r="B110" s="7" t="s">
        <v>10</v>
      </c>
      <c r="C110" s="30" t="s">
        <v>61</v>
      </c>
      <c r="D110" s="7" t="str">
        <f>CONCATENATE("JUNC_",ROW())</f>
        <v>JUNC_110</v>
      </c>
      <c r="E110" s="7"/>
      <c r="F110" s="31">
        <v>0</v>
      </c>
      <c r="G110" s="32">
        <v>0</v>
      </c>
      <c r="H110" s="32">
        <v>0</v>
      </c>
      <c r="I110" s="32">
        <v>0</v>
      </c>
      <c r="J110" s="29">
        <v>0</v>
      </c>
      <c r="K110" s="29">
        <v>0</v>
      </c>
      <c r="L110" s="29">
        <v>0</v>
      </c>
      <c r="M110" s="33">
        <v>88.9</v>
      </c>
      <c r="N110" s="33">
        <v>11.12</v>
      </c>
      <c r="O110" s="36"/>
      <c r="P110" s="36"/>
      <c r="Q110" s="7" t="str">
        <f ca="1">OFFSET($A$1,ROW()-3,3)</f>
        <v>PIPE_108</v>
      </c>
      <c r="R110" s="31" t="s">
        <v>42</v>
      </c>
      <c r="S110" s="7" t="str">
        <f ca="1">OFFSET($A$1,ROW()+1,3)</f>
        <v>PIPE_112</v>
      </c>
      <c r="T110" s="31" t="s">
        <v>41</v>
      </c>
      <c r="U110" s="7"/>
      <c r="V110" s="7"/>
      <c r="X110" s="39">
        <f t="shared" si="14"/>
        <v>0.50031858743393509</v>
      </c>
      <c r="Y110" s="39">
        <f t="shared" si="15"/>
        <v>-0.37511064184252013</v>
      </c>
      <c r="Z110" s="39">
        <f t="shared" si="16"/>
        <v>-1.3779749999999997</v>
      </c>
    </row>
    <row r="111" spans="1:26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  <c r="X111" s="39">
        <f t="shared" si="14"/>
        <v>0.50031858743393509</v>
      </c>
      <c r="Y111" s="39">
        <f t="shared" si="15"/>
        <v>-0.37511064184252013</v>
      </c>
      <c r="Z111" s="39">
        <f t="shared" si="16"/>
        <v>-1.3779749999999997</v>
      </c>
    </row>
    <row r="112" spans="1:26" x14ac:dyDescent="0.25">
      <c r="A112" s="7" t="s">
        <v>7</v>
      </c>
      <c r="B112" s="7" t="s">
        <v>7</v>
      </c>
      <c r="C112" s="30" t="s">
        <v>7</v>
      </c>
      <c r="D112" s="7" t="str">
        <f t="shared" ref="D112:D114" si="18">CONCATENATE("PIPE_",ROW())</f>
        <v>PIPE_112</v>
      </c>
      <c r="E112" s="7"/>
      <c r="F112" s="31">
        <f>(9+1/2)*25.4*0.001</f>
        <v>0.24129999999999999</v>
      </c>
      <c r="G112" s="32">
        <v>0</v>
      </c>
      <c r="H112" s="32">
        <v>0</v>
      </c>
      <c r="I112" s="32">
        <v>0</v>
      </c>
      <c r="J112" s="29">
        <v>0</v>
      </c>
      <c r="K112" s="29">
        <v>0</v>
      </c>
      <c r="L112" s="29">
        <v>0</v>
      </c>
      <c r="M112" s="33">
        <v>88.9</v>
      </c>
      <c r="N112" s="33">
        <v>11.12</v>
      </c>
      <c r="O112" s="36">
        <v>1.5</v>
      </c>
      <c r="P112" s="36"/>
      <c r="Q112" s="7"/>
      <c r="R112" s="31"/>
      <c r="S112" s="7"/>
      <c r="T112" s="31"/>
      <c r="U112" s="7" t="s">
        <v>60</v>
      </c>
      <c r="V112" s="7"/>
      <c r="X112" s="39">
        <f t="shared" si="14"/>
        <v>0.74161858743393505</v>
      </c>
      <c r="Y112" s="39">
        <f t="shared" si="15"/>
        <v>-0.37511064184252013</v>
      </c>
      <c r="Z112" s="39">
        <f t="shared" si="16"/>
        <v>-1.3779749999999997</v>
      </c>
    </row>
    <row r="113" spans="1:26" x14ac:dyDescent="0.25">
      <c r="A113" s="7" t="s">
        <v>7</v>
      </c>
      <c r="B113" s="7" t="s">
        <v>7</v>
      </c>
      <c r="C113" s="30" t="s">
        <v>7</v>
      </c>
      <c r="D113" s="7" t="str">
        <f t="shared" si="18"/>
        <v>PIPE_113</v>
      </c>
      <c r="E113" s="7"/>
      <c r="F113" s="31">
        <v>0.54</v>
      </c>
      <c r="G113" s="32">
        <v>90</v>
      </c>
      <c r="H113" s="32">
        <v>0</v>
      </c>
      <c r="I113" s="32">
        <v>0</v>
      </c>
      <c r="J113" s="29">
        <v>0</v>
      </c>
      <c r="K113" s="29">
        <v>0</v>
      </c>
      <c r="L113" s="29">
        <v>0</v>
      </c>
      <c r="M113" s="33">
        <v>88.9</v>
      </c>
      <c r="N113" s="33">
        <v>11.12</v>
      </c>
      <c r="O113" s="36">
        <v>1.5</v>
      </c>
      <c r="P113" s="36"/>
      <c r="Q113" s="7"/>
      <c r="R113" s="31"/>
      <c r="S113" s="7"/>
      <c r="T113" s="31"/>
      <c r="U113" s="7" t="s">
        <v>60</v>
      </c>
      <c r="V113" s="7"/>
      <c r="X113" s="39">
        <f t="shared" si="14"/>
        <v>0.74161858743393505</v>
      </c>
      <c r="Y113" s="39">
        <f t="shared" si="15"/>
        <v>-0.37511064184252013</v>
      </c>
      <c r="Z113" s="39">
        <f t="shared" si="16"/>
        <v>-0.83797499999999969</v>
      </c>
    </row>
    <row r="114" spans="1:26" x14ac:dyDescent="0.25">
      <c r="A114" s="7" t="s">
        <v>7</v>
      </c>
      <c r="B114" s="7" t="s">
        <v>7</v>
      </c>
      <c r="C114" s="30" t="s">
        <v>7</v>
      </c>
      <c r="D114" s="7" t="str">
        <f t="shared" si="18"/>
        <v>PIPE_114</v>
      </c>
      <c r="E114" s="7"/>
      <c r="F114" s="31">
        <v>0.37511</v>
      </c>
      <c r="G114" s="32">
        <v>0</v>
      </c>
      <c r="H114" s="32">
        <v>90</v>
      </c>
      <c r="I114" s="32">
        <v>0</v>
      </c>
      <c r="J114" s="29">
        <v>0</v>
      </c>
      <c r="K114" s="29">
        <v>0</v>
      </c>
      <c r="L114" s="29">
        <v>0</v>
      </c>
      <c r="M114" s="33">
        <v>88.9</v>
      </c>
      <c r="N114" s="33">
        <v>11.12</v>
      </c>
      <c r="O114" s="36">
        <v>1.5</v>
      </c>
      <c r="P114" s="36"/>
      <c r="Q114" s="7"/>
      <c r="R114" s="31"/>
      <c r="S114" s="7"/>
      <c r="T114" s="31"/>
      <c r="U114" s="7" t="s">
        <v>60</v>
      </c>
      <c r="V114" s="7"/>
      <c r="X114" s="39">
        <f t="shared" si="14"/>
        <v>0.74161858743393505</v>
      </c>
      <c r="Y114" s="39">
        <f t="shared" si="15"/>
        <v>-6.4184252013266274E-7</v>
      </c>
      <c r="Z114" s="39">
        <f t="shared" si="16"/>
        <v>-0.83797499999999969</v>
      </c>
    </row>
    <row r="115" spans="1:26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  <c r="X115" s="39">
        <f t="shared" si="14"/>
        <v>0.74161858743393505</v>
      </c>
      <c r="Y115" s="39">
        <f t="shared" si="15"/>
        <v>-6.4184252013266274E-7</v>
      </c>
      <c r="Z115" s="39">
        <f t="shared" si="16"/>
        <v>-0.83797499999999969</v>
      </c>
    </row>
    <row r="116" spans="1:26" x14ac:dyDescent="0.25">
      <c r="A116" s="7" t="s">
        <v>45</v>
      </c>
      <c r="B116" s="7" t="s">
        <v>10</v>
      </c>
      <c r="C116" s="30" t="s">
        <v>20</v>
      </c>
      <c r="D116" s="7" t="str">
        <f>CONCATENATE("JUNC_",ROW())</f>
        <v>JUNC_116</v>
      </c>
      <c r="E116" s="7"/>
      <c r="F116" s="31">
        <v>0</v>
      </c>
      <c r="G116" s="32">
        <v>0</v>
      </c>
      <c r="H116" s="32">
        <v>0</v>
      </c>
      <c r="I116" s="32">
        <v>0</v>
      </c>
      <c r="J116" s="29">
        <v>0</v>
      </c>
      <c r="K116" s="29">
        <v>0</v>
      </c>
      <c r="L116" s="29">
        <v>0</v>
      </c>
      <c r="M116" s="33">
        <v>88.9</v>
      </c>
      <c r="N116" s="33">
        <v>11.12</v>
      </c>
      <c r="O116" s="36"/>
      <c r="P116" s="36"/>
      <c r="Q116" s="7" t="str">
        <f ca="1">OFFSET($A$1,ROW()-3,3)</f>
        <v>PIPE_114</v>
      </c>
      <c r="R116" s="31" t="s">
        <v>42</v>
      </c>
      <c r="S116" s="7" t="str">
        <f>D99</f>
        <v>VOL_99</v>
      </c>
      <c r="T116" s="31">
        <v>0.4</v>
      </c>
      <c r="U116" s="7"/>
      <c r="V116" s="7"/>
      <c r="X116" s="39">
        <f t="shared" si="14"/>
        <v>0.74161858743393505</v>
      </c>
      <c r="Y116" s="39">
        <f t="shared" si="15"/>
        <v>-6.4184252013266274E-7</v>
      </c>
      <c r="Z116" s="39">
        <f t="shared" si="16"/>
        <v>-0.83797499999999969</v>
      </c>
    </row>
    <row r="117" spans="1:26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  <c r="X117" s="39">
        <f t="shared" si="14"/>
        <v>0.74161858743393505</v>
      </c>
      <c r="Y117" s="39">
        <f t="shared" si="15"/>
        <v>-6.4184252013266274E-7</v>
      </c>
      <c r="Z117" s="39">
        <f t="shared" si="16"/>
        <v>-0.83797499999999969</v>
      </c>
    </row>
    <row r="118" spans="1:26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6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6" x14ac:dyDescent="0.25">
      <c r="A120" s="7" t="s">
        <v>82</v>
      </c>
      <c r="B120" s="7" t="s">
        <v>70</v>
      </c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6" x14ac:dyDescent="0.25">
      <c r="A121" s="7" t="s">
        <v>45</v>
      </c>
      <c r="B121" s="7" t="s">
        <v>10</v>
      </c>
      <c r="C121" s="30" t="s">
        <v>20</v>
      </c>
      <c r="D121" s="7" t="str">
        <f>CONCATENATE("JUNC_",ROW())</f>
        <v>JUNC_121</v>
      </c>
      <c r="E121" s="7"/>
      <c r="F121" s="31">
        <v>0</v>
      </c>
      <c r="G121" s="32">
        <v>0</v>
      </c>
      <c r="H121" s="32">
        <v>0</v>
      </c>
      <c r="I121" s="32">
        <v>0</v>
      </c>
      <c r="J121" s="29">
        <v>0</v>
      </c>
      <c r="K121" s="29">
        <v>0</v>
      </c>
      <c r="L121" s="29">
        <v>0</v>
      </c>
      <c r="M121" s="33">
        <v>88.9</v>
      </c>
      <c r="N121" s="33">
        <v>11.12</v>
      </c>
      <c r="O121" s="36"/>
      <c r="P121" s="36"/>
      <c r="Q121" s="7" t="str">
        <f>D99</f>
        <v>VOL_99</v>
      </c>
      <c r="R121" s="31">
        <v>0.4</v>
      </c>
      <c r="S121" s="7" t="str">
        <f ca="1">OFFSET($A$1,ROW()+1,3)</f>
        <v>PIPE_123</v>
      </c>
      <c r="T121" s="31" t="s">
        <v>41</v>
      </c>
      <c r="U121" s="7"/>
      <c r="V121" s="7"/>
      <c r="X121" s="39">
        <f t="shared" ref="X121:X128" si="19">IF(OR(A121="volume",A121="pipe",A121="junction"),X120+F121*COS(G121*PI()/180)*COS(H121*PI()/180)+J121,X120)</f>
        <v>0</v>
      </c>
      <c r="Y121" s="39">
        <f t="shared" ref="Y121:Y128" si="20">IF(OR(A121="volume",A121="pipe",A121="junction"),Y120+F121*COS(G121*PI()/180)*SIN(H121*PI()/180)+K121,Y120)</f>
        <v>0</v>
      </c>
      <c r="Z121" s="39">
        <f t="shared" ref="Z121:Z128" si="21">IF(OR(A121="volume",A121="pipe",A121="junction"),Z120+F121*SIN(G121*PI()/180)+L121,Z120)</f>
        <v>0</v>
      </c>
    </row>
    <row r="122" spans="1:26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  <c r="X122" s="39">
        <f t="shared" si="19"/>
        <v>0</v>
      </c>
      <c r="Y122" s="39">
        <f t="shared" si="20"/>
        <v>0</v>
      </c>
      <c r="Z122" s="39">
        <f t="shared" si="21"/>
        <v>0</v>
      </c>
    </row>
    <row r="123" spans="1:26" x14ac:dyDescent="0.25">
      <c r="A123" s="7" t="s">
        <v>7</v>
      </c>
      <c r="B123" s="7" t="s">
        <v>7</v>
      </c>
      <c r="C123" s="30" t="s">
        <v>7</v>
      </c>
      <c r="D123" s="7" t="str">
        <f t="shared" ref="D123:D127" si="22">CONCATENATE("PIPE_",ROW())</f>
        <v>PIPE_123</v>
      </c>
      <c r="E123" s="7"/>
      <c r="F123" s="31">
        <f>0.38/COS(45*PI()/180)</f>
        <v>0.5374011537017761</v>
      </c>
      <c r="G123" s="32">
        <v>45</v>
      </c>
      <c r="H123" s="32">
        <v>270</v>
      </c>
      <c r="I123" s="32">
        <v>0</v>
      </c>
      <c r="J123" s="29">
        <v>0</v>
      </c>
      <c r="K123" s="29">
        <v>0</v>
      </c>
      <c r="L123" s="29">
        <v>0</v>
      </c>
      <c r="M123" s="33">
        <v>88.9</v>
      </c>
      <c r="N123" s="33">
        <v>11.12</v>
      </c>
      <c r="O123" s="36">
        <v>1.5</v>
      </c>
      <c r="P123" s="36"/>
      <c r="Q123" s="7"/>
      <c r="R123" s="31"/>
      <c r="S123" s="7"/>
      <c r="T123" s="31"/>
      <c r="U123" s="7" t="s">
        <v>60</v>
      </c>
      <c r="V123" s="7"/>
      <c r="X123" s="39">
        <f t="shared" si="19"/>
        <v>-6.9833461929791343E-17</v>
      </c>
      <c r="Y123" s="39">
        <f t="shared" si="20"/>
        <v>-0.38</v>
      </c>
      <c r="Z123" s="39">
        <f t="shared" si="21"/>
        <v>0.37999999999999995</v>
      </c>
    </row>
    <row r="124" spans="1:26" x14ac:dyDescent="0.25">
      <c r="A124" s="7" t="s">
        <v>7</v>
      </c>
      <c r="B124" s="7" t="s">
        <v>7</v>
      </c>
      <c r="C124" s="30" t="s">
        <v>7</v>
      </c>
      <c r="D124" s="7" t="str">
        <f t="shared" si="22"/>
        <v>PIPE_124</v>
      </c>
      <c r="E124" s="7"/>
      <c r="F124" s="31">
        <v>0.4</v>
      </c>
      <c r="G124" s="32">
        <v>0</v>
      </c>
      <c r="H124" s="32">
        <v>0</v>
      </c>
      <c r="I124" s="32">
        <v>0</v>
      </c>
      <c r="J124" s="29">
        <v>0</v>
      </c>
      <c r="K124" s="29">
        <v>0</v>
      </c>
      <c r="L124" s="29">
        <v>0</v>
      </c>
      <c r="M124" s="33">
        <v>88.9</v>
      </c>
      <c r="N124" s="33">
        <v>11.12</v>
      </c>
      <c r="O124" s="36">
        <v>1.5</v>
      </c>
      <c r="P124" s="36"/>
      <c r="Q124" s="7"/>
      <c r="R124" s="31"/>
      <c r="S124" s="7"/>
      <c r="T124" s="31"/>
      <c r="U124" s="7" t="s">
        <v>60</v>
      </c>
      <c r="V124" s="7"/>
      <c r="X124" s="39">
        <f t="shared" si="19"/>
        <v>0.39999999999999997</v>
      </c>
      <c r="Y124" s="39">
        <f t="shared" si="20"/>
        <v>-0.38</v>
      </c>
      <c r="Z124" s="39">
        <f t="shared" si="21"/>
        <v>0.37999999999999995</v>
      </c>
    </row>
    <row r="125" spans="1:26" x14ac:dyDescent="0.25">
      <c r="A125" s="7" t="s">
        <v>7</v>
      </c>
      <c r="B125" s="7" t="s">
        <v>7</v>
      </c>
      <c r="C125" s="30" t="s">
        <v>7</v>
      </c>
      <c r="D125" s="7" t="str">
        <f t="shared" si="22"/>
        <v>PIPE_125</v>
      </c>
      <c r="E125" s="7"/>
      <c r="F125" s="31">
        <v>0.86</v>
      </c>
      <c r="G125" s="32">
        <v>90</v>
      </c>
      <c r="H125" s="32">
        <v>0</v>
      </c>
      <c r="I125" s="32">
        <v>0</v>
      </c>
      <c r="J125" s="29">
        <v>0</v>
      </c>
      <c r="K125" s="29">
        <v>0</v>
      </c>
      <c r="L125" s="29">
        <v>0</v>
      </c>
      <c r="M125" s="33">
        <v>88.9</v>
      </c>
      <c r="N125" s="33">
        <v>11.12</v>
      </c>
      <c r="O125" s="36">
        <v>1.5</v>
      </c>
      <c r="P125" s="36"/>
      <c r="Q125" s="7"/>
      <c r="R125" s="31"/>
      <c r="S125" s="7"/>
      <c r="T125" s="31"/>
      <c r="U125" s="7" t="s">
        <v>60</v>
      </c>
      <c r="V125" s="7"/>
      <c r="X125" s="39">
        <f t="shared" si="19"/>
        <v>0.4</v>
      </c>
      <c r="Y125" s="39">
        <f t="shared" si="20"/>
        <v>-0.38</v>
      </c>
      <c r="Z125" s="39">
        <f t="shared" si="21"/>
        <v>1.24</v>
      </c>
    </row>
    <row r="126" spans="1:26" x14ac:dyDescent="0.25">
      <c r="A126" s="7" t="s">
        <v>7</v>
      </c>
      <c r="B126" s="7" t="s">
        <v>7</v>
      </c>
      <c r="C126" s="30" t="s">
        <v>7</v>
      </c>
      <c r="D126" s="7" t="str">
        <f t="shared" si="22"/>
        <v>PIPE_126</v>
      </c>
      <c r="E126" s="7"/>
      <c r="F126" s="31">
        <v>0</v>
      </c>
      <c r="G126" s="32">
        <v>0</v>
      </c>
      <c r="H126" s="32">
        <v>0</v>
      </c>
      <c r="I126" s="32">
        <v>0</v>
      </c>
      <c r="J126" s="29">
        <v>-0.4</v>
      </c>
      <c r="K126" s="29">
        <v>-0.2</v>
      </c>
      <c r="L126" s="29">
        <v>0</v>
      </c>
      <c r="M126" s="33">
        <v>88.9</v>
      </c>
      <c r="N126" s="33">
        <v>11.12</v>
      </c>
      <c r="O126" s="36">
        <v>1.5</v>
      </c>
      <c r="P126" s="36"/>
      <c r="Q126" s="7"/>
      <c r="R126" s="31"/>
      <c r="S126" s="7"/>
      <c r="T126" s="31"/>
      <c r="U126" s="7" t="s">
        <v>60</v>
      </c>
      <c r="V126" s="7"/>
      <c r="X126" s="39">
        <f t="shared" si="19"/>
        <v>0</v>
      </c>
      <c r="Y126" s="39">
        <f t="shared" si="20"/>
        <v>-0.58000000000000007</v>
      </c>
      <c r="Z126" s="39">
        <f t="shared" si="21"/>
        <v>1.24</v>
      </c>
    </row>
    <row r="127" spans="1:26" x14ac:dyDescent="0.25">
      <c r="A127" s="7" t="s">
        <v>7</v>
      </c>
      <c r="B127" s="7" t="s">
        <v>7</v>
      </c>
      <c r="C127" s="30" t="s">
        <v>7</v>
      </c>
      <c r="D127" s="7" t="str">
        <f t="shared" si="22"/>
        <v>PIPE_127</v>
      </c>
      <c r="E127" s="7"/>
      <c r="F127" s="31">
        <v>0</v>
      </c>
      <c r="G127" s="32">
        <v>0</v>
      </c>
      <c r="H127" s="32">
        <v>90</v>
      </c>
      <c r="I127" s="32">
        <v>0</v>
      </c>
      <c r="J127" s="29">
        <v>0</v>
      </c>
      <c r="K127" s="29">
        <v>-0.18099999999999999</v>
      </c>
      <c r="L127" s="29">
        <v>-0.41499999999999998</v>
      </c>
      <c r="M127" s="33">
        <v>88.9</v>
      </c>
      <c r="N127" s="33">
        <v>11.12</v>
      </c>
      <c r="O127" s="36">
        <v>1.5</v>
      </c>
      <c r="P127" s="36"/>
      <c r="Q127" s="7"/>
      <c r="R127" s="31"/>
      <c r="S127" s="7"/>
      <c r="T127" s="31"/>
      <c r="U127" s="7" t="s">
        <v>60</v>
      </c>
      <c r="V127" s="7"/>
      <c r="X127" s="39">
        <f t="shared" si="19"/>
        <v>0</v>
      </c>
      <c r="Y127" s="39">
        <f t="shared" si="20"/>
        <v>-0.76100000000000012</v>
      </c>
      <c r="Z127" s="39">
        <f t="shared" si="21"/>
        <v>0.82499999999999996</v>
      </c>
    </row>
    <row r="128" spans="1:26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  <c r="X128" s="39">
        <f t="shared" si="19"/>
        <v>0</v>
      </c>
      <c r="Y128" s="39">
        <f t="shared" si="20"/>
        <v>-0.76100000000000012</v>
      </c>
      <c r="Z128" s="39">
        <f t="shared" si="21"/>
        <v>0.82499999999999996</v>
      </c>
    </row>
    <row r="129" spans="1:26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6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6" x14ac:dyDescent="0.25">
      <c r="A131" s="7" t="s">
        <v>82</v>
      </c>
      <c r="B131" s="7" t="s">
        <v>68</v>
      </c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6" x14ac:dyDescent="0.25">
      <c r="A132" s="7" t="s">
        <v>45</v>
      </c>
      <c r="B132" s="7" t="s">
        <v>10</v>
      </c>
      <c r="C132" s="30" t="s">
        <v>20</v>
      </c>
      <c r="D132" s="7" t="str">
        <f>CONCATENATE("JUNC_",ROW())</f>
        <v>JUNC_132</v>
      </c>
      <c r="E132" s="7"/>
      <c r="F132" s="31">
        <v>0</v>
      </c>
      <c r="G132" s="32">
        <v>0</v>
      </c>
      <c r="H132" s="32">
        <v>0</v>
      </c>
      <c r="I132" s="32">
        <v>0</v>
      </c>
      <c r="J132" s="29">
        <v>0</v>
      </c>
      <c r="K132" s="29">
        <v>0</v>
      </c>
      <c r="L132" s="29">
        <v>0</v>
      </c>
      <c r="M132" s="33">
        <v>88.9</v>
      </c>
      <c r="N132" s="33">
        <v>11.12</v>
      </c>
      <c r="O132" s="36"/>
      <c r="P132" s="36"/>
      <c r="Q132" s="7" t="str">
        <f>D94</f>
        <v>VOL_94</v>
      </c>
      <c r="R132" s="31">
        <v>0.4</v>
      </c>
      <c r="S132" s="7" t="str">
        <f ca="1">OFFSET($A$1,ROW()+1,3)</f>
        <v>PIPE_134</v>
      </c>
      <c r="T132" s="31" t="s">
        <v>41</v>
      </c>
      <c r="U132" s="7"/>
      <c r="V132" s="7"/>
      <c r="X132" s="39">
        <f t="shared" ref="X132:X139" si="23">IF(OR(A132="volume",A132="pipe",A132="junction"),X131+F132*COS(G132*PI()/180)*COS(H132*PI()/180)+J132,X131)</f>
        <v>0</v>
      </c>
      <c r="Y132" s="39">
        <f t="shared" ref="Y132:Y139" si="24">IF(OR(A132="volume",A132="pipe",A132="junction"),Y131+F132*COS(G132*PI()/180)*SIN(H132*PI()/180)+K132,Y131)</f>
        <v>0</v>
      </c>
      <c r="Z132" s="39">
        <f t="shared" ref="Z132:Z139" si="25">IF(OR(A132="volume",A132="pipe",A132="junction"),Z131+F132*SIN(G132*PI()/180)+L132,Z131)</f>
        <v>0</v>
      </c>
    </row>
    <row r="133" spans="1:26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  <c r="X133" s="39">
        <f t="shared" si="23"/>
        <v>0</v>
      </c>
      <c r="Y133" s="39">
        <f t="shared" si="24"/>
        <v>0</v>
      </c>
      <c r="Z133" s="39">
        <f t="shared" si="25"/>
        <v>0</v>
      </c>
    </row>
    <row r="134" spans="1:26" x14ac:dyDescent="0.25">
      <c r="A134" s="7" t="s">
        <v>7</v>
      </c>
      <c r="B134" s="7" t="s">
        <v>7</v>
      </c>
      <c r="C134" s="30" t="s">
        <v>7</v>
      </c>
      <c r="D134" s="7" t="str">
        <f t="shared" ref="D134:D138" si="26">CONCATENATE("PIPE_",ROW())</f>
        <v>PIPE_134</v>
      </c>
      <c r="E134" s="7"/>
      <c r="F134" s="31">
        <v>0</v>
      </c>
      <c r="G134" s="32">
        <v>0</v>
      </c>
      <c r="H134" s="32">
        <v>0</v>
      </c>
      <c r="I134" s="32">
        <v>0</v>
      </c>
      <c r="J134" s="29">
        <v>0</v>
      </c>
      <c r="K134" s="29">
        <v>-0.18099999999999999</v>
      </c>
      <c r="L134" s="29">
        <v>0.41499999999999998</v>
      </c>
      <c r="M134" s="33">
        <v>88.9</v>
      </c>
      <c r="N134" s="33">
        <v>11.12</v>
      </c>
      <c r="O134" s="36">
        <v>1.5</v>
      </c>
      <c r="P134" s="36"/>
      <c r="Q134" s="7"/>
      <c r="R134" s="31"/>
      <c r="S134" s="7"/>
      <c r="T134" s="31"/>
      <c r="U134" s="7" t="s">
        <v>60</v>
      </c>
      <c r="V134" s="7"/>
      <c r="X134" s="39">
        <f t="shared" si="23"/>
        <v>0</v>
      </c>
      <c r="Y134" s="39">
        <f t="shared" si="24"/>
        <v>-0.18099999999999999</v>
      </c>
      <c r="Z134" s="39">
        <f t="shared" si="25"/>
        <v>0.41499999999999998</v>
      </c>
    </row>
    <row r="135" spans="1:26" x14ac:dyDescent="0.25">
      <c r="A135" s="7" t="s">
        <v>7</v>
      </c>
      <c r="B135" s="7" t="s">
        <v>7</v>
      </c>
      <c r="C135" s="30" t="s">
        <v>7</v>
      </c>
      <c r="D135" s="7" t="str">
        <f t="shared" si="26"/>
        <v>PIPE_135</v>
      </c>
      <c r="E135" s="7"/>
      <c r="F135" s="31">
        <v>0</v>
      </c>
      <c r="G135" s="32">
        <v>0</v>
      </c>
      <c r="H135" s="32">
        <v>0</v>
      </c>
      <c r="I135" s="32">
        <v>0</v>
      </c>
      <c r="J135" s="29">
        <v>0.4</v>
      </c>
      <c r="K135" s="29">
        <v>-0.2</v>
      </c>
      <c r="L135" s="29">
        <v>0</v>
      </c>
      <c r="M135" s="33">
        <v>88.9</v>
      </c>
      <c r="N135" s="33">
        <v>11.12</v>
      </c>
      <c r="O135" s="36">
        <v>1.5</v>
      </c>
      <c r="P135" s="36"/>
      <c r="Q135" s="7"/>
      <c r="R135" s="31"/>
      <c r="S135" s="7"/>
      <c r="T135" s="31"/>
      <c r="U135" s="7" t="s">
        <v>60</v>
      </c>
      <c r="V135" s="7"/>
      <c r="X135" s="39">
        <f t="shared" si="23"/>
        <v>0.4</v>
      </c>
      <c r="Y135" s="39">
        <f t="shared" si="24"/>
        <v>-0.38100000000000001</v>
      </c>
      <c r="Z135" s="39">
        <f t="shared" si="25"/>
        <v>0.41499999999999998</v>
      </c>
    </row>
    <row r="136" spans="1:26" x14ac:dyDescent="0.25">
      <c r="A136" s="7" t="s">
        <v>7</v>
      </c>
      <c r="B136" s="7" t="s">
        <v>7</v>
      </c>
      <c r="C136" s="30" t="s">
        <v>7</v>
      </c>
      <c r="D136" s="7" t="str">
        <f t="shared" si="26"/>
        <v>PIPE_136</v>
      </c>
      <c r="E136" s="7"/>
      <c r="F136" s="31">
        <v>0</v>
      </c>
      <c r="G136" s="32">
        <v>0</v>
      </c>
      <c r="H136" s="32">
        <v>0</v>
      </c>
      <c r="I136" s="32">
        <v>0</v>
      </c>
      <c r="J136" s="29">
        <v>0</v>
      </c>
      <c r="K136" s="29">
        <v>0</v>
      </c>
      <c r="L136" s="29">
        <f>-0.415-0.838</f>
        <v>-1.2529999999999999</v>
      </c>
      <c r="M136" s="33">
        <v>88.9</v>
      </c>
      <c r="N136" s="33">
        <v>11.12</v>
      </c>
      <c r="O136" s="36">
        <v>1.5</v>
      </c>
      <c r="P136" s="36"/>
      <c r="Q136" s="7"/>
      <c r="R136" s="31"/>
      <c r="S136" s="7"/>
      <c r="T136" s="31"/>
      <c r="U136" s="7" t="s">
        <v>60</v>
      </c>
      <c r="V136" s="7"/>
      <c r="X136" s="39">
        <f t="shared" si="23"/>
        <v>0.4</v>
      </c>
      <c r="Y136" s="39">
        <f t="shared" si="24"/>
        <v>-0.38100000000000001</v>
      </c>
      <c r="Z136" s="39">
        <f t="shared" si="25"/>
        <v>-0.83799999999999986</v>
      </c>
    </row>
    <row r="137" spans="1:26" x14ac:dyDescent="0.25">
      <c r="A137" s="7" t="s">
        <v>7</v>
      </c>
      <c r="B137" s="7" t="s">
        <v>7</v>
      </c>
      <c r="C137" s="30" t="s">
        <v>7</v>
      </c>
      <c r="D137" s="7" t="str">
        <f t="shared" si="26"/>
        <v>PIPE_137</v>
      </c>
      <c r="E137" s="7"/>
      <c r="F137" s="31">
        <v>0</v>
      </c>
      <c r="G137" s="32">
        <v>0</v>
      </c>
      <c r="H137" s="32">
        <v>0</v>
      </c>
      <c r="I137" s="32">
        <v>0</v>
      </c>
      <c r="J137" s="29">
        <v>-0.4</v>
      </c>
      <c r="K137" s="29">
        <v>0</v>
      </c>
      <c r="L137" s="29">
        <v>0</v>
      </c>
      <c r="M137" s="33">
        <v>88.9</v>
      </c>
      <c r="N137" s="33">
        <v>11.12</v>
      </c>
      <c r="O137" s="36">
        <v>1.5</v>
      </c>
      <c r="P137" s="36"/>
      <c r="Q137" s="7"/>
      <c r="R137" s="31"/>
      <c r="S137" s="7"/>
      <c r="T137" s="31"/>
      <c r="U137" s="7" t="s">
        <v>60</v>
      </c>
      <c r="V137" s="7"/>
      <c r="X137" s="39">
        <f t="shared" si="23"/>
        <v>0</v>
      </c>
      <c r="Y137" s="39">
        <f t="shared" si="24"/>
        <v>-0.38100000000000001</v>
      </c>
      <c r="Z137" s="39">
        <f t="shared" si="25"/>
        <v>-0.83799999999999986</v>
      </c>
    </row>
    <row r="138" spans="1:26" x14ac:dyDescent="0.25">
      <c r="A138" s="7" t="s">
        <v>7</v>
      </c>
      <c r="B138" s="7" t="s">
        <v>7</v>
      </c>
      <c r="C138" s="30" t="s">
        <v>7</v>
      </c>
      <c r="D138" s="7" t="str">
        <f t="shared" si="26"/>
        <v>PIPE_138</v>
      </c>
      <c r="E138" s="7"/>
      <c r="F138" s="31">
        <v>0</v>
      </c>
      <c r="G138" s="32">
        <v>0</v>
      </c>
      <c r="H138" s="32">
        <v>0</v>
      </c>
      <c r="I138" s="32">
        <v>0</v>
      </c>
      <c r="J138" s="29">
        <v>0</v>
      </c>
      <c r="K138" s="29">
        <v>0.38100000000000001</v>
      </c>
      <c r="L138" s="29">
        <v>0</v>
      </c>
      <c r="M138" s="33">
        <v>88.9</v>
      </c>
      <c r="N138" s="33">
        <v>11.12</v>
      </c>
      <c r="O138" s="36">
        <v>1.5</v>
      </c>
      <c r="P138" s="36"/>
      <c r="Q138" s="7"/>
      <c r="R138" s="31"/>
      <c r="S138" s="7"/>
      <c r="T138" s="31"/>
      <c r="U138" s="7" t="s">
        <v>60</v>
      </c>
      <c r="V138" s="7"/>
      <c r="X138" s="39">
        <f t="shared" si="23"/>
        <v>0</v>
      </c>
      <c r="Y138" s="39">
        <f t="shared" si="24"/>
        <v>0</v>
      </c>
      <c r="Z138" s="39">
        <f t="shared" si="25"/>
        <v>-0.83799999999999986</v>
      </c>
    </row>
    <row r="139" spans="1:26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  <c r="X139" s="39">
        <f t="shared" si="23"/>
        <v>0</v>
      </c>
      <c r="Y139" s="39">
        <f t="shared" si="24"/>
        <v>0</v>
      </c>
      <c r="Z139" s="39">
        <f t="shared" si="25"/>
        <v>-0.83799999999999986</v>
      </c>
    </row>
    <row r="140" spans="1:26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6" x14ac:dyDescent="0.25">
      <c r="A141" s="7" t="s">
        <v>82</v>
      </c>
      <c r="B141" s="7" t="s">
        <v>69</v>
      </c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6" x14ac:dyDescent="0.25">
      <c r="A142" s="7" t="s">
        <v>45</v>
      </c>
      <c r="B142" s="7" t="s">
        <v>10</v>
      </c>
      <c r="C142" s="30" t="s">
        <v>20</v>
      </c>
      <c r="D142" s="7" t="str">
        <f>CONCATENATE("JUNC_",ROW())</f>
        <v>JUNC_142</v>
      </c>
      <c r="E142" s="7"/>
      <c r="F142" s="31">
        <v>0</v>
      </c>
      <c r="G142" s="32">
        <v>0</v>
      </c>
      <c r="H142" s="32">
        <v>0</v>
      </c>
      <c r="I142" s="32">
        <v>0</v>
      </c>
      <c r="J142" s="29">
        <v>0</v>
      </c>
      <c r="K142" s="29">
        <v>0</v>
      </c>
      <c r="L142" s="29">
        <v>0</v>
      </c>
      <c r="M142" s="33">
        <v>88.9</v>
      </c>
      <c r="N142" s="33">
        <v>11.12</v>
      </c>
      <c r="O142" s="36"/>
      <c r="P142" s="36"/>
      <c r="Q142" s="7" t="str">
        <f>D99</f>
        <v>VOL_99</v>
      </c>
      <c r="R142" s="31">
        <v>0.4</v>
      </c>
      <c r="S142" s="7" t="str">
        <f ca="1">OFFSET($A$1,ROW()+1,3)</f>
        <v>PIPE_144</v>
      </c>
      <c r="T142" s="31" t="s">
        <v>41</v>
      </c>
      <c r="U142" s="7"/>
      <c r="V142" s="7"/>
      <c r="X142" s="39">
        <f>IF(OR(A142="volume",A142="pipe",A142="junction"),X141+F142*COS(G142*PI()/180)*COS(H142*PI()/180)+J142,X141)</f>
        <v>0</v>
      </c>
      <c r="Y142" s="39">
        <f>IF(OR(A142="volume",A142="pipe",A142="junction"),Y141+F142*COS(G142*PI()/180)*SIN(H142*PI()/180)+K142,Y141)</f>
        <v>0</v>
      </c>
      <c r="Z142" s="39">
        <f>IF(OR(A142="volume",A142="pipe",A142="junction"),Z141+F142*SIN(G142*PI()/180)+L142,Z141)</f>
        <v>0</v>
      </c>
    </row>
    <row r="143" spans="1:26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  <c r="X143" s="39">
        <f>IF(OR(A143="volume",A143="pipe",A143="junction"),X142+F143*COS(G143*PI()/180)*COS(H143*PI()/180)+J143,X142)</f>
        <v>0</v>
      </c>
      <c r="Y143" s="39">
        <f>IF(OR(A143="volume",A143="pipe",A143="junction"),Y142+F143*COS(G143*PI()/180)*SIN(H143*PI()/180)+K143,Y142)</f>
        <v>0</v>
      </c>
      <c r="Z143" s="39">
        <f>IF(OR(A143="volume",A143="pipe",A143="junction"),Z142+F143*SIN(G143*PI()/180)+L143,Z142)</f>
        <v>0</v>
      </c>
    </row>
    <row r="144" spans="1:26" x14ac:dyDescent="0.25">
      <c r="A144" s="7" t="s">
        <v>7</v>
      </c>
      <c r="B144" s="7" t="s">
        <v>7</v>
      </c>
      <c r="C144" s="30" t="s">
        <v>7</v>
      </c>
      <c r="D144" s="7" t="str">
        <f t="shared" ref="D144" si="27">CONCATENATE("PIPE_",ROW())</f>
        <v>PIPE_144</v>
      </c>
      <c r="E144" s="7"/>
      <c r="F144" s="31">
        <v>0.56999999999999995</v>
      </c>
      <c r="G144" s="32">
        <f>-(90-35)</f>
        <v>-55</v>
      </c>
      <c r="H144" s="32">
        <v>90</v>
      </c>
      <c r="I144" s="32">
        <v>0</v>
      </c>
      <c r="J144" s="29">
        <v>0</v>
      </c>
      <c r="K144" s="29">
        <v>0</v>
      </c>
      <c r="L144" s="29">
        <v>0</v>
      </c>
      <c r="M144" s="33">
        <v>88.9</v>
      </c>
      <c r="N144" s="33">
        <v>11.12</v>
      </c>
      <c r="O144" s="36">
        <v>1.5</v>
      </c>
      <c r="P144" s="36"/>
      <c r="Q144" s="7"/>
      <c r="R144" s="31"/>
      <c r="S144" s="7"/>
      <c r="T144" s="31"/>
      <c r="U144" s="7" t="s">
        <v>60</v>
      </c>
      <c r="V144" s="7"/>
      <c r="X144" s="39">
        <f>IF(OR(A144="volume",A144="pipe",A144="junction"),X143+F144*COS(G144*PI()/180)*COS(H144*PI()/180)+J144,X143)</f>
        <v>2.0027414115873083E-17</v>
      </c>
      <c r="Y144" s="39">
        <f>IF(OR(A144="volume",A144="pipe",A144="junction"),Y143+F144*COS(G144*PI()/180)*SIN(H144*PI()/180)+K144,Y143)</f>
        <v>0.3269385687200963</v>
      </c>
      <c r="Z144" s="39">
        <f>IF(OR(A144="volume",A144="pipe",A144="junction"),Z143+F144*SIN(G144*PI()/180)+L144,Z143)</f>
        <v>-0.4669166652447253</v>
      </c>
    </row>
    <row r="145" spans="1:26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  <c r="X145" s="39">
        <f>IF(OR(A145="volume",A145="pipe",A145="junction"),X144+F145*COS(G145*PI()/180)*COS(H145*PI()/180)+J145,X144)</f>
        <v>2.0027414115873083E-17</v>
      </c>
      <c r="Y145" s="39">
        <f>IF(OR(A145="volume",A145="pipe",A145="junction"),Y144+F145*COS(G145*PI()/180)*SIN(H145*PI()/180)+K145,Y144)</f>
        <v>0.3269385687200963</v>
      </c>
      <c r="Z145" s="39">
        <f>IF(OR(A145="volume",A145="pipe",A145="junction"),Z144+F145*SIN(G145*PI()/180)+L145,Z144)</f>
        <v>-0.4669166652447253</v>
      </c>
    </row>
    <row r="146" spans="1:26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6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6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6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6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6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6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6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6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6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6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6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6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6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6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1:22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1:22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1:22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1:22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1:22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1:22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1:22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1:22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</sheetData>
  <mergeCells count="3">
    <mergeCell ref="A6:C6"/>
    <mergeCell ref="D6:G6"/>
    <mergeCell ref="A8:C8"/>
  </mergeCells>
  <conditionalFormatting sqref="M16">
    <cfRule type="expression" dxfId="445" priority="100" stopIfTrue="1">
      <formula>$A16="Pipe"</formula>
    </cfRule>
  </conditionalFormatting>
  <conditionalFormatting sqref="Q230:Q345 S230:S345 J230:J345 U230:U345 A230:A345 O230:O345 M230:M345">
    <cfRule type="expression" dxfId="444" priority="97">
      <formula>OR($A230="Pipe",$A230="Component",$A230="Volume")</formula>
    </cfRule>
  </conditionalFormatting>
  <conditionalFormatting sqref="T230:T345 R230:R345 E230:E345 L230:L345 P230:P345 V230:V345 N230:N345 I230:I345">
    <cfRule type="expression" dxfId="443" priority="98">
      <formula>OR($A230="Pipe",$A230="Component",$A230="Volume")</formula>
    </cfRule>
  </conditionalFormatting>
  <conditionalFormatting sqref="K230:K345 B230:D345 G230:H345">
    <cfRule type="expression" dxfId="442" priority="96">
      <formula>OR($A230="Pipe",$A230="Component",$A230="Volume")</formula>
    </cfRule>
  </conditionalFormatting>
  <conditionalFormatting sqref="U230:V345 A230:P345">
    <cfRule type="expression" dxfId="441" priority="95">
      <formula>$A230="Pipe"</formula>
    </cfRule>
  </conditionalFormatting>
  <conditionalFormatting sqref="Q230:T345">
    <cfRule type="expression" dxfId="440" priority="94">
      <formula>OR($A230="Volume",$A230="Pipe")</formula>
    </cfRule>
  </conditionalFormatting>
  <conditionalFormatting sqref="A230:V345">
    <cfRule type="expression" dxfId="439" priority="93">
      <formula>$A230="Component"</formula>
    </cfRule>
  </conditionalFormatting>
  <conditionalFormatting sqref="U230:V345 A230:P345">
    <cfRule type="expression" dxfId="438" priority="92">
      <formula>$A230="Volume"</formula>
    </cfRule>
  </conditionalFormatting>
  <conditionalFormatting sqref="J230:L345">
    <cfRule type="cellIs" dxfId="437" priority="91" operator="notEqual">
      <formula>0</formula>
    </cfRule>
  </conditionalFormatting>
  <conditionalFormatting sqref="F230:F345">
    <cfRule type="expression" dxfId="436" priority="99">
      <formula>OR($A230="Pipe",$A230="Component",$A230="Volume")</formula>
    </cfRule>
  </conditionalFormatting>
  <conditionalFormatting sqref="A228:P229">
    <cfRule type="expression" dxfId="435" priority="60">
      <formula>$A228="Pipe"</formula>
    </cfRule>
  </conditionalFormatting>
  <conditionalFormatting sqref="T228:V229">
    <cfRule type="expression" dxfId="434" priority="59">
      <formula>$A228="Pipe"</formula>
    </cfRule>
  </conditionalFormatting>
  <conditionalFormatting sqref="A228:P229">
    <cfRule type="expression" dxfId="433" priority="58">
      <formula>$A228="Volume"</formula>
    </cfRule>
  </conditionalFormatting>
  <conditionalFormatting sqref="T228:V229">
    <cfRule type="expression" dxfId="432" priority="57">
      <formula>$A228="Volume"</formula>
    </cfRule>
  </conditionalFormatting>
  <conditionalFormatting sqref="A228:V229">
    <cfRule type="expression" dxfId="431" priority="56">
      <formula>$A228="Junction"</formula>
    </cfRule>
  </conditionalFormatting>
  <conditionalFormatting sqref="A228:V229">
    <cfRule type="expression" dxfId="430" priority="55">
      <formula>$A228="Flowpath"</formula>
    </cfRule>
  </conditionalFormatting>
  <conditionalFormatting sqref="Q228:T229">
    <cfRule type="expression" dxfId="429" priority="54">
      <formula>OR($A228="Pipe",$A228="Volume")</formula>
    </cfRule>
  </conditionalFormatting>
  <conditionalFormatting sqref="J228:L229">
    <cfRule type="expression" dxfId="428" priority="53">
      <formula>AND(OR($A228="Junction",$A228="Pipe",$A228="Volume"),J228&lt;&gt;0)</formula>
    </cfRule>
  </conditionalFormatting>
  <conditionalFormatting sqref="R228:R229">
    <cfRule type="expression" dxfId="427" priority="52">
      <formula>AND($A228="Junction",ISNUMBER(R228))</formula>
    </cfRule>
  </conditionalFormatting>
  <conditionalFormatting sqref="T228:T229">
    <cfRule type="expression" dxfId="426" priority="51">
      <formula>AND($A228="Junction",ISNUMBER(T228))</formula>
    </cfRule>
  </conditionalFormatting>
  <conditionalFormatting sqref="B228:D229">
    <cfRule type="expression" dxfId="425" priority="50">
      <formula>OR($A228="Junction",$A228="Pipe",$A228="Volume")</formula>
    </cfRule>
  </conditionalFormatting>
  <conditionalFormatting sqref="F228:F229">
    <cfRule type="expression" dxfId="424" priority="49">
      <formula>OR($A228="Junction",$A228="Pipe",$A228="Volume")</formula>
    </cfRule>
  </conditionalFormatting>
  <conditionalFormatting sqref="H228:H229">
    <cfRule type="expression" dxfId="423" priority="48">
      <formula>OR($A228="Junction",$A228="Pipe",$A228="Volume")</formula>
    </cfRule>
  </conditionalFormatting>
  <conditionalFormatting sqref="K228:K229">
    <cfRule type="expression" dxfId="422" priority="47">
      <formula>OR($A228="Junction",$A228="Pipe",$A228="Volume")</formula>
    </cfRule>
  </conditionalFormatting>
  <conditionalFormatting sqref="A228:A229">
    <cfRule type="expression" dxfId="421" priority="46">
      <formula>OR($A228="Junction",$A228="Pipe",$A228="Volume")</formula>
    </cfRule>
  </conditionalFormatting>
  <conditionalFormatting sqref="G228:G229">
    <cfRule type="expression" dxfId="420" priority="45">
      <formula>OR($A228="Junction",$A228="Pipe",$A228="Volume")</formula>
    </cfRule>
  </conditionalFormatting>
  <conditionalFormatting sqref="J228:J229">
    <cfRule type="expression" dxfId="419" priority="44">
      <formula>OR($A228="Junction",$A228="Pipe",$A228="Volume")</formula>
    </cfRule>
  </conditionalFormatting>
  <conditionalFormatting sqref="M228:M229">
    <cfRule type="expression" dxfId="418" priority="43">
      <formula>OR($A228="Junction",$A228="Pipe",$A228="Volume")</formula>
    </cfRule>
  </conditionalFormatting>
  <conditionalFormatting sqref="O228:O229">
    <cfRule type="expression" dxfId="417" priority="42">
      <formula>OR($A228="Junction",$A228="Pipe",$A228="Volume")</formula>
    </cfRule>
  </conditionalFormatting>
  <conditionalFormatting sqref="Q228:Q229">
    <cfRule type="expression" dxfId="416" priority="41">
      <formula>OR($A228="Junction",$A228="Pipe",$A228="Volume")</formula>
    </cfRule>
  </conditionalFormatting>
  <conditionalFormatting sqref="S228:S229">
    <cfRule type="expression" dxfId="415" priority="40">
      <formula>OR($A228="Junction",$A228="Pipe",$A228="Volume")</formula>
    </cfRule>
  </conditionalFormatting>
  <conditionalFormatting sqref="U228:U229">
    <cfRule type="expression" dxfId="414" priority="39">
      <formula>OR($A228="Junction",$A228="Pipe",$A228="Volume")</formula>
    </cfRule>
  </conditionalFormatting>
  <conditionalFormatting sqref="E228:E229">
    <cfRule type="expression" dxfId="413" priority="38">
      <formula>OR($A228="Junction",$A228="Pipe",$A228="Volume")</formula>
    </cfRule>
  </conditionalFormatting>
  <conditionalFormatting sqref="I228:I229">
    <cfRule type="expression" dxfId="412" priority="37">
      <formula>OR($A228="Junction",$A228="Pipe",$A228="Volume")</formula>
    </cfRule>
  </conditionalFormatting>
  <conditionalFormatting sqref="L228:L229">
    <cfRule type="expression" dxfId="411" priority="36">
      <formula>OR($A228="Junction",$A228="Pipe",$A228="Volume")</formula>
    </cfRule>
  </conditionalFormatting>
  <conditionalFormatting sqref="N228:N229">
    <cfRule type="expression" dxfId="410" priority="35">
      <formula>OR($A228="Junction",$A228="Pipe",$A228="Volume")</formula>
    </cfRule>
  </conditionalFormatting>
  <conditionalFormatting sqref="P228:P229">
    <cfRule type="expression" dxfId="409" priority="34">
      <formula>OR($A228="Junction",$A228="Pipe",$A228="Volume")</formula>
    </cfRule>
  </conditionalFormatting>
  <conditionalFormatting sqref="R228:R229">
    <cfRule type="expression" dxfId="408" priority="33">
      <formula>OR($A228="Junction",$A228="Pipe",$A228="Volume")</formula>
    </cfRule>
  </conditionalFormatting>
  <conditionalFormatting sqref="T228:T229">
    <cfRule type="expression" dxfId="407" priority="32">
      <formula>OR($A228="Junction",$A228="Pipe",$A228="Volume")</formula>
    </cfRule>
  </conditionalFormatting>
  <conditionalFormatting sqref="V228:V229">
    <cfRule type="expression" dxfId="406" priority="31">
      <formula>OR($A228="Junction",$A228="Pipe",$A228="Volume")</formula>
    </cfRule>
  </conditionalFormatting>
  <conditionalFormatting sqref="A30:P227">
    <cfRule type="expression" dxfId="405" priority="30">
      <formula>$A30="Pipe"</formula>
    </cfRule>
  </conditionalFormatting>
  <conditionalFormatting sqref="T30:V227">
    <cfRule type="expression" dxfId="404" priority="29">
      <formula>$A30="Pipe"</formula>
    </cfRule>
  </conditionalFormatting>
  <conditionalFormatting sqref="A30:P227">
    <cfRule type="expression" dxfId="403" priority="28">
      <formula>$A30="Volume"</formula>
    </cfRule>
  </conditionalFormatting>
  <conditionalFormatting sqref="T30:V227">
    <cfRule type="expression" dxfId="402" priority="27">
      <formula>$A30="Volume"</formula>
    </cfRule>
  </conditionalFormatting>
  <conditionalFormatting sqref="A30:V227">
    <cfRule type="expression" dxfId="401" priority="26">
      <formula>$A30="Junction"</formula>
    </cfRule>
  </conditionalFormatting>
  <conditionalFormatting sqref="A30:V227">
    <cfRule type="expression" dxfId="400" priority="25">
      <formula>$A30="Section"</formula>
    </cfRule>
  </conditionalFormatting>
  <conditionalFormatting sqref="Q30:T227">
    <cfRule type="expression" dxfId="399" priority="24">
      <formula>OR($A30="Pipe",$A30="Volume")</formula>
    </cfRule>
  </conditionalFormatting>
  <conditionalFormatting sqref="J30:L227">
    <cfRule type="expression" dxfId="398" priority="23">
      <formula>AND(OR($A30="Junction",$A30="Pipe",$A30="Volume"),J30&lt;&gt;0)</formula>
    </cfRule>
  </conditionalFormatting>
  <conditionalFormatting sqref="R30:R227">
    <cfRule type="expression" dxfId="397" priority="22">
      <formula>AND($A30="Junction",ISNUMBER(R30))</formula>
    </cfRule>
  </conditionalFormatting>
  <conditionalFormatting sqref="T30:T227">
    <cfRule type="expression" dxfId="396" priority="21">
      <formula>AND($A30="Junction",ISNUMBER(T30))</formula>
    </cfRule>
  </conditionalFormatting>
  <conditionalFormatting sqref="B30:D227">
    <cfRule type="expression" dxfId="395" priority="20">
      <formula>OR($A30="Junction",$A30="Pipe",$A30="Volume")</formula>
    </cfRule>
  </conditionalFormatting>
  <conditionalFormatting sqref="F30:F227">
    <cfRule type="expression" dxfId="394" priority="19">
      <formula>OR($A30="Junction",$A30="Pipe",$A30="Volume")</formula>
    </cfRule>
  </conditionalFormatting>
  <conditionalFormatting sqref="H30:H227">
    <cfRule type="expression" dxfId="393" priority="18">
      <formula>OR($A30="Junction",$A30="Pipe",$A30="Volume")</formula>
    </cfRule>
  </conditionalFormatting>
  <conditionalFormatting sqref="K30:K227">
    <cfRule type="expression" dxfId="392" priority="17">
      <formula>OR($A30="Junction",$A30="Pipe",$A30="Volume")</formula>
    </cfRule>
  </conditionalFormatting>
  <conditionalFormatting sqref="A30:A227">
    <cfRule type="expression" dxfId="391" priority="16">
      <formula>OR($A30="Junction",$A30="Pipe",$A30="Volume")</formula>
    </cfRule>
  </conditionalFormatting>
  <conditionalFormatting sqref="G30:G227">
    <cfRule type="expression" dxfId="390" priority="15">
      <formula>OR($A30="Junction",$A30="Pipe",$A30="Volume")</formula>
    </cfRule>
  </conditionalFormatting>
  <conditionalFormatting sqref="J30:J227">
    <cfRule type="expression" dxfId="389" priority="14">
      <formula>OR($A30="Junction",$A30="Pipe",$A30="Volume")</formula>
    </cfRule>
  </conditionalFormatting>
  <conditionalFormatting sqref="M30:M227">
    <cfRule type="expression" dxfId="388" priority="13">
      <formula>OR($A30="Junction",$A30="Pipe",$A30="Volume")</formula>
    </cfRule>
  </conditionalFormatting>
  <conditionalFormatting sqref="O30:O227">
    <cfRule type="expression" dxfId="387" priority="12">
      <formula>OR($A30="Junction",$A30="Pipe",$A30="Volume")</formula>
    </cfRule>
  </conditionalFormatting>
  <conditionalFormatting sqref="Q30:Q227">
    <cfRule type="expression" dxfId="386" priority="11">
      <formula>OR($A30="Junction",$A30="Pipe",$A30="Volume")</formula>
    </cfRule>
  </conditionalFormatting>
  <conditionalFormatting sqref="S30:S227">
    <cfRule type="expression" dxfId="385" priority="10">
      <formula>OR($A30="Junction",$A30="Pipe",$A30="Volume")</formula>
    </cfRule>
  </conditionalFormatting>
  <conditionalFormatting sqref="U30:U227">
    <cfRule type="expression" dxfId="384" priority="9">
      <formula>OR($A30="Junction",$A30="Pipe",$A30="Volume")</formula>
    </cfRule>
  </conditionalFormatting>
  <conditionalFormatting sqref="E30:E227">
    <cfRule type="expression" dxfId="383" priority="8">
      <formula>OR($A30="Junction",$A30="Pipe",$A30="Volume")</formula>
    </cfRule>
  </conditionalFormatting>
  <conditionalFormatting sqref="I30:I227">
    <cfRule type="expression" dxfId="382" priority="7">
      <formula>OR($A30="Junction",$A30="Pipe",$A30="Volume")</formula>
    </cfRule>
  </conditionalFormatting>
  <conditionalFormatting sqref="L30:L227">
    <cfRule type="expression" dxfId="381" priority="6">
      <formula>OR($A30="Junction",$A30="Pipe",$A30="Volume")</formula>
    </cfRule>
  </conditionalFormatting>
  <conditionalFormatting sqref="N30:N227">
    <cfRule type="expression" dxfId="380" priority="5">
      <formula>OR($A30="Junction",$A30="Pipe",$A30="Volume")</formula>
    </cfRule>
  </conditionalFormatting>
  <conditionalFormatting sqref="P30:P227">
    <cfRule type="expression" dxfId="379" priority="4">
      <formula>OR($A30="Junction",$A30="Pipe",$A30="Volume")</formula>
    </cfRule>
  </conditionalFormatting>
  <conditionalFormatting sqref="R30:R227">
    <cfRule type="expression" dxfId="378" priority="3">
      <formula>OR($A30="Junction",$A30="Pipe",$A30="Volume")</formula>
    </cfRule>
  </conditionalFormatting>
  <conditionalFormatting sqref="T30:T227">
    <cfRule type="expression" dxfId="377" priority="2">
      <formula>OR($A30="Junction",$A30="Pipe",$A30="Volume")</formula>
    </cfRule>
  </conditionalFormatting>
  <conditionalFormatting sqref="V30:V227">
    <cfRule type="expression" dxfId="376" priority="1">
      <formula>OR($A30="Junction",$A30="Pipe",$A30="Volume")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419100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/>
  <dimension ref="A1:Z345"/>
  <sheetViews>
    <sheetView zoomScale="85" zoomScaleNormal="85" workbookViewId="0">
      <pane ySplit="4" topLeftCell="A5" activePane="bottomLeft" state="frozenSplit"/>
      <selection pane="bottomLeft" activeCell="F5" sqref="F5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8.85546875" style="39"/>
  </cols>
  <sheetData>
    <row r="1" spans="1:26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</row>
    <row r="2" spans="1:26" s="12" customFormat="1" ht="14.45" x14ac:dyDescent="0.3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30</v>
      </c>
      <c r="D5" s="34" t="s">
        <v>44</v>
      </c>
      <c r="O5"/>
      <c r="P5"/>
    </row>
    <row r="6" spans="1:26" ht="14.45" customHeight="1" x14ac:dyDescent="0.3">
      <c r="A6" s="59" t="s">
        <v>31</v>
      </c>
      <c r="B6" s="59"/>
      <c r="C6" s="59"/>
      <c r="D6" s="60" t="s">
        <v>78</v>
      </c>
      <c r="E6" s="60"/>
      <c r="F6" s="60"/>
      <c r="G6" s="60"/>
      <c r="O6"/>
      <c r="P6"/>
    </row>
    <row r="7" spans="1:26" ht="14.45" x14ac:dyDescent="0.3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26" ht="14.45" x14ac:dyDescent="0.3">
      <c r="A8" s="59" t="s">
        <v>32</v>
      </c>
      <c r="B8" s="59"/>
      <c r="C8" s="59"/>
      <c r="D8" s="5" t="str">
        <f>HYPERLINK("\loclib")</f>
        <v>\loclib</v>
      </c>
      <c r="O8"/>
      <c r="P8"/>
    </row>
    <row r="9" spans="1:26" ht="14.45" x14ac:dyDescent="0.3">
      <c r="O9"/>
      <c r="P9"/>
    </row>
    <row r="10" spans="1:26" ht="18" x14ac:dyDescent="0.35">
      <c r="A10" s="15" t="s">
        <v>33</v>
      </c>
      <c r="O10"/>
      <c r="P10"/>
    </row>
    <row r="11" spans="1:26" ht="14.45" x14ac:dyDescent="0.3">
      <c r="A11" t="s">
        <v>34</v>
      </c>
      <c r="O11"/>
      <c r="P11"/>
    </row>
    <row r="12" spans="1:26" ht="15.6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26" ht="14.45" x14ac:dyDescent="0.3">
      <c r="A13" s="21" t="s">
        <v>24</v>
      </c>
      <c r="B13" s="22" t="str">
        <f>D33</f>
        <v>VOL_33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A19" t="s">
        <v>81</v>
      </c>
      <c r="O19"/>
      <c r="P19"/>
    </row>
    <row r="20" spans="1:22" ht="15.6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ht="14.45" x14ac:dyDescent="0.3">
      <c r="A21" s="21"/>
      <c r="B21" s="22"/>
      <c r="C21" s="40"/>
      <c r="D21" s="24"/>
      <c r="E21" s="25"/>
      <c r="F21" s="26"/>
      <c r="O21"/>
      <c r="P21"/>
    </row>
    <row r="22" spans="1:22" ht="14.45" x14ac:dyDescent="0.3">
      <c r="A22" s="21"/>
      <c r="B22" s="22"/>
      <c r="C22" s="23"/>
      <c r="D22" s="24"/>
      <c r="E22" s="25"/>
      <c r="F22" s="26"/>
      <c r="O22"/>
      <c r="P22"/>
    </row>
    <row r="23" spans="1:22" ht="14.45" x14ac:dyDescent="0.3">
      <c r="A23" s="21"/>
      <c r="B23" s="22"/>
      <c r="C23" s="23"/>
      <c r="D23" s="24"/>
      <c r="E23" s="25"/>
      <c r="F23" s="26"/>
      <c r="O23"/>
      <c r="P23"/>
    </row>
    <row r="24" spans="1:22" ht="14.45" x14ac:dyDescent="0.3">
      <c r="A24" s="21"/>
      <c r="B24" s="22"/>
      <c r="C24" s="23"/>
      <c r="D24" s="24"/>
      <c r="E24" s="25"/>
      <c r="F24" s="26"/>
      <c r="O24"/>
      <c r="P24"/>
    </row>
    <row r="25" spans="1:22" ht="14.45" x14ac:dyDescent="0.3">
      <c r="A25" s="21"/>
      <c r="B25" s="22"/>
      <c r="C25" s="23"/>
      <c r="D25" s="24"/>
      <c r="E25" s="25"/>
      <c r="F25" s="26"/>
      <c r="O25"/>
      <c r="P25"/>
    </row>
    <row r="26" spans="1:22" ht="14.45" x14ac:dyDescent="0.3">
      <c r="A26" s="21"/>
      <c r="B26" s="22"/>
      <c r="C26" s="23"/>
      <c r="D26" s="24"/>
      <c r="E26" s="25"/>
      <c r="F26" s="26"/>
      <c r="O26"/>
      <c r="P26"/>
    </row>
    <row r="27" spans="1:22" ht="14.45" x14ac:dyDescent="0.3">
      <c r="O27"/>
      <c r="P27"/>
    </row>
    <row r="28" spans="1:22" ht="14.45" x14ac:dyDescent="0.3">
      <c r="O28"/>
      <c r="P28"/>
    </row>
    <row r="29" spans="1:22" thickBot="1" x14ac:dyDescent="0.35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ht="14.45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ht="14.45" x14ac:dyDescent="0.3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ht="14.45" x14ac:dyDescent="0.3">
      <c r="A32" s="7" t="s">
        <v>82</v>
      </c>
      <c r="B32" s="7" t="s">
        <v>71</v>
      </c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2" ht="14.45" x14ac:dyDescent="0.3">
      <c r="A33" s="7" t="s">
        <v>29</v>
      </c>
      <c r="B33" s="7" t="s">
        <v>21</v>
      </c>
      <c r="C33" s="30" t="s">
        <v>72</v>
      </c>
      <c r="D33" s="7" t="str">
        <f>CONCATENATE("VOL_",ROW())</f>
        <v>VOL_33</v>
      </c>
      <c r="E33" s="7"/>
      <c r="F33" s="31">
        <v>1.5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1000</v>
      </c>
      <c r="N33" s="33">
        <v>7</v>
      </c>
      <c r="O33" s="36">
        <v>0.8</v>
      </c>
      <c r="P33" s="36"/>
      <c r="Q33" s="7" t="s">
        <v>73</v>
      </c>
      <c r="R33" s="31"/>
      <c r="S33" s="7" t="s">
        <v>73</v>
      </c>
      <c r="T33" s="31"/>
      <c r="U33" s="7"/>
      <c r="V33" s="7"/>
    </row>
    <row r="34" spans="1:22" ht="14.45" x14ac:dyDescent="0.3">
      <c r="A34" s="47"/>
      <c r="B34" s="47"/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</row>
    <row r="35" spans="1:22" ht="14.45" x14ac:dyDescent="0.3">
      <c r="A35" s="7" t="s">
        <v>45</v>
      </c>
      <c r="B35" s="7" t="s">
        <v>10</v>
      </c>
      <c r="C35" s="30" t="s">
        <v>20</v>
      </c>
      <c r="D35" s="7" t="str">
        <f>CONCATENATE("JUNC_",ROW())</f>
        <v>JUNC_35</v>
      </c>
      <c r="E35" s="7"/>
      <c r="F35" s="31">
        <v>0</v>
      </c>
      <c r="G35" s="32">
        <v>0</v>
      </c>
      <c r="H35" s="32">
        <v>0</v>
      </c>
      <c r="I35" s="32">
        <v>0</v>
      </c>
      <c r="J35" s="29">
        <v>0</v>
      </c>
      <c r="K35" s="29">
        <v>0</v>
      </c>
      <c r="L35" s="29">
        <v>0</v>
      </c>
      <c r="M35" s="33">
        <v>97.93</v>
      </c>
      <c r="N35" s="33">
        <v>2.02</v>
      </c>
      <c r="O35" s="36"/>
      <c r="P35" s="36"/>
      <c r="Q35" s="7" t="str">
        <f ca="1">OFFSET($A$1,ROW()-3,3)</f>
        <v>VOL_33</v>
      </c>
      <c r="R35" s="31" t="s">
        <v>42</v>
      </c>
      <c r="S35" s="7" t="str">
        <f ca="1">OFFSET($A$1,ROW()+1,3)</f>
        <v>PIPE_37</v>
      </c>
      <c r="T35" s="31" t="s">
        <v>41</v>
      </c>
      <c r="U35" s="7"/>
      <c r="V35" s="7"/>
    </row>
    <row r="36" spans="1:22" ht="14.45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ht="14.45" x14ac:dyDescent="0.3">
      <c r="A37" s="7" t="s">
        <v>7</v>
      </c>
      <c r="B37" s="7" t="s">
        <v>7</v>
      </c>
      <c r="C37" s="30" t="s">
        <v>7</v>
      </c>
      <c r="D37" s="7" t="str">
        <f t="shared" ref="D37:D46" si="0">CONCATENATE("PIPE_",ROW())</f>
        <v>PIPE_37</v>
      </c>
      <c r="E37" s="7"/>
      <c r="F37" s="31">
        <v>0.5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ht="14.45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1.5</v>
      </c>
      <c r="G38" s="32">
        <v>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ht="14.45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0.6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ht="14.45" x14ac:dyDescent="0.3">
      <c r="A40" s="7" t="s">
        <v>7</v>
      </c>
      <c r="B40" s="7" t="s">
        <v>7</v>
      </c>
      <c r="C40" s="30" t="s">
        <v>7</v>
      </c>
      <c r="D40" s="7" t="str">
        <f t="shared" si="0"/>
        <v>PIPE_40</v>
      </c>
      <c r="E40" s="7"/>
      <c r="F40" s="31">
        <v>1</v>
      </c>
      <c r="G40" s="32">
        <v>0</v>
      </c>
      <c r="H40" s="32">
        <v>270</v>
      </c>
      <c r="I40" s="32">
        <v>0</v>
      </c>
      <c r="J40" s="29">
        <v>0</v>
      </c>
      <c r="K40" s="29">
        <v>0</v>
      </c>
      <c r="L40" s="29">
        <v>0</v>
      </c>
      <c r="M40" s="33">
        <v>100</v>
      </c>
      <c r="N40" s="33">
        <v>3.05</v>
      </c>
      <c r="O40" s="36">
        <v>1.5</v>
      </c>
      <c r="P40" s="36"/>
      <c r="Q40" s="7"/>
      <c r="R40" s="31"/>
      <c r="S40" s="7"/>
      <c r="T40" s="31"/>
      <c r="U40" s="7"/>
      <c r="V40" s="7"/>
    </row>
    <row r="41" spans="1:22" ht="14.45" x14ac:dyDescent="0.3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</row>
    <row r="42" spans="1:22" ht="14.45" x14ac:dyDescent="0.3">
      <c r="A42" s="7" t="s">
        <v>45</v>
      </c>
      <c r="B42" s="7" t="s">
        <v>9</v>
      </c>
      <c r="C42" s="30" t="s">
        <v>74</v>
      </c>
      <c r="D42" s="7" t="str">
        <f>CONCATENATE("JUNC_",ROW())</f>
        <v>JUNC_42</v>
      </c>
      <c r="E42" s="7"/>
      <c r="F42" s="31">
        <v>0.2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100</v>
      </c>
      <c r="N42" s="33">
        <v>3.05</v>
      </c>
      <c r="O42" s="36"/>
      <c r="P42" s="36"/>
      <c r="Q42" s="7" t="str">
        <f ca="1">OFFSET($A$1,ROW()-3,3)</f>
        <v>PIPE_40</v>
      </c>
      <c r="R42" s="31" t="s">
        <v>42</v>
      </c>
      <c r="S42" s="7" t="str">
        <f ca="1">OFFSET($A$1,ROW()+1,3)</f>
        <v>PIPE_44</v>
      </c>
      <c r="T42" s="31" t="s">
        <v>41</v>
      </c>
      <c r="U42" s="7"/>
      <c r="V42" s="7"/>
    </row>
    <row r="43" spans="1:22" x14ac:dyDescent="0.25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</row>
    <row r="44" spans="1:22" x14ac:dyDescent="0.25">
      <c r="A44" s="7" t="s">
        <v>7</v>
      </c>
      <c r="B44" s="7" t="s">
        <v>7</v>
      </c>
      <c r="C44" s="30" t="s">
        <v>7</v>
      </c>
      <c r="D44" s="7" t="str">
        <f t="shared" si="0"/>
        <v>PIPE_44</v>
      </c>
      <c r="E44" s="7"/>
      <c r="F44" s="31">
        <v>1</v>
      </c>
      <c r="G44" s="32">
        <v>0</v>
      </c>
      <c r="H44" s="32">
        <v>270</v>
      </c>
      <c r="I44" s="32">
        <v>0</v>
      </c>
      <c r="J44" s="29">
        <v>0</v>
      </c>
      <c r="K44" s="29">
        <v>0</v>
      </c>
      <c r="L44" s="29">
        <v>0</v>
      </c>
      <c r="M44" s="33">
        <v>100</v>
      </c>
      <c r="N44" s="33">
        <v>3.05</v>
      </c>
      <c r="O44" s="36">
        <v>1.5</v>
      </c>
      <c r="P44" s="36"/>
      <c r="Q44" s="7"/>
      <c r="R44" s="31"/>
      <c r="S44" s="7"/>
      <c r="T44" s="31"/>
      <c r="U44" s="7"/>
      <c r="V44" s="7"/>
    </row>
    <row r="45" spans="1:22" x14ac:dyDescent="0.25">
      <c r="A45" s="7" t="s">
        <v>7</v>
      </c>
      <c r="B45" s="7" t="s">
        <v>7</v>
      </c>
      <c r="C45" s="30" t="s">
        <v>7</v>
      </c>
      <c r="D45" s="7" t="str">
        <f t="shared" si="0"/>
        <v>PIPE_45</v>
      </c>
      <c r="E45" s="7"/>
      <c r="F45" s="31">
        <v>0.4</v>
      </c>
      <c r="G45" s="32">
        <v>-90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100</v>
      </c>
      <c r="N45" s="33">
        <v>3.05</v>
      </c>
      <c r="O45" s="36">
        <v>1.5</v>
      </c>
      <c r="P45" s="36"/>
      <c r="Q45" s="7"/>
      <c r="R45" s="31"/>
      <c r="S45" s="7"/>
      <c r="T45" s="31"/>
      <c r="U45" s="7"/>
      <c r="V45" s="7"/>
    </row>
    <row r="46" spans="1:22" x14ac:dyDescent="0.25">
      <c r="A46" s="7" t="s">
        <v>7</v>
      </c>
      <c r="B46" s="7" t="s">
        <v>7</v>
      </c>
      <c r="C46" s="30" t="s">
        <v>7</v>
      </c>
      <c r="D46" s="7" t="str">
        <f t="shared" si="0"/>
        <v>PIPE_46</v>
      </c>
      <c r="E46" s="7"/>
      <c r="F46" s="31">
        <v>2</v>
      </c>
      <c r="G46" s="32">
        <v>0</v>
      </c>
      <c r="H46" s="32">
        <v>0</v>
      </c>
      <c r="I46" s="32">
        <v>0</v>
      </c>
      <c r="J46" s="29">
        <v>0</v>
      </c>
      <c r="K46" s="29">
        <v>0</v>
      </c>
      <c r="L46" s="29">
        <v>0</v>
      </c>
      <c r="M46" s="33">
        <v>100</v>
      </c>
      <c r="N46" s="33">
        <v>3.05</v>
      </c>
      <c r="O46" s="36">
        <v>1.5</v>
      </c>
      <c r="P46" s="36"/>
      <c r="Q46" s="7"/>
      <c r="R46" s="31"/>
      <c r="S46" s="7"/>
      <c r="T46" s="31"/>
      <c r="U46" s="7"/>
      <c r="V46" s="7"/>
    </row>
    <row r="47" spans="1:22" x14ac:dyDescent="0.25">
      <c r="A47" s="7"/>
      <c r="B47" s="7"/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x14ac:dyDescent="0.25">
      <c r="A48" s="7" t="s">
        <v>45</v>
      </c>
      <c r="B48" s="7" t="s">
        <v>10</v>
      </c>
      <c r="C48" s="30" t="s">
        <v>10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1</v>
      </c>
      <c r="M48" s="33">
        <v>0</v>
      </c>
      <c r="N48" s="33">
        <v>0</v>
      </c>
      <c r="O48" s="36"/>
      <c r="P48" s="36"/>
      <c r="Q48" s="7" t="str">
        <f ca="1">OFFSET($A$1,ROW()-3,3)</f>
        <v>PIPE_46</v>
      </c>
      <c r="R48" s="31" t="s">
        <v>42</v>
      </c>
      <c r="S48" s="7" t="str">
        <f ca="1">OFFSET($A$1,ROW()+1,3)</f>
        <v>VOL_50</v>
      </c>
      <c r="T48" s="31" t="s">
        <v>41</v>
      </c>
      <c r="U48" s="7"/>
      <c r="V48" s="7"/>
    </row>
    <row r="49" spans="1:22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x14ac:dyDescent="0.25">
      <c r="A50" s="7" t="s">
        <v>29</v>
      </c>
      <c r="B50" s="7" t="s">
        <v>21</v>
      </c>
      <c r="C50" s="30" t="s">
        <v>75</v>
      </c>
      <c r="D50" s="7" t="str">
        <f>CONCATENATE("VOL_",ROW())</f>
        <v>VOL_50</v>
      </c>
      <c r="E50" s="7"/>
      <c r="F50" s="31">
        <v>1.5</v>
      </c>
      <c r="G50" s="32">
        <v>-90</v>
      </c>
      <c r="H50" s="32">
        <v>0</v>
      </c>
      <c r="I50" s="32">
        <v>0</v>
      </c>
      <c r="J50" s="29">
        <v>0</v>
      </c>
      <c r="K50" s="29">
        <v>0</v>
      </c>
      <c r="L50" s="29">
        <v>0</v>
      </c>
      <c r="M50" s="33">
        <v>1000</v>
      </c>
      <c r="N50" s="33">
        <v>7</v>
      </c>
      <c r="O50" s="36">
        <v>0.8</v>
      </c>
      <c r="P50" s="36"/>
      <c r="Q50" s="7"/>
      <c r="R50" s="31"/>
      <c r="S50" s="7"/>
      <c r="T50" s="31"/>
      <c r="U50" s="7"/>
      <c r="V50" s="7"/>
    </row>
    <row r="51" spans="1:22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</row>
    <row r="52" spans="1:22" x14ac:dyDescent="0.25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2" x14ac:dyDescent="0.25">
      <c r="A54" s="7" t="s">
        <v>82</v>
      </c>
      <c r="B54" s="7" t="s">
        <v>76</v>
      </c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x14ac:dyDescent="0.25">
      <c r="A55" s="47" t="s">
        <v>45</v>
      </c>
      <c r="B55" s="54" t="s">
        <v>10</v>
      </c>
      <c r="C55" s="48" t="s">
        <v>20</v>
      </c>
      <c r="D55" s="47" t="str">
        <f>CONCATENATE("JUNC_",ROW())</f>
        <v>JUNC_55</v>
      </c>
      <c r="E55" s="47"/>
      <c r="F55" s="49">
        <v>0</v>
      </c>
      <c r="G55" s="50">
        <v>0</v>
      </c>
      <c r="H55" s="50">
        <v>0</v>
      </c>
      <c r="I55" s="50">
        <v>0</v>
      </c>
      <c r="J55" s="51">
        <v>0</v>
      </c>
      <c r="K55" s="51">
        <v>0</v>
      </c>
      <c r="L55" s="51">
        <v>0</v>
      </c>
      <c r="M55" s="52">
        <v>97.93</v>
      </c>
      <c r="N55" s="52">
        <v>2.02</v>
      </c>
      <c r="O55" s="53"/>
      <c r="P55" s="53"/>
      <c r="Q55" s="47" t="str">
        <f>D40</f>
        <v>PIPE_40</v>
      </c>
      <c r="R55" s="49">
        <v>0.5</v>
      </c>
      <c r="S55" s="47" t="str">
        <f ca="1">OFFSET($A$1,ROW()+1,3)</f>
        <v>PIPE_57</v>
      </c>
      <c r="T55" s="49" t="s">
        <v>41</v>
      </c>
      <c r="U55" s="47"/>
      <c r="V55" s="47"/>
    </row>
    <row r="56" spans="1:22" x14ac:dyDescent="0.25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</row>
    <row r="57" spans="1:22" x14ac:dyDescent="0.25">
      <c r="A57" s="7" t="s">
        <v>7</v>
      </c>
      <c r="B57" s="7" t="s">
        <v>7</v>
      </c>
      <c r="C57" s="30" t="s">
        <v>7</v>
      </c>
      <c r="D57" s="7" t="str">
        <f t="shared" ref="D57:D63" si="1">CONCATENATE("PIPE_",ROW())</f>
        <v>PIPE_57</v>
      </c>
      <c r="E57" s="7"/>
      <c r="F57" s="31">
        <v>0.7</v>
      </c>
      <c r="G57" s="32">
        <v>0</v>
      </c>
      <c r="H57" s="32">
        <v>180</v>
      </c>
      <c r="I57" s="32">
        <v>0</v>
      </c>
      <c r="J57" s="29">
        <v>0</v>
      </c>
      <c r="K57" s="29">
        <v>0</v>
      </c>
      <c r="L57" s="29">
        <v>0</v>
      </c>
      <c r="M57" s="33">
        <v>100</v>
      </c>
      <c r="N57" s="33">
        <v>3.05</v>
      </c>
      <c r="O57" s="36">
        <v>1.5</v>
      </c>
      <c r="P57" s="36"/>
      <c r="Q57" s="7"/>
      <c r="R57" s="31"/>
      <c r="S57" s="7"/>
      <c r="T57" s="31"/>
      <c r="U57" s="7"/>
      <c r="V57" s="7"/>
    </row>
    <row r="58" spans="1:22" x14ac:dyDescent="0.25">
      <c r="A58" s="7" t="s">
        <v>7</v>
      </c>
      <c r="B58" s="7" t="s">
        <v>7</v>
      </c>
      <c r="C58" s="30" t="s">
        <v>7</v>
      </c>
      <c r="D58" s="7" t="str">
        <f t="shared" si="1"/>
        <v>PIPE_58</v>
      </c>
      <c r="E58" s="7"/>
      <c r="F58" s="31">
        <v>0.5</v>
      </c>
      <c r="G58" s="32">
        <v>0</v>
      </c>
      <c r="H58" s="32">
        <v>270</v>
      </c>
      <c r="I58" s="32">
        <v>0</v>
      </c>
      <c r="J58" s="29">
        <v>0</v>
      </c>
      <c r="K58" s="29">
        <v>0</v>
      </c>
      <c r="L58" s="29">
        <v>0</v>
      </c>
      <c r="M58" s="33">
        <v>100</v>
      </c>
      <c r="N58" s="33">
        <v>3.05</v>
      </c>
      <c r="O58" s="36">
        <v>1.5</v>
      </c>
      <c r="P58" s="36"/>
      <c r="Q58" s="7"/>
      <c r="R58" s="31"/>
      <c r="S58" s="7"/>
      <c r="T58" s="31"/>
      <c r="U58" s="7"/>
      <c r="V58" s="7"/>
    </row>
    <row r="59" spans="1:22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x14ac:dyDescent="0.25">
      <c r="A60" s="7" t="s">
        <v>45</v>
      </c>
      <c r="B60" s="7" t="s">
        <v>9</v>
      </c>
      <c r="C60" s="30" t="s">
        <v>77</v>
      </c>
      <c r="D60" s="7" t="str">
        <f>CONCATENATE("JUNC_",ROW())</f>
        <v>JUNC_60</v>
      </c>
      <c r="E60" s="7"/>
      <c r="F60" s="31">
        <v>0.2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100</v>
      </c>
      <c r="N60" s="33">
        <v>3.05</v>
      </c>
      <c r="O60" s="36"/>
      <c r="P60" s="36"/>
      <c r="Q60" s="7" t="str">
        <f ca="1">OFFSET($A$1,ROW()-3,3)</f>
        <v>PIPE_58</v>
      </c>
      <c r="R60" s="31" t="s">
        <v>42</v>
      </c>
      <c r="S60" s="7" t="str">
        <f ca="1">OFFSET($A$1,ROW()+1,3)</f>
        <v>PIPE_62</v>
      </c>
      <c r="T60" s="31" t="s">
        <v>41</v>
      </c>
      <c r="U60" s="7"/>
      <c r="V60" s="7"/>
    </row>
    <row r="61" spans="1:22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x14ac:dyDescent="0.25">
      <c r="A62" s="7" t="s">
        <v>7</v>
      </c>
      <c r="B62" s="7" t="s">
        <v>7</v>
      </c>
      <c r="C62" s="30" t="s">
        <v>7</v>
      </c>
      <c r="D62" s="7" t="str">
        <f t="shared" si="1"/>
        <v>PIPE_62</v>
      </c>
      <c r="E62" s="7"/>
      <c r="F62" s="31">
        <v>0.5</v>
      </c>
      <c r="G62" s="32">
        <v>0</v>
      </c>
      <c r="H62" s="32">
        <v>270</v>
      </c>
      <c r="I62" s="32">
        <v>0</v>
      </c>
      <c r="J62" s="29">
        <v>0</v>
      </c>
      <c r="K62" s="29">
        <v>0</v>
      </c>
      <c r="L62" s="29">
        <v>0</v>
      </c>
      <c r="M62" s="33">
        <v>100</v>
      </c>
      <c r="N62" s="33">
        <v>3.05</v>
      </c>
      <c r="O62" s="36">
        <v>1.5</v>
      </c>
      <c r="P62" s="36"/>
      <c r="Q62" s="7"/>
      <c r="R62" s="31"/>
      <c r="S62" s="7"/>
      <c r="T62" s="31"/>
      <c r="U62" s="7"/>
      <c r="V62" s="7"/>
    </row>
    <row r="63" spans="1:22" x14ac:dyDescent="0.25">
      <c r="A63" s="7" t="s">
        <v>7</v>
      </c>
      <c r="B63" s="7" t="s">
        <v>7</v>
      </c>
      <c r="C63" s="30" t="s">
        <v>7</v>
      </c>
      <c r="D63" s="7" t="str">
        <f t="shared" si="1"/>
        <v>PIPE_63</v>
      </c>
      <c r="E63" s="7"/>
      <c r="F63" s="31">
        <v>0.7</v>
      </c>
      <c r="G63" s="32">
        <v>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100</v>
      </c>
      <c r="N63" s="33">
        <v>3.05</v>
      </c>
      <c r="O63" s="36">
        <v>1.5</v>
      </c>
      <c r="P63" s="36"/>
      <c r="Q63" s="7"/>
      <c r="R63" s="31"/>
      <c r="S63" s="7"/>
      <c r="T63" s="31"/>
      <c r="U63" s="7"/>
      <c r="V63" s="7"/>
    </row>
    <row r="64" spans="1:22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25">
      <c r="A65" s="7" t="s">
        <v>45</v>
      </c>
      <c r="B65" s="7" t="s">
        <v>10</v>
      </c>
      <c r="C65" s="30" t="s">
        <v>20</v>
      </c>
      <c r="D65" s="7" t="str">
        <f>CONCATENATE("JUNC_",ROW())</f>
        <v>JUNC_65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>D44</f>
        <v>PIPE_44</v>
      </c>
      <c r="T65" s="31">
        <v>0.5</v>
      </c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41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1:22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1:22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1:22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1:22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1:22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1:22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1:22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1:22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</sheetData>
  <mergeCells count="3">
    <mergeCell ref="A6:C6"/>
    <mergeCell ref="D6:G6"/>
    <mergeCell ref="A8:C8"/>
  </mergeCells>
  <conditionalFormatting sqref="M16">
    <cfRule type="expression" dxfId="375" priority="70" stopIfTrue="1">
      <formula>$A16="Pipe"</formula>
    </cfRule>
  </conditionalFormatting>
  <conditionalFormatting sqref="Q230:Q345 S230:S345 J230:J345 U230:U345 A230:A345 O230:O345 M230:M345">
    <cfRule type="expression" dxfId="374" priority="67">
      <formula>OR($A230="Pipe",$A230="Component",$A230="Volume")</formula>
    </cfRule>
  </conditionalFormatting>
  <conditionalFormatting sqref="T230:T345 R230:R345 E230:E345 L230:L345 P230:P345 V230:V345 N230:N345 I230:I345">
    <cfRule type="expression" dxfId="373" priority="68">
      <formula>OR($A230="Pipe",$A230="Component",$A230="Volume")</formula>
    </cfRule>
  </conditionalFormatting>
  <conditionalFormatting sqref="K230:K345 B230:D345 G230:H345">
    <cfRule type="expression" dxfId="372" priority="66">
      <formula>OR($A230="Pipe",$A230="Component",$A230="Volume")</formula>
    </cfRule>
  </conditionalFormatting>
  <conditionalFormatting sqref="U230:V345 A230:P345">
    <cfRule type="expression" dxfId="371" priority="65">
      <formula>$A230="Pipe"</formula>
    </cfRule>
  </conditionalFormatting>
  <conditionalFormatting sqref="Q230:T345">
    <cfRule type="expression" dxfId="370" priority="64">
      <formula>OR($A230="Volume",$A230="Pipe")</formula>
    </cfRule>
  </conditionalFormatting>
  <conditionalFormatting sqref="A230:V345">
    <cfRule type="expression" dxfId="369" priority="63">
      <formula>$A230="Component"</formula>
    </cfRule>
  </conditionalFormatting>
  <conditionalFormatting sqref="U230:V345 A230:P345">
    <cfRule type="expression" dxfId="368" priority="62">
      <formula>$A230="Volume"</formula>
    </cfRule>
  </conditionalFormatting>
  <conditionalFormatting sqref="J230:L345">
    <cfRule type="cellIs" dxfId="367" priority="61" operator="notEqual">
      <formula>0</formula>
    </cfRule>
  </conditionalFormatting>
  <conditionalFormatting sqref="F230:F345">
    <cfRule type="expression" dxfId="366" priority="69">
      <formula>OR($A230="Pipe",$A230="Component",$A230="Volume")</formula>
    </cfRule>
  </conditionalFormatting>
  <conditionalFormatting sqref="A228:P229">
    <cfRule type="expression" dxfId="365" priority="60">
      <formula>$A228="Pipe"</formula>
    </cfRule>
  </conditionalFormatting>
  <conditionalFormatting sqref="T228:V229">
    <cfRule type="expression" dxfId="364" priority="59">
      <formula>$A228="Pipe"</formula>
    </cfRule>
  </conditionalFormatting>
  <conditionalFormatting sqref="A228:P229">
    <cfRule type="expression" dxfId="363" priority="58">
      <formula>$A228="Volume"</formula>
    </cfRule>
  </conditionalFormatting>
  <conditionalFormatting sqref="T228:V229">
    <cfRule type="expression" dxfId="362" priority="57">
      <formula>$A228="Volume"</formula>
    </cfRule>
  </conditionalFormatting>
  <conditionalFormatting sqref="A228:V229">
    <cfRule type="expression" dxfId="361" priority="56">
      <formula>$A228="Junction"</formula>
    </cfRule>
  </conditionalFormatting>
  <conditionalFormatting sqref="A228:V229">
    <cfRule type="expression" dxfId="360" priority="55">
      <formula>$A228="Flowpath"</formula>
    </cfRule>
  </conditionalFormatting>
  <conditionalFormatting sqref="Q228:T229">
    <cfRule type="expression" dxfId="359" priority="54">
      <formula>OR($A228="Pipe",$A228="Volume")</formula>
    </cfRule>
  </conditionalFormatting>
  <conditionalFormatting sqref="J228:L229">
    <cfRule type="expression" dxfId="358" priority="53">
      <formula>AND(OR($A228="Junction",$A228="Pipe",$A228="Volume"),J228&lt;&gt;0)</formula>
    </cfRule>
  </conditionalFormatting>
  <conditionalFormatting sqref="R228:R229">
    <cfRule type="expression" dxfId="357" priority="52">
      <formula>AND($A228="Junction",ISNUMBER(R228))</formula>
    </cfRule>
  </conditionalFormatting>
  <conditionalFormatting sqref="T228:T229">
    <cfRule type="expression" dxfId="356" priority="51">
      <formula>AND($A228="Junction",ISNUMBER(T228))</formula>
    </cfRule>
  </conditionalFormatting>
  <conditionalFormatting sqref="B228:D229">
    <cfRule type="expression" dxfId="355" priority="50">
      <formula>OR($A228="Junction",$A228="Pipe",$A228="Volume")</formula>
    </cfRule>
  </conditionalFormatting>
  <conditionalFormatting sqref="F228:F229">
    <cfRule type="expression" dxfId="354" priority="49">
      <formula>OR($A228="Junction",$A228="Pipe",$A228="Volume")</formula>
    </cfRule>
  </conditionalFormatting>
  <conditionalFormatting sqref="H228:H229">
    <cfRule type="expression" dxfId="353" priority="48">
      <formula>OR($A228="Junction",$A228="Pipe",$A228="Volume")</formula>
    </cfRule>
  </conditionalFormatting>
  <conditionalFormatting sqref="K228:K229">
    <cfRule type="expression" dxfId="352" priority="47">
      <formula>OR($A228="Junction",$A228="Pipe",$A228="Volume")</formula>
    </cfRule>
  </conditionalFormatting>
  <conditionalFormatting sqref="A228:A229">
    <cfRule type="expression" dxfId="351" priority="46">
      <formula>OR($A228="Junction",$A228="Pipe",$A228="Volume")</formula>
    </cfRule>
  </conditionalFormatting>
  <conditionalFormatting sqref="G228:G229">
    <cfRule type="expression" dxfId="350" priority="45">
      <formula>OR($A228="Junction",$A228="Pipe",$A228="Volume")</formula>
    </cfRule>
  </conditionalFormatting>
  <conditionalFormatting sqref="J228:J229">
    <cfRule type="expression" dxfId="349" priority="44">
      <formula>OR($A228="Junction",$A228="Pipe",$A228="Volume")</formula>
    </cfRule>
  </conditionalFormatting>
  <conditionalFormatting sqref="M228:M229">
    <cfRule type="expression" dxfId="348" priority="43">
      <formula>OR($A228="Junction",$A228="Pipe",$A228="Volume")</formula>
    </cfRule>
  </conditionalFormatting>
  <conditionalFormatting sqref="O228:O229">
    <cfRule type="expression" dxfId="347" priority="42">
      <formula>OR($A228="Junction",$A228="Pipe",$A228="Volume")</formula>
    </cfRule>
  </conditionalFormatting>
  <conditionalFormatting sqref="Q228:Q229">
    <cfRule type="expression" dxfId="346" priority="41">
      <formula>OR($A228="Junction",$A228="Pipe",$A228="Volume")</formula>
    </cfRule>
  </conditionalFormatting>
  <conditionalFormatting sqref="S228:S229">
    <cfRule type="expression" dxfId="345" priority="40">
      <formula>OR($A228="Junction",$A228="Pipe",$A228="Volume")</formula>
    </cfRule>
  </conditionalFormatting>
  <conditionalFormatting sqref="U228:U229">
    <cfRule type="expression" dxfId="344" priority="39">
      <formula>OR($A228="Junction",$A228="Pipe",$A228="Volume")</formula>
    </cfRule>
  </conditionalFormatting>
  <conditionalFormatting sqref="E228:E229">
    <cfRule type="expression" dxfId="343" priority="38">
      <formula>OR($A228="Junction",$A228="Pipe",$A228="Volume")</formula>
    </cfRule>
  </conditionalFormatting>
  <conditionalFormatting sqref="I228:I229">
    <cfRule type="expression" dxfId="342" priority="37">
      <formula>OR($A228="Junction",$A228="Pipe",$A228="Volume")</formula>
    </cfRule>
  </conditionalFormatting>
  <conditionalFormatting sqref="L228:L229">
    <cfRule type="expression" dxfId="341" priority="36">
      <formula>OR($A228="Junction",$A228="Pipe",$A228="Volume")</formula>
    </cfRule>
  </conditionalFormatting>
  <conditionalFormatting sqref="N228:N229">
    <cfRule type="expression" dxfId="340" priority="35">
      <formula>OR($A228="Junction",$A228="Pipe",$A228="Volume")</formula>
    </cfRule>
  </conditionalFormatting>
  <conditionalFormatting sqref="P228:P229">
    <cfRule type="expression" dxfId="339" priority="34">
      <formula>OR($A228="Junction",$A228="Pipe",$A228="Volume")</formula>
    </cfRule>
  </conditionalFormatting>
  <conditionalFormatting sqref="R228:R229">
    <cfRule type="expression" dxfId="338" priority="33">
      <formula>OR($A228="Junction",$A228="Pipe",$A228="Volume")</formula>
    </cfRule>
  </conditionalFormatting>
  <conditionalFormatting sqref="T228:T229">
    <cfRule type="expression" dxfId="337" priority="32">
      <formula>OR($A228="Junction",$A228="Pipe",$A228="Volume")</formula>
    </cfRule>
  </conditionalFormatting>
  <conditionalFormatting sqref="V228:V229">
    <cfRule type="expression" dxfId="336" priority="31">
      <formula>OR($A228="Junction",$A228="Pipe",$A228="Volume")</formula>
    </cfRule>
  </conditionalFormatting>
  <conditionalFormatting sqref="A30:P227">
    <cfRule type="expression" dxfId="335" priority="30">
      <formula>$A30="Pipe"</formula>
    </cfRule>
  </conditionalFormatting>
  <conditionalFormatting sqref="T30:V227">
    <cfRule type="expression" dxfId="334" priority="29">
      <formula>$A30="Pipe"</formula>
    </cfRule>
  </conditionalFormatting>
  <conditionalFormatting sqref="A30:P227">
    <cfRule type="expression" dxfId="333" priority="28">
      <formula>$A30="Volume"</formula>
    </cfRule>
  </conditionalFormatting>
  <conditionalFormatting sqref="T30:V227">
    <cfRule type="expression" dxfId="332" priority="27">
      <formula>$A30="Volume"</formula>
    </cfRule>
  </conditionalFormatting>
  <conditionalFormatting sqref="A30:V227">
    <cfRule type="expression" dxfId="331" priority="26">
      <formula>$A30="Junction"</formula>
    </cfRule>
  </conditionalFormatting>
  <conditionalFormatting sqref="A30:V227">
    <cfRule type="expression" dxfId="330" priority="25">
      <formula>$A30="Section"</formula>
    </cfRule>
  </conditionalFormatting>
  <conditionalFormatting sqref="Q30:T227">
    <cfRule type="expression" dxfId="329" priority="24">
      <formula>OR($A30="Pipe",$A30="Volume")</formula>
    </cfRule>
  </conditionalFormatting>
  <conditionalFormatting sqref="J30:L227">
    <cfRule type="expression" dxfId="328" priority="23">
      <formula>AND(OR($A30="Junction",$A30="Pipe",$A30="Volume"),J30&lt;&gt;0)</formula>
    </cfRule>
  </conditionalFormatting>
  <conditionalFormatting sqref="R30:R227">
    <cfRule type="expression" dxfId="327" priority="22">
      <formula>AND($A30="Junction",ISNUMBER(R30))</formula>
    </cfRule>
  </conditionalFormatting>
  <conditionalFormatting sqref="T30:T227">
    <cfRule type="expression" dxfId="326" priority="21">
      <formula>AND($A30="Junction",ISNUMBER(T30))</formula>
    </cfRule>
  </conditionalFormatting>
  <conditionalFormatting sqref="B30:D227">
    <cfRule type="expression" dxfId="325" priority="20">
      <formula>OR($A30="Junction",$A30="Pipe",$A30="Volume")</formula>
    </cfRule>
  </conditionalFormatting>
  <conditionalFormatting sqref="F30:F227">
    <cfRule type="expression" dxfId="324" priority="19">
      <formula>OR($A30="Junction",$A30="Pipe",$A30="Volume")</formula>
    </cfRule>
  </conditionalFormatting>
  <conditionalFormatting sqref="H30:H227">
    <cfRule type="expression" dxfId="323" priority="18">
      <formula>OR($A30="Junction",$A30="Pipe",$A30="Volume")</formula>
    </cfRule>
  </conditionalFormatting>
  <conditionalFormatting sqref="K30:K227">
    <cfRule type="expression" dxfId="322" priority="17">
      <formula>OR($A30="Junction",$A30="Pipe",$A30="Volume")</formula>
    </cfRule>
  </conditionalFormatting>
  <conditionalFormatting sqref="A30:A227">
    <cfRule type="expression" dxfId="321" priority="16">
      <formula>OR($A30="Junction",$A30="Pipe",$A30="Volume")</formula>
    </cfRule>
  </conditionalFormatting>
  <conditionalFormatting sqref="G30:G227">
    <cfRule type="expression" dxfId="320" priority="15">
      <formula>OR($A30="Junction",$A30="Pipe",$A30="Volume")</formula>
    </cfRule>
  </conditionalFormatting>
  <conditionalFormatting sqref="J30:J227">
    <cfRule type="expression" dxfId="319" priority="14">
      <formula>OR($A30="Junction",$A30="Pipe",$A30="Volume")</formula>
    </cfRule>
  </conditionalFormatting>
  <conditionalFormatting sqref="M30:M227">
    <cfRule type="expression" dxfId="318" priority="13">
      <formula>OR($A30="Junction",$A30="Pipe",$A30="Volume")</formula>
    </cfRule>
  </conditionalFormatting>
  <conditionalFormatting sqref="O30:O227">
    <cfRule type="expression" dxfId="317" priority="12">
      <formula>OR($A30="Junction",$A30="Pipe",$A30="Volume")</formula>
    </cfRule>
  </conditionalFormatting>
  <conditionalFormatting sqref="Q30:Q227">
    <cfRule type="expression" dxfId="316" priority="11">
      <formula>OR($A30="Junction",$A30="Pipe",$A30="Volume")</formula>
    </cfRule>
  </conditionalFormatting>
  <conditionalFormatting sqref="S30:S227">
    <cfRule type="expression" dxfId="315" priority="10">
      <formula>OR($A30="Junction",$A30="Pipe",$A30="Volume")</formula>
    </cfRule>
  </conditionalFormatting>
  <conditionalFormatting sqref="U30:U227">
    <cfRule type="expression" dxfId="314" priority="9">
      <formula>OR($A30="Junction",$A30="Pipe",$A30="Volume")</formula>
    </cfRule>
  </conditionalFormatting>
  <conditionalFormatting sqref="E30:E227">
    <cfRule type="expression" dxfId="313" priority="8">
      <formula>OR($A30="Junction",$A30="Pipe",$A30="Volume")</formula>
    </cfRule>
  </conditionalFormatting>
  <conditionalFormatting sqref="I30:I227">
    <cfRule type="expression" dxfId="312" priority="7">
      <formula>OR($A30="Junction",$A30="Pipe",$A30="Volume")</formula>
    </cfRule>
  </conditionalFormatting>
  <conditionalFormatting sqref="L30:L227">
    <cfRule type="expression" dxfId="311" priority="6">
      <formula>OR($A30="Junction",$A30="Pipe",$A30="Volume")</formula>
    </cfRule>
  </conditionalFormatting>
  <conditionalFormatting sqref="N30:N227">
    <cfRule type="expression" dxfId="310" priority="5">
      <formula>OR($A30="Junction",$A30="Pipe",$A30="Volume")</formula>
    </cfRule>
  </conditionalFormatting>
  <conditionalFormatting sqref="P30:P227">
    <cfRule type="expression" dxfId="309" priority="4">
      <formula>OR($A30="Junction",$A30="Pipe",$A30="Volume")</formula>
    </cfRule>
  </conditionalFormatting>
  <conditionalFormatting sqref="R30:R227">
    <cfRule type="expression" dxfId="308" priority="3">
      <formula>OR($A30="Junction",$A30="Pipe",$A30="Volume")</formula>
    </cfRule>
  </conditionalFormatting>
  <conditionalFormatting sqref="T30:T227">
    <cfRule type="expression" dxfId="307" priority="2">
      <formula>OR($A30="Junction",$A30="Pipe",$A30="Volume")</formula>
    </cfRule>
  </conditionalFormatting>
  <conditionalFormatting sqref="V30:V227">
    <cfRule type="expression" dxfId="306" priority="1">
      <formula>OR($A30="Junction",$A30="Pipe",$A30="Volume")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390525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AD345"/>
  <sheetViews>
    <sheetView zoomScale="90" zoomScaleNormal="90" workbookViewId="0">
      <pane ySplit="4" topLeftCell="A17" activePane="bottomLeft" state="frozenSplit"/>
      <selection pane="bottomLeft" activeCell="B55" sqref="B55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30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  <c r="AD1"/>
    </row>
    <row r="2" spans="1:30" s="12" customFormat="1" x14ac:dyDescent="0.25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30" s="12" customFormat="1" x14ac:dyDescent="0.25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30" s="12" customFormat="1" x14ac:dyDescent="0.25">
      <c r="X4" s="38"/>
      <c r="Y4" s="38"/>
      <c r="Z4" s="38"/>
    </row>
    <row r="5" spans="1:30" ht="18.75" x14ac:dyDescent="0.3">
      <c r="A5" s="15" t="s">
        <v>30</v>
      </c>
      <c r="D5" s="34" t="s">
        <v>44</v>
      </c>
      <c r="O5"/>
      <c r="P5"/>
    </row>
    <row r="6" spans="1:30" ht="14.45" customHeight="1" x14ac:dyDescent="0.25">
      <c r="A6" s="59" t="s">
        <v>31</v>
      </c>
      <c r="B6" s="59"/>
      <c r="C6" s="59"/>
      <c r="D6" s="60" t="s">
        <v>78</v>
      </c>
      <c r="E6" s="60"/>
      <c r="F6" s="60"/>
      <c r="G6" s="60"/>
      <c r="O6"/>
      <c r="P6"/>
    </row>
    <row r="7" spans="1:30" x14ac:dyDescent="0.25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30" x14ac:dyDescent="0.25">
      <c r="A8" s="59" t="s">
        <v>32</v>
      </c>
      <c r="B8" s="59"/>
      <c r="C8" s="59"/>
      <c r="D8" s="5" t="str">
        <f>HYPERLINK("\loclib")</f>
        <v>\loclib</v>
      </c>
      <c r="O8"/>
      <c r="P8"/>
    </row>
    <row r="9" spans="1:30" x14ac:dyDescent="0.25">
      <c r="O9"/>
      <c r="P9"/>
    </row>
    <row r="10" spans="1:30" ht="18.75" x14ac:dyDescent="0.3">
      <c r="A10" s="15" t="s">
        <v>33</v>
      </c>
      <c r="O10"/>
      <c r="P10"/>
    </row>
    <row r="11" spans="1:30" x14ac:dyDescent="0.25">
      <c r="A11" t="s">
        <v>34</v>
      </c>
      <c r="O11"/>
      <c r="P11"/>
    </row>
    <row r="12" spans="1:30" ht="18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30" x14ac:dyDescent="0.25">
      <c r="A13" s="21" t="s">
        <v>24</v>
      </c>
      <c r="B13" s="22" t="str">
        <f>D33</f>
        <v>VOL_33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30" x14ac:dyDescent="0.25">
      <c r="A14" s="21"/>
      <c r="B14" s="22"/>
      <c r="C14" s="23"/>
      <c r="D14" s="24"/>
      <c r="E14" s="25"/>
      <c r="F14" s="26"/>
      <c r="O14"/>
      <c r="P14"/>
    </row>
    <row r="15" spans="1:30" x14ac:dyDescent="0.25">
      <c r="A15" s="21"/>
      <c r="B15" s="22"/>
      <c r="C15" s="23"/>
      <c r="D15" s="24"/>
      <c r="E15" s="25"/>
      <c r="F15" s="26"/>
      <c r="O15"/>
      <c r="P15"/>
    </row>
    <row r="16" spans="1:30" x14ac:dyDescent="0.25">
      <c r="A16" s="21"/>
      <c r="B16" s="22"/>
      <c r="C16" s="23"/>
      <c r="D16" s="24"/>
      <c r="E16" s="25"/>
      <c r="F16" s="26"/>
      <c r="O16"/>
      <c r="P16"/>
    </row>
    <row r="17" spans="1:22" x14ac:dyDescent="0.25">
      <c r="A17" s="21"/>
      <c r="B17" s="22"/>
      <c r="C17" s="23"/>
      <c r="D17" s="24"/>
      <c r="E17" s="25"/>
      <c r="F17" s="26"/>
      <c r="O17"/>
      <c r="P17"/>
    </row>
    <row r="18" spans="1:22" x14ac:dyDescent="0.25">
      <c r="A18" s="27"/>
      <c r="B18" s="27"/>
      <c r="C18" s="27"/>
      <c r="D18" s="28"/>
      <c r="E18" s="28"/>
      <c r="F18" s="28"/>
      <c r="O18"/>
      <c r="P18"/>
    </row>
    <row r="19" spans="1:22" x14ac:dyDescent="0.25">
      <c r="A19" t="s">
        <v>81</v>
      </c>
      <c r="O19"/>
      <c r="P19"/>
    </row>
    <row r="20" spans="1:22" ht="18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x14ac:dyDescent="0.25">
      <c r="A21" s="21"/>
      <c r="B21" s="22"/>
      <c r="C21" s="40"/>
      <c r="D21" s="24"/>
      <c r="E21" s="25"/>
      <c r="F21" s="26"/>
      <c r="O21"/>
      <c r="P21"/>
    </row>
    <row r="22" spans="1:22" x14ac:dyDescent="0.25">
      <c r="A22" s="21"/>
      <c r="B22" s="22"/>
      <c r="C22" s="23"/>
      <c r="D22" s="24"/>
      <c r="E22" s="25"/>
      <c r="F22" s="26"/>
      <c r="O22"/>
      <c r="P22"/>
    </row>
    <row r="23" spans="1:22" x14ac:dyDescent="0.25">
      <c r="A23" s="21"/>
      <c r="B23" s="22"/>
      <c r="C23" s="23"/>
      <c r="D23" s="24"/>
      <c r="E23" s="25"/>
      <c r="F23" s="26"/>
      <c r="O23"/>
      <c r="P23"/>
    </row>
    <row r="24" spans="1:22" x14ac:dyDescent="0.25">
      <c r="A24" s="21"/>
      <c r="B24" s="22"/>
      <c r="C24" s="23"/>
      <c r="D24" s="24"/>
      <c r="E24" s="25"/>
      <c r="F24" s="26"/>
      <c r="O24"/>
      <c r="P24"/>
    </row>
    <row r="25" spans="1:22" x14ac:dyDescent="0.25">
      <c r="A25" s="21"/>
      <c r="B25" s="22"/>
      <c r="C25" s="23"/>
      <c r="D25" s="24"/>
      <c r="E25" s="25"/>
      <c r="F25" s="26"/>
      <c r="O25"/>
      <c r="P25"/>
    </row>
    <row r="26" spans="1:22" x14ac:dyDescent="0.25">
      <c r="A26" s="21"/>
      <c r="B26" s="22"/>
      <c r="C26" s="23"/>
      <c r="D26" s="24"/>
      <c r="E26" s="25"/>
      <c r="F26" s="26"/>
      <c r="O26"/>
      <c r="P26"/>
    </row>
    <row r="27" spans="1:22" x14ac:dyDescent="0.25">
      <c r="O27"/>
      <c r="P27"/>
    </row>
    <row r="28" spans="1:22" x14ac:dyDescent="0.25">
      <c r="O28"/>
      <c r="P28"/>
    </row>
    <row r="29" spans="1:22" ht="15.75" thickBot="1" x14ac:dyDescent="0.3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x14ac:dyDescent="0.25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x14ac:dyDescent="0.25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x14ac:dyDescent="0.25">
      <c r="A32" s="7" t="s">
        <v>82</v>
      </c>
      <c r="B32" s="7" t="s">
        <v>71</v>
      </c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2" x14ac:dyDescent="0.25">
      <c r="A33" s="7" t="s">
        <v>29</v>
      </c>
      <c r="B33" s="7" t="s">
        <v>21</v>
      </c>
      <c r="C33" s="30" t="s">
        <v>72</v>
      </c>
      <c r="D33" s="7" t="str">
        <f>CONCATENATE("VOL_",ROW())</f>
        <v>VOL_33</v>
      </c>
      <c r="E33" s="7"/>
      <c r="F33" s="31">
        <v>1.5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1000</v>
      </c>
      <c r="N33" s="33">
        <v>7</v>
      </c>
      <c r="O33" s="36">
        <v>0.8</v>
      </c>
      <c r="P33" s="36"/>
      <c r="Q33" s="7" t="s">
        <v>73</v>
      </c>
      <c r="R33" s="31"/>
      <c r="S33" s="7" t="s">
        <v>73</v>
      </c>
      <c r="T33" s="31"/>
      <c r="U33" s="7"/>
      <c r="V33" s="7"/>
    </row>
    <row r="34" spans="1:22" x14ac:dyDescent="0.25">
      <c r="A34" s="47"/>
      <c r="B34" s="47"/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</row>
    <row r="35" spans="1:22" x14ac:dyDescent="0.25">
      <c r="A35" s="7" t="s">
        <v>45</v>
      </c>
      <c r="B35" s="7" t="s">
        <v>10</v>
      </c>
      <c r="C35" s="30" t="s">
        <v>20</v>
      </c>
      <c r="D35" s="7" t="str">
        <f>CONCATENATE("JUNC_",ROW())</f>
        <v>JUNC_35</v>
      </c>
      <c r="E35" s="7"/>
      <c r="F35" s="31">
        <v>0</v>
      </c>
      <c r="G35" s="32">
        <v>0</v>
      </c>
      <c r="H35" s="32">
        <v>0</v>
      </c>
      <c r="I35" s="32">
        <v>0</v>
      </c>
      <c r="J35" s="29">
        <v>0</v>
      </c>
      <c r="K35" s="29">
        <v>0</v>
      </c>
      <c r="L35" s="29">
        <v>0</v>
      </c>
      <c r="M35" s="33">
        <v>97.93</v>
      </c>
      <c r="N35" s="33">
        <v>2.02</v>
      </c>
      <c r="O35" s="36"/>
      <c r="P35" s="36"/>
      <c r="Q35" s="7" t="str">
        <f ca="1">OFFSET($A$1,ROW()-3,3)</f>
        <v>VOL_33</v>
      </c>
      <c r="R35" s="31" t="s">
        <v>42</v>
      </c>
      <c r="S35" s="7" t="str">
        <f ca="1">OFFSET($A$1,ROW()+1,3)</f>
        <v>PIPE_37</v>
      </c>
      <c r="T35" s="31" t="s">
        <v>41</v>
      </c>
      <c r="U35" s="7"/>
      <c r="V35" s="7"/>
    </row>
    <row r="36" spans="1:22" x14ac:dyDescent="0.25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x14ac:dyDescent="0.25">
      <c r="A37" s="7" t="s">
        <v>7</v>
      </c>
      <c r="B37" s="7" t="s">
        <v>7</v>
      </c>
      <c r="C37" s="30" t="s">
        <v>7</v>
      </c>
      <c r="D37" s="7" t="str">
        <f t="shared" ref="D37:D46" si="0">CONCATENATE("PIPE_",ROW())</f>
        <v>PIPE_37</v>
      </c>
      <c r="E37" s="7"/>
      <c r="F37" s="31">
        <v>0.5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x14ac:dyDescent="0.25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1.5</v>
      </c>
      <c r="G38" s="32">
        <v>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x14ac:dyDescent="0.25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0.6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x14ac:dyDescent="0.25">
      <c r="A40" s="7" t="s">
        <v>7</v>
      </c>
      <c r="B40" s="7" t="s">
        <v>7</v>
      </c>
      <c r="C40" s="30" t="s">
        <v>7</v>
      </c>
      <c r="D40" s="7" t="str">
        <f t="shared" si="0"/>
        <v>PIPE_40</v>
      </c>
      <c r="E40" s="7"/>
      <c r="F40" s="31">
        <v>1</v>
      </c>
      <c r="G40" s="32">
        <v>0</v>
      </c>
      <c r="H40" s="32">
        <v>270</v>
      </c>
      <c r="I40" s="32">
        <v>0</v>
      </c>
      <c r="J40" s="29">
        <v>0</v>
      </c>
      <c r="K40" s="29">
        <v>0</v>
      </c>
      <c r="L40" s="29">
        <v>0</v>
      </c>
      <c r="M40" s="33">
        <v>100</v>
      </c>
      <c r="N40" s="33">
        <v>3.05</v>
      </c>
      <c r="O40" s="36">
        <v>1.5</v>
      </c>
      <c r="P40" s="36"/>
      <c r="Q40" s="7"/>
      <c r="R40" s="31"/>
      <c r="S40" s="7"/>
      <c r="T40" s="31"/>
      <c r="U40" s="7"/>
      <c r="V40" s="7"/>
    </row>
    <row r="41" spans="1:22" x14ac:dyDescent="0.25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</row>
    <row r="42" spans="1:22" x14ac:dyDescent="0.25">
      <c r="A42" s="7" t="s">
        <v>45</v>
      </c>
      <c r="B42" s="7" t="s">
        <v>9</v>
      </c>
      <c r="C42" s="30" t="s">
        <v>74</v>
      </c>
      <c r="D42" s="7" t="str">
        <f>CONCATENATE("JUNC_",ROW())</f>
        <v>JUNC_42</v>
      </c>
      <c r="E42" s="7"/>
      <c r="F42" s="31">
        <v>0.2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100</v>
      </c>
      <c r="N42" s="33">
        <v>3.05</v>
      </c>
      <c r="O42" s="36"/>
      <c r="P42" s="36"/>
      <c r="Q42" s="7" t="str">
        <f ca="1">OFFSET($A$1,ROW()-3,3)</f>
        <v>PIPE_40</v>
      </c>
      <c r="R42" s="31" t="s">
        <v>42</v>
      </c>
      <c r="S42" s="7" t="str">
        <f ca="1">OFFSET($A$1,ROW()+1,3)</f>
        <v>PIPE_44</v>
      </c>
      <c r="T42" s="31" t="s">
        <v>41</v>
      </c>
      <c r="U42" s="7"/>
      <c r="V42" s="7"/>
    </row>
    <row r="43" spans="1:22" x14ac:dyDescent="0.25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</row>
    <row r="44" spans="1:22" x14ac:dyDescent="0.25">
      <c r="A44" s="7" t="s">
        <v>7</v>
      </c>
      <c r="B44" s="7" t="s">
        <v>7</v>
      </c>
      <c r="C44" s="30" t="s">
        <v>7</v>
      </c>
      <c r="D44" s="7" t="str">
        <f t="shared" si="0"/>
        <v>PIPE_44</v>
      </c>
      <c r="E44" s="7"/>
      <c r="F44" s="31">
        <v>1</v>
      </c>
      <c r="G44" s="32">
        <v>0</v>
      </c>
      <c r="H44" s="32">
        <v>270</v>
      </c>
      <c r="I44" s="32">
        <v>0</v>
      </c>
      <c r="J44" s="29">
        <v>0</v>
      </c>
      <c r="K44" s="29">
        <v>0</v>
      </c>
      <c r="L44" s="29">
        <v>0</v>
      </c>
      <c r="M44" s="33">
        <v>100</v>
      </c>
      <c r="N44" s="33">
        <v>3.05</v>
      </c>
      <c r="O44" s="36">
        <v>1.5</v>
      </c>
      <c r="P44" s="36"/>
      <c r="Q44" s="7"/>
      <c r="R44" s="31"/>
      <c r="S44" s="7"/>
      <c r="T44" s="31"/>
      <c r="U44" s="7"/>
      <c r="V44" s="7"/>
    </row>
    <row r="45" spans="1:22" x14ac:dyDescent="0.25">
      <c r="A45" s="7" t="s">
        <v>7</v>
      </c>
      <c r="B45" s="7" t="s">
        <v>7</v>
      </c>
      <c r="C45" s="30" t="s">
        <v>7</v>
      </c>
      <c r="D45" s="7" t="str">
        <f t="shared" si="0"/>
        <v>PIPE_45</v>
      </c>
      <c r="E45" s="7"/>
      <c r="F45" s="31">
        <v>0.4</v>
      </c>
      <c r="G45" s="32">
        <v>-90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100</v>
      </c>
      <c r="N45" s="33">
        <v>3.05</v>
      </c>
      <c r="O45" s="36">
        <v>1.5</v>
      </c>
      <c r="P45" s="36"/>
      <c r="Q45" s="7"/>
      <c r="R45" s="31"/>
      <c r="S45" s="7"/>
      <c r="T45" s="31"/>
      <c r="U45" s="7"/>
      <c r="V45" s="7"/>
    </row>
    <row r="46" spans="1:22" x14ac:dyDescent="0.25">
      <c r="A46" s="7" t="s">
        <v>7</v>
      </c>
      <c r="B46" s="7" t="s">
        <v>7</v>
      </c>
      <c r="C46" s="30" t="s">
        <v>7</v>
      </c>
      <c r="D46" s="7" t="str">
        <f t="shared" si="0"/>
        <v>PIPE_46</v>
      </c>
      <c r="E46" s="7"/>
      <c r="F46" s="31">
        <v>2</v>
      </c>
      <c r="G46" s="32">
        <v>0</v>
      </c>
      <c r="H46" s="32">
        <v>0</v>
      </c>
      <c r="I46" s="32">
        <v>0</v>
      </c>
      <c r="J46" s="29">
        <v>0</v>
      </c>
      <c r="K46" s="29">
        <v>0</v>
      </c>
      <c r="L46" s="29">
        <v>0</v>
      </c>
      <c r="M46" s="33">
        <v>100</v>
      </c>
      <c r="N46" s="33">
        <v>3.05</v>
      </c>
      <c r="O46" s="36">
        <v>1.5</v>
      </c>
      <c r="P46" s="36"/>
      <c r="Q46" s="7"/>
      <c r="R46" s="31"/>
      <c r="S46" s="7"/>
      <c r="T46" s="31"/>
      <c r="U46" s="7"/>
      <c r="V46" s="7"/>
    </row>
    <row r="47" spans="1:22" x14ac:dyDescent="0.25">
      <c r="A47" s="7"/>
      <c r="B47" s="7"/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x14ac:dyDescent="0.25">
      <c r="A48" s="7" t="s">
        <v>45</v>
      </c>
      <c r="B48" s="7" t="s">
        <v>10</v>
      </c>
      <c r="C48" s="30" t="s">
        <v>10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1</v>
      </c>
      <c r="M48" s="33">
        <v>0</v>
      </c>
      <c r="N48" s="33">
        <v>0</v>
      </c>
      <c r="O48" s="36"/>
      <c r="P48" s="36"/>
      <c r="Q48" s="7" t="str">
        <f ca="1">OFFSET($A$1,ROW()-3,3)</f>
        <v>PIPE_46</v>
      </c>
      <c r="R48" s="31" t="s">
        <v>42</v>
      </c>
      <c r="S48" s="7" t="str">
        <f ca="1">OFFSET($A$1,ROW()+1,3)</f>
        <v>VOL_50</v>
      </c>
      <c r="T48" s="31" t="s">
        <v>41</v>
      </c>
      <c r="U48" s="7"/>
      <c r="V48" s="7"/>
    </row>
    <row r="49" spans="1:22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x14ac:dyDescent="0.25">
      <c r="A50" s="7" t="s">
        <v>29</v>
      </c>
      <c r="B50" s="7" t="s">
        <v>21</v>
      </c>
      <c r="C50" s="30" t="s">
        <v>75</v>
      </c>
      <c r="D50" s="7" t="str">
        <f>CONCATENATE("VOL_",ROW())</f>
        <v>VOL_50</v>
      </c>
      <c r="E50" s="7"/>
      <c r="F50" s="31">
        <v>1.5</v>
      </c>
      <c r="G50" s="32">
        <v>-90</v>
      </c>
      <c r="H50" s="32">
        <v>0</v>
      </c>
      <c r="I50" s="32">
        <v>0</v>
      </c>
      <c r="J50" s="29">
        <v>0</v>
      </c>
      <c r="K50" s="29">
        <v>0</v>
      </c>
      <c r="L50" s="29">
        <v>0</v>
      </c>
      <c r="M50" s="33">
        <v>1000</v>
      </c>
      <c r="N50" s="33">
        <v>7</v>
      </c>
      <c r="O50" s="36">
        <v>0.8</v>
      </c>
      <c r="P50" s="36"/>
      <c r="Q50" s="7"/>
      <c r="R50" s="31"/>
      <c r="S50" s="7"/>
      <c r="T50" s="31"/>
      <c r="U50" s="7"/>
      <c r="V50" s="7"/>
    </row>
    <row r="51" spans="1:22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</row>
    <row r="52" spans="1:22" x14ac:dyDescent="0.25">
      <c r="A52" s="47"/>
      <c r="B52" s="47"/>
      <c r="C52" s="48"/>
      <c r="D52" s="47"/>
      <c r="E52" s="47"/>
      <c r="F52" s="49"/>
      <c r="G52" s="50"/>
      <c r="H52" s="50"/>
      <c r="I52" s="50"/>
      <c r="J52" s="51"/>
      <c r="K52" s="51"/>
      <c r="L52" s="29"/>
      <c r="M52" s="52"/>
      <c r="N52" s="33"/>
      <c r="O52" s="36"/>
      <c r="P52" s="36"/>
      <c r="Q52" s="7"/>
      <c r="R52" s="31"/>
      <c r="S52" s="7"/>
      <c r="T52" s="31"/>
      <c r="U52" s="7"/>
      <c r="V52" s="7"/>
    </row>
    <row r="53" spans="1:22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2" x14ac:dyDescent="0.25">
      <c r="A54" s="7" t="s">
        <v>82</v>
      </c>
      <c r="B54" s="7" t="s">
        <v>76</v>
      </c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x14ac:dyDescent="0.25">
      <c r="A55" s="47" t="s">
        <v>45</v>
      </c>
      <c r="B55" s="58" t="s">
        <v>10</v>
      </c>
      <c r="C55" s="48" t="s">
        <v>20</v>
      </c>
      <c r="D55" s="47" t="str">
        <f>CONCATENATE("JUNC_",ROW())</f>
        <v>JUNC_55</v>
      </c>
      <c r="E55" s="47"/>
      <c r="F55" s="49">
        <v>0</v>
      </c>
      <c r="G55" s="50">
        <v>0</v>
      </c>
      <c r="H55" s="50">
        <v>0</v>
      </c>
      <c r="I55" s="50">
        <v>0</v>
      </c>
      <c r="J55" s="51">
        <v>0</v>
      </c>
      <c r="K55" s="51">
        <v>0</v>
      </c>
      <c r="L55" s="51">
        <v>0</v>
      </c>
      <c r="M55" s="52">
        <v>97.93</v>
      </c>
      <c r="N55" s="52">
        <v>2.02</v>
      </c>
      <c r="O55" s="53"/>
      <c r="P55" s="53"/>
      <c r="Q55" s="47" t="str">
        <f>D40</f>
        <v>PIPE_40</v>
      </c>
      <c r="R55" s="49">
        <v>0.5</v>
      </c>
      <c r="S55" s="47" t="str">
        <f ca="1">OFFSET($A$1,ROW()+1,3)</f>
        <v>PIPE_57</v>
      </c>
      <c r="T55" s="49" t="s">
        <v>41</v>
      </c>
      <c r="U55" s="47"/>
      <c r="V55" s="47"/>
    </row>
    <row r="56" spans="1:22" x14ac:dyDescent="0.25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</row>
    <row r="57" spans="1:22" x14ac:dyDescent="0.25">
      <c r="A57" s="7" t="s">
        <v>7</v>
      </c>
      <c r="B57" s="7" t="s">
        <v>7</v>
      </c>
      <c r="C57" s="30" t="s">
        <v>7</v>
      </c>
      <c r="D57" s="7" t="str">
        <f t="shared" ref="D57:D63" si="1">CONCATENATE("PIPE_",ROW())</f>
        <v>PIPE_57</v>
      </c>
      <c r="E57" s="7"/>
      <c r="F57" s="31">
        <v>0.7</v>
      </c>
      <c r="G57" s="32">
        <v>0</v>
      </c>
      <c r="H57" s="32">
        <v>180</v>
      </c>
      <c r="I57" s="32">
        <v>0</v>
      </c>
      <c r="J57" s="29">
        <v>0</v>
      </c>
      <c r="K57" s="29">
        <v>0</v>
      </c>
      <c r="L57" s="29">
        <v>0</v>
      </c>
      <c r="M57" s="33">
        <v>100</v>
      </c>
      <c r="N57" s="33">
        <v>3.05</v>
      </c>
      <c r="O57" s="36">
        <v>1.5</v>
      </c>
      <c r="P57" s="36"/>
      <c r="Q57" s="7"/>
      <c r="R57" s="31"/>
      <c r="S57" s="7"/>
      <c r="T57" s="31"/>
      <c r="U57" s="7"/>
      <c r="V57" s="7"/>
    </row>
    <row r="58" spans="1:22" x14ac:dyDescent="0.25">
      <c r="A58" s="7" t="s">
        <v>7</v>
      </c>
      <c r="B58" s="7" t="s">
        <v>7</v>
      </c>
      <c r="C58" s="30" t="s">
        <v>7</v>
      </c>
      <c r="D58" s="7" t="str">
        <f t="shared" si="1"/>
        <v>PIPE_58</v>
      </c>
      <c r="E58" s="7"/>
      <c r="F58" s="31">
        <v>0.5</v>
      </c>
      <c r="G58" s="32">
        <v>0</v>
      </c>
      <c r="H58" s="32">
        <v>270</v>
      </c>
      <c r="I58" s="32">
        <v>0</v>
      </c>
      <c r="J58" s="29">
        <v>0</v>
      </c>
      <c r="K58" s="29">
        <v>0</v>
      </c>
      <c r="L58" s="29">
        <v>0</v>
      </c>
      <c r="M58" s="33">
        <v>100</v>
      </c>
      <c r="N58" s="33">
        <v>3.05</v>
      </c>
      <c r="O58" s="36">
        <v>1.5</v>
      </c>
      <c r="P58" s="36"/>
      <c r="Q58" s="7"/>
      <c r="R58" s="31"/>
      <c r="S58" s="7"/>
      <c r="T58" s="31"/>
      <c r="U58" s="7"/>
      <c r="V58" s="7"/>
    </row>
    <row r="59" spans="1:22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x14ac:dyDescent="0.25">
      <c r="A60" s="7" t="s">
        <v>45</v>
      </c>
      <c r="B60" s="7" t="s">
        <v>9</v>
      </c>
      <c r="C60" s="30" t="s">
        <v>77</v>
      </c>
      <c r="D60" s="7" t="str">
        <f>CONCATENATE("JUNC_",ROW())</f>
        <v>JUNC_60</v>
      </c>
      <c r="E60" s="7"/>
      <c r="F60" s="31">
        <v>0.2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100</v>
      </c>
      <c r="N60" s="33">
        <v>3.05</v>
      </c>
      <c r="O60" s="36"/>
      <c r="P60" s="36"/>
      <c r="Q60" s="7" t="str">
        <f ca="1">OFFSET($A$1,ROW()-3,3)</f>
        <v>PIPE_58</v>
      </c>
      <c r="R60" s="31" t="s">
        <v>42</v>
      </c>
      <c r="S60" s="7" t="str">
        <f ca="1">OFFSET($A$1,ROW()+1,3)</f>
        <v>PIPE_62</v>
      </c>
      <c r="T60" s="31" t="s">
        <v>41</v>
      </c>
      <c r="U60" s="7"/>
      <c r="V60" s="7"/>
    </row>
    <row r="61" spans="1:22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x14ac:dyDescent="0.25">
      <c r="A62" s="7" t="s">
        <v>7</v>
      </c>
      <c r="B62" s="7" t="s">
        <v>7</v>
      </c>
      <c r="C62" s="30" t="s">
        <v>7</v>
      </c>
      <c r="D62" s="7" t="str">
        <f t="shared" si="1"/>
        <v>PIPE_62</v>
      </c>
      <c r="E62" s="7"/>
      <c r="F62" s="31">
        <v>0.5</v>
      </c>
      <c r="G62" s="32">
        <v>0</v>
      </c>
      <c r="H62" s="32">
        <v>270</v>
      </c>
      <c r="I62" s="32">
        <v>0</v>
      </c>
      <c r="J62" s="29">
        <v>0</v>
      </c>
      <c r="K62" s="29">
        <v>0</v>
      </c>
      <c r="L62" s="29">
        <v>0</v>
      </c>
      <c r="M62" s="33">
        <v>100</v>
      </c>
      <c r="N62" s="33">
        <v>3.05</v>
      </c>
      <c r="O62" s="36">
        <v>1.5</v>
      </c>
      <c r="P62" s="36"/>
      <c r="Q62" s="7"/>
      <c r="R62" s="31"/>
      <c r="S62" s="7"/>
      <c r="T62" s="31"/>
      <c r="U62" s="7"/>
      <c r="V62" s="7"/>
    </row>
    <row r="63" spans="1:22" x14ac:dyDescent="0.25">
      <c r="A63" s="7" t="s">
        <v>7</v>
      </c>
      <c r="B63" s="7" t="s">
        <v>7</v>
      </c>
      <c r="C63" s="30" t="s">
        <v>7</v>
      </c>
      <c r="D63" s="7" t="str">
        <f t="shared" si="1"/>
        <v>PIPE_63</v>
      </c>
      <c r="E63" s="7"/>
      <c r="F63" s="31">
        <v>0.7</v>
      </c>
      <c r="G63" s="32">
        <v>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100</v>
      </c>
      <c r="N63" s="33">
        <v>3.05</v>
      </c>
      <c r="O63" s="36">
        <v>1.5</v>
      </c>
      <c r="P63" s="36"/>
      <c r="Q63" s="7"/>
      <c r="R63" s="31"/>
      <c r="S63" s="7"/>
      <c r="T63" s="31"/>
      <c r="U63" s="7"/>
      <c r="V63" s="7"/>
    </row>
    <row r="64" spans="1:22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25">
      <c r="A65" s="7" t="s">
        <v>45</v>
      </c>
      <c r="B65" s="7" t="s">
        <v>10</v>
      </c>
      <c r="C65" s="30" t="s">
        <v>20</v>
      </c>
      <c r="D65" s="7" t="str">
        <f>CONCATENATE("JUNC_",ROW())</f>
        <v>JUNC_65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>D44</f>
        <v>PIPE_44</v>
      </c>
      <c r="T65" s="31">
        <v>0.5</v>
      </c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 t="s">
        <v>82</v>
      </c>
      <c r="B69" s="7" t="s">
        <v>83</v>
      </c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 t="s">
        <v>45</v>
      </c>
      <c r="B70" s="7" t="s">
        <v>10</v>
      </c>
      <c r="C70" s="30" t="s">
        <v>10</v>
      </c>
      <c r="D70" s="7" t="str">
        <f>CONCATENATE("COMP_",ROW())</f>
        <v>COMP_70</v>
      </c>
      <c r="E70" s="7"/>
      <c r="F70" s="31">
        <v>0</v>
      </c>
      <c r="G70" s="32">
        <v>0</v>
      </c>
      <c r="H70" s="32">
        <v>0</v>
      </c>
      <c r="I70" s="32">
        <v>0</v>
      </c>
      <c r="J70" s="29">
        <v>0</v>
      </c>
      <c r="K70" s="29">
        <v>0</v>
      </c>
      <c r="L70" s="29">
        <v>0</v>
      </c>
      <c r="M70" s="33">
        <v>0</v>
      </c>
      <c r="N70" s="33">
        <v>0</v>
      </c>
      <c r="O70" s="36"/>
      <c r="P70" s="36"/>
      <c r="Q70" s="7" t="str">
        <f>D46</f>
        <v>PIPE_46</v>
      </c>
      <c r="R70" s="31">
        <v>1</v>
      </c>
      <c r="S70" s="7" t="str">
        <f ca="1">OFFSET($A$1,ROW()+1,3)</f>
        <v>PIPE_72</v>
      </c>
      <c r="T70" s="31" t="s">
        <v>41</v>
      </c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 t="s">
        <v>7</v>
      </c>
      <c r="B72" s="7" t="s">
        <v>7</v>
      </c>
      <c r="C72" s="30" t="s">
        <v>7</v>
      </c>
      <c r="D72" s="7" t="str">
        <f>CONCATENATE("PIPE_",ROW())</f>
        <v>PIPE_72</v>
      </c>
      <c r="E72" s="7"/>
      <c r="F72" s="31">
        <v>0.7</v>
      </c>
      <c r="G72" s="32">
        <v>90</v>
      </c>
      <c r="H72" s="32">
        <v>0</v>
      </c>
      <c r="I72" s="32">
        <v>0</v>
      </c>
      <c r="J72" s="29">
        <v>0</v>
      </c>
      <c r="K72" s="29">
        <v>0</v>
      </c>
      <c r="L72" s="29">
        <v>0</v>
      </c>
      <c r="M72" s="33">
        <v>50</v>
      </c>
      <c r="N72" s="33">
        <v>2</v>
      </c>
      <c r="O72" s="36">
        <v>1.5</v>
      </c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 t="s">
        <v>45</v>
      </c>
      <c r="B74" s="7" t="s">
        <v>84</v>
      </c>
      <c r="C74" s="30" t="s">
        <v>85</v>
      </c>
      <c r="D74" s="7" t="str">
        <f>CONCATENATE("COMP_",ROW())</f>
        <v>COMP_74</v>
      </c>
      <c r="E74" s="7"/>
      <c r="F74" s="31">
        <v>0</v>
      </c>
      <c r="G74" s="32">
        <v>90</v>
      </c>
      <c r="H74" s="32">
        <f>180+45</f>
        <v>225</v>
      </c>
      <c r="I74" s="32">
        <v>0</v>
      </c>
      <c r="J74" s="29">
        <v>0</v>
      </c>
      <c r="K74" s="29">
        <v>0</v>
      </c>
      <c r="L74" s="29">
        <v>0</v>
      </c>
      <c r="M74" s="33">
        <v>50</v>
      </c>
      <c r="N74" s="33">
        <v>2</v>
      </c>
      <c r="O74" s="36">
        <v>0.08</v>
      </c>
      <c r="P74" s="36"/>
      <c r="Q74" s="7" t="str">
        <f ca="1">OFFSET($A$1,ROW()-3,3)</f>
        <v>PIPE_72</v>
      </c>
      <c r="R74" s="31" t="s">
        <v>42</v>
      </c>
      <c r="S74" s="7" t="str">
        <f ca="1">OFFSET($A$1,ROW()+1,3)</f>
        <v>PIPE_76</v>
      </c>
      <c r="T74" s="31" t="s">
        <v>41</v>
      </c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 t="s">
        <v>7</v>
      </c>
      <c r="B76" s="7" t="s">
        <v>7</v>
      </c>
      <c r="C76" s="30" t="s">
        <v>7</v>
      </c>
      <c r="D76" s="7" t="str">
        <f>CONCATENATE("PIPE_",ROW())</f>
        <v>PIPE_76</v>
      </c>
      <c r="E76" s="7"/>
      <c r="F76" s="31">
        <v>0.7</v>
      </c>
      <c r="G76" s="32">
        <v>0</v>
      </c>
      <c r="H76" s="32">
        <f>H74</f>
        <v>225</v>
      </c>
      <c r="I76" s="32">
        <v>0</v>
      </c>
      <c r="J76" s="29">
        <v>0</v>
      </c>
      <c r="K76" s="29">
        <v>0</v>
      </c>
      <c r="L76" s="29">
        <v>0</v>
      </c>
      <c r="M76" s="33">
        <v>50</v>
      </c>
      <c r="N76" s="33">
        <v>2</v>
      </c>
      <c r="O76" s="36">
        <v>1.5</v>
      </c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 t="s">
        <v>45</v>
      </c>
      <c r="B80" s="7" t="s">
        <v>86</v>
      </c>
      <c r="C80" s="30" t="s">
        <v>10</v>
      </c>
      <c r="D80" s="7" t="str">
        <f>CONCATENATE("COMP_",ROW())</f>
        <v>COMP_80</v>
      </c>
      <c r="E80" s="7"/>
      <c r="F80" s="31">
        <v>0</v>
      </c>
      <c r="G80" s="32">
        <v>0</v>
      </c>
      <c r="H80" s="32">
        <v>0</v>
      </c>
      <c r="I80" s="32">
        <v>0</v>
      </c>
      <c r="J80" s="29">
        <v>0</v>
      </c>
      <c r="K80" s="29">
        <v>0</v>
      </c>
      <c r="L80" s="29">
        <v>0</v>
      </c>
      <c r="M80" s="33">
        <f>M74</f>
        <v>50</v>
      </c>
      <c r="N80" s="33">
        <v>2</v>
      </c>
      <c r="O80" s="36"/>
      <c r="P80" s="36"/>
      <c r="Q80" s="7" t="str">
        <f>D74</f>
        <v>COMP_74</v>
      </c>
      <c r="R80" s="31">
        <v>0.3</v>
      </c>
      <c r="S80" s="7"/>
      <c r="T80" s="31"/>
      <c r="U80" s="7"/>
      <c r="V80" s="7" t="s">
        <v>85</v>
      </c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41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1:22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1:22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1:22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1:22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1:22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1:22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1:22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1:22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</sheetData>
  <mergeCells count="3">
    <mergeCell ref="A6:C6"/>
    <mergeCell ref="D6:G6"/>
    <mergeCell ref="A8:C8"/>
  </mergeCells>
  <conditionalFormatting sqref="M16">
    <cfRule type="expression" dxfId="305" priority="137" stopIfTrue="1">
      <formula>$A16="Pipe"</formula>
    </cfRule>
  </conditionalFormatting>
  <conditionalFormatting sqref="Q230:Q345 S230:S345 J230:J345 U230:U345 A230:A345 O230:O345 M230:M345">
    <cfRule type="expression" dxfId="304" priority="134">
      <formula>OR($A230="Pipe",$A230="Component",$A230="Volume")</formula>
    </cfRule>
  </conditionalFormatting>
  <conditionalFormatting sqref="T230:T345 R230:R345 E230:E345 L230:L345 P230:P345 V230:V345 N230:N345 I230:I345">
    <cfRule type="expression" dxfId="303" priority="135">
      <formula>OR($A230="Pipe",$A230="Component",$A230="Volume")</formula>
    </cfRule>
  </conditionalFormatting>
  <conditionalFormatting sqref="K230:K345 B230:D345 G230:H345">
    <cfRule type="expression" dxfId="302" priority="133">
      <formula>OR($A230="Pipe",$A230="Component",$A230="Volume")</formula>
    </cfRule>
  </conditionalFormatting>
  <conditionalFormatting sqref="U230:V345 A230:P345">
    <cfRule type="expression" dxfId="301" priority="132">
      <formula>$A230="Pipe"</formula>
    </cfRule>
  </conditionalFormatting>
  <conditionalFormatting sqref="Q230:T345">
    <cfRule type="expression" dxfId="300" priority="131">
      <formula>OR($A230="Volume",$A230="Pipe")</formula>
    </cfRule>
  </conditionalFormatting>
  <conditionalFormatting sqref="A230:V345">
    <cfRule type="expression" dxfId="299" priority="130">
      <formula>$A230="Component"</formula>
    </cfRule>
  </conditionalFormatting>
  <conditionalFormatting sqref="U230:V345 A230:P345">
    <cfRule type="expression" dxfId="298" priority="129">
      <formula>$A230="Volume"</formula>
    </cfRule>
  </conditionalFormatting>
  <conditionalFormatting sqref="J230:L345">
    <cfRule type="cellIs" dxfId="297" priority="128" operator="notEqual">
      <formula>0</formula>
    </cfRule>
  </conditionalFormatting>
  <conditionalFormatting sqref="F230:F345">
    <cfRule type="expression" dxfId="296" priority="136">
      <formula>OR($A230="Pipe",$A230="Component",$A230="Volume")</formula>
    </cfRule>
  </conditionalFormatting>
  <conditionalFormatting sqref="A228:P229">
    <cfRule type="expression" dxfId="295" priority="127">
      <formula>$A228="Pipe"</formula>
    </cfRule>
  </conditionalFormatting>
  <conditionalFormatting sqref="T228:V229">
    <cfRule type="expression" dxfId="294" priority="126">
      <formula>$A228="Pipe"</formula>
    </cfRule>
  </conditionalFormatting>
  <conditionalFormatting sqref="A228:P229">
    <cfRule type="expression" dxfId="293" priority="125">
      <formula>$A228="Volume"</formula>
    </cfRule>
  </conditionalFormatting>
  <conditionalFormatting sqref="T228:V229">
    <cfRule type="expression" dxfId="292" priority="124">
      <formula>$A228="Volume"</formula>
    </cfRule>
  </conditionalFormatting>
  <conditionalFormatting sqref="A228:V229">
    <cfRule type="expression" dxfId="291" priority="123">
      <formula>$A228="Junction"</formula>
    </cfRule>
  </conditionalFormatting>
  <conditionalFormatting sqref="A228:V229">
    <cfRule type="expression" dxfId="290" priority="122">
      <formula>$A228="Flowpath"</formula>
    </cfRule>
  </conditionalFormatting>
  <conditionalFormatting sqref="Q228:T229">
    <cfRule type="expression" dxfId="289" priority="121">
      <formula>OR($A228="Pipe",$A228="Volume")</formula>
    </cfRule>
  </conditionalFormatting>
  <conditionalFormatting sqref="J228:L229">
    <cfRule type="expression" dxfId="288" priority="120">
      <formula>AND(OR($A228="Junction",$A228="Pipe",$A228="Volume"),J228&lt;&gt;0)</formula>
    </cfRule>
  </conditionalFormatting>
  <conditionalFormatting sqref="R228:R229">
    <cfRule type="expression" dxfId="287" priority="119">
      <formula>AND($A228="Junction",ISNUMBER(R228))</formula>
    </cfRule>
  </conditionalFormatting>
  <conditionalFormatting sqref="T228:T229">
    <cfRule type="expression" dxfId="286" priority="118">
      <formula>AND($A228="Junction",ISNUMBER(T228))</formula>
    </cfRule>
  </conditionalFormatting>
  <conditionalFormatting sqref="B228:D229">
    <cfRule type="expression" dxfId="285" priority="117">
      <formula>OR($A228="Junction",$A228="Pipe",$A228="Volume")</formula>
    </cfRule>
  </conditionalFormatting>
  <conditionalFormatting sqref="F228:F229">
    <cfRule type="expression" dxfId="284" priority="116">
      <formula>OR($A228="Junction",$A228="Pipe",$A228="Volume")</formula>
    </cfRule>
  </conditionalFormatting>
  <conditionalFormatting sqref="H228:H229">
    <cfRule type="expression" dxfId="283" priority="115">
      <formula>OR($A228="Junction",$A228="Pipe",$A228="Volume")</formula>
    </cfRule>
  </conditionalFormatting>
  <conditionalFormatting sqref="K228:K229">
    <cfRule type="expression" dxfId="282" priority="114">
      <formula>OR($A228="Junction",$A228="Pipe",$A228="Volume")</formula>
    </cfRule>
  </conditionalFormatting>
  <conditionalFormatting sqref="A228:A229">
    <cfRule type="expression" dxfId="281" priority="113">
      <formula>OR($A228="Junction",$A228="Pipe",$A228="Volume")</formula>
    </cfRule>
  </conditionalFormatting>
  <conditionalFormatting sqref="G228:G229">
    <cfRule type="expression" dxfId="280" priority="112">
      <formula>OR($A228="Junction",$A228="Pipe",$A228="Volume")</formula>
    </cfRule>
  </conditionalFormatting>
  <conditionalFormatting sqref="J228:J229">
    <cfRule type="expression" dxfId="279" priority="111">
      <formula>OR($A228="Junction",$A228="Pipe",$A228="Volume")</formula>
    </cfRule>
  </conditionalFormatting>
  <conditionalFormatting sqref="M228:M229">
    <cfRule type="expression" dxfId="278" priority="110">
      <formula>OR($A228="Junction",$A228="Pipe",$A228="Volume")</formula>
    </cfRule>
  </conditionalFormatting>
  <conditionalFormatting sqref="O228:O229">
    <cfRule type="expression" dxfId="277" priority="109">
      <formula>OR($A228="Junction",$A228="Pipe",$A228="Volume")</formula>
    </cfRule>
  </conditionalFormatting>
  <conditionalFormatting sqref="Q228:Q229">
    <cfRule type="expression" dxfId="276" priority="108">
      <formula>OR($A228="Junction",$A228="Pipe",$A228="Volume")</formula>
    </cfRule>
  </conditionalFormatting>
  <conditionalFormatting sqref="S228:S229">
    <cfRule type="expression" dxfId="275" priority="107">
      <formula>OR($A228="Junction",$A228="Pipe",$A228="Volume")</formula>
    </cfRule>
  </conditionalFormatting>
  <conditionalFormatting sqref="U228:U229">
    <cfRule type="expression" dxfId="274" priority="106">
      <formula>OR($A228="Junction",$A228="Pipe",$A228="Volume")</formula>
    </cfRule>
  </conditionalFormatting>
  <conditionalFormatting sqref="E228:E229">
    <cfRule type="expression" dxfId="273" priority="105">
      <formula>OR($A228="Junction",$A228="Pipe",$A228="Volume")</formula>
    </cfRule>
  </conditionalFormatting>
  <conditionalFormatting sqref="I228:I229">
    <cfRule type="expression" dxfId="272" priority="104">
      <formula>OR($A228="Junction",$A228="Pipe",$A228="Volume")</formula>
    </cfRule>
  </conditionalFormatting>
  <conditionalFormatting sqref="L228:L229">
    <cfRule type="expression" dxfId="271" priority="103">
      <formula>OR($A228="Junction",$A228="Pipe",$A228="Volume")</formula>
    </cfRule>
  </conditionalFormatting>
  <conditionalFormatting sqref="N228:N229">
    <cfRule type="expression" dxfId="270" priority="102">
      <formula>OR($A228="Junction",$A228="Pipe",$A228="Volume")</formula>
    </cfRule>
  </conditionalFormatting>
  <conditionalFormatting sqref="P228:P229">
    <cfRule type="expression" dxfId="269" priority="101">
      <formula>OR($A228="Junction",$A228="Pipe",$A228="Volume")</formula>
    </cfRule>
  </conditionalFormatting>
  <conditionalFormatting sqref="R228:R229">
    <cfRule type="expression" dxfId="268" priority="100">
      <formula>OR($A228="Junction",$A228="Pipe",$A228="Volume")</formula>
    </cfRule>
  </conditionalFormatting>
  <conditionalFormatting sqref="T228:T229">
    <cfRule type="expression" dxfId="267" priority="99">
      <formula>OR($A228="Junction",$A228="Pipe",$A228="Volume")</formula>
    </cfRule>
  </conditionalFormatting>
  <conditionalFormatting sqref="V228:V229">
    <cfRule type="expression" dxfId="266" priority="98">
      <formula>OR($A228="Junction",$A228="Pipe",$A228="Volume")</formula>
    </cfRule>
  </conditionalFormatting>
  <conditionalFormatting sqref="A218:P227">
    <cfRule type="expression" dxfId="265" priority="97">
      <formula>$A218="Pipe"</formula>
    </cfRule>
  </conditionalFormatting>
  <conditionalFormatting sqref="T218:V227">
    <cfRule type="expression" dxfId="264" priority="96">
      <formula>$A218="Pipe"</formula>
    </cfRule>
  </conditionalFormatting>
  <conditionalFormatting sqref="A218:P227">
    <cfRule type="expression" dxfId="263" priority="95">
      <formula>$A218="Volume"</formula>
    </cfRule>
  </conditionalFormatting>
  <conditionalFormatting sqref="T218:V227">
    <cfRule type="expression" dxfId="262" priority="94">
      <formula>$A218="Volume"</formula>
    </cfRule>
  </conditionalFormatting>
  <conditionalFormatting sqref="A218:V227">
    <cfRule type="expression" dxfId="261" priority="93">
      <formula>$A218="Junction"</formula>
    </cfRule>
  </conditionalFormatting>
  <conditionalFormatting sqref="A218:V227">
    <cfRule type="expression" dxfId="260" priority="92">
      <formula>$A218="Section"</formula>
    </cfRule>
  </conditionalFormatting>
  <conditionalFormatting sqref="Q218:T227">
    <cfRule type="expression" dxfId="259" priority="91">
      <formula>OR($A218="Pipe",$A218="Volume")</formula>
    </cfRule>
  </conditionalFormatting>
  <conditionalFormatting sqref="J218:L227">
    <cfRule type="expression" dxfId="258" priority="90">
      <formula>AND(OR($A218="Junction",$A218="Pipe",$A218="Volume"),J218&lt;&gt;0)</formula>
    </cfRule>
  </conditionalFormatting>
  <conditionalFormatting sqref="R218:R227">
    <cfRule type="expression" dxfId="257" priority="89">
      <formula>AND($A218="Junction",ISNUMBER(R218))</formula>
    </cfRule>
  </conditionalFormatting>
  <conditionalFormatting sqref="T218:T227">
    <cfRule type="expression" dxfId="256" priority="88">
      <formula>AND($A218="Junction",ISNUMBER(T218))</formula>
    </cfRule>
  </conditionalFormatting>
  <conditionalFormatting sqref="B218:D227">
    <cfRule type="expression" dxfId="255" priority="87">
      <formula>OR($A218="Junction",$A218="Pipe",$A218="Volume")</formula>
    </cfRule>
  </conditionalFormatting>
  <conditionalFormatting sqref="F218:F227">
    <cfRule type="expression" dxfId="254" priority="86">
      <formula>OR($A218="Junction",$A218="Pipe",$A218="Volume")</formula>
    </cfRule>
  </conditionalFormatting>
  <conditionalFormatting sqref="H218:H227">
    <cfRule type="expression" dxfId="253" priority="85">
      <formula>OR($A218="Junction",$A218="Pipe",$A218="Volume")</formula>
    </cfRule>
  </conditionalFormatting>
  <conditionalFormatting sqref="K218:K227">
    <cfRule type="expression" dxfId="252" priority="84">
      <formula>OR($A218="Junction",$A218="Pipe",$A218="Volume")</formula>
    </cfRule>
  </conditionalFormatting>
  <conditionalFormatting sqref="A218:A227">
    <cfRule type="expression" dxfId="251" priority="83">
      <formula>OR($A218="Junction",$A218="Pipe",$A218="Volume")</formula>
    </cfRule>
  </conditionalFormatting>
  <conditionalFormatting sqref="G218:G227">
    <cfRule type="expression" dxfId="250" priority="82">
      <formula>OR($A218="Junction",$A218="Pipe",$A218="Volume")</formula>
    </cfRule>
  </conditionalFormatting>
  <conditionalFormatting sqref="J218:J227">
    <cfRule type="expression" dxfId="249" priority="81">
      <formula>OR($A218="Junction",$A218="Pipe",$A218="Volume")</formula>
    </cfRule>
  </conditionalFormatting>
  <conditionalFormatting sqref="M218:M227">
    <cfRule type="expression" dxfId="248" priority="80">
      <formula>OR($A218="Junction",$A218="Pipe",$A218="Volume")</formula>
    </cfRule>
  </conditionalFormatting>
  <conditionalFormatting sqref="O218:O227">
    <cfRule type="expression" dxfId="247" priority="79">
      <formula>OR($A218="Junction",$A218="Pipe",$A218="Volume")</formula>
    </cfRule>
  </conditionalFormatting>
  <conditionalFormatting sqref="Q218:Q227">
    <cfRule type="expression" dxfId="246" priority="67">
      <formula>AND($A218="Junction",$Q218=$D216)</formula>
    </cfRule>
    <cfRule type="expression" dxfId="245" priority="78">
      <formula>OR($A218="Junction",$A218="Pipe",$A218="Volume")</formula>
    </cfRule>
  </conditionalFormatting>
  <conditionalFormatting sqref="S218:S227">
    <cfRule type="expression" dxfId="244" priority="77">
      <formula>OR($A218="Junction",$A218="Pipe",$A218="Volume")</formula>
    </cfRule>
  </conditionalFormatting>
  <conditionalFormatting sqref="U218:U227">
    <cfRule type="expression" dxfId="243" priority="76">
      <formula>OR($A218="Junction",$A218="Pipe",$A218="Volume")</formula>
    </cfRule>
  </conditionalFormatting>
  <conditionalFormatting sqref="E218:E227">
    <cfRule type="expression" dxfId="242" priority="75">
      <formula>OR($A218="Junction",$A218="Pipe",$A218="Volume")</formula>
    </cfRule>
  </conditionalFormatting>
  <conditionalFormatting sqref="I218:I227">
    <cfRule type="expression" dxfId="241" priority="74">
      <formula>OR($A218="Junction",$A218="Pipe",$A218="Volume")</formula>
    </cfRule>
  </conditionalFormatting>
  <conditionalFormatting sqref="L218:L227">
    <cfRule type="expression" dxfId="240" priority="73">
      <formula>OR($A218="Junction",$A218="Pipe",$A218="Volume")</formula>
    </cfRule>
  </conditionalFormatting>
  <conditionalFormatting sqref="N218:N227">
    <cfRule type="expression" dxfId="239" priority="72">
      <formula>OR($A218="Junction",$A218="Pipe",$A218="Volume")</formula>
    </cfRule>
  </conditionalFormatting>
  <conditionalFormatting sqref="P218:P227">
    <cfRule type="expression" dxfId="238" priority="71">
      <formula>OR($A218="Junction",$A218="Pipe",$A218="Volume")</formula>
    </cfRule>
  </conditionalFormatting>
  <conditionalFormatting sqref="R218:R227">
    <cfRule type="expression" dxfId="237" priority="70">
      <formula>OR($A218="Junction",$A218="Pipe",$A218="Volume")</formula>
    </cfRule>
  </conditionalFormatting>
  <conditionalFormatting sqref="T218:T227">
    <cfRule type="expression" dxfId="236" priority="69">
      <formula>OR($A218="Junction",$A218="Pipe",$A218="Volume")</formula>
    </cfRule>
  </conditionalFormatting>
  <conditionalFormatting sqref="V218:V227">
    <cfRule type="expression" dxfId="235" priority="68">
      <formula>OR($A218="Junction",$A218="Pipe",$A218="Volume")</formula>
    </cfRule>
  </conditionalFormatting>
  <conditionalFormatting sqref="S218:T227">
    <cfRule type="expression" dxfId="234" priority="66">
      <formula>AND($A218="Junction",$S218=$D220,$T218="A")</formula>
    </cfRule>
  </conditionalFormatting>
  <conditionalFormatting sqref="A30:P217">
    <cfRule type="expression" dxfId="233" priority="22">
      <formula>$A30="Pipe"</formula>
    </cfRule>
  </conditionalFormatting>
  <conditionalFormatting sqref="T30:V217">
    <cfRule type="expression" dxfId="232" priority="21">
      <formula>$A30="Pipe"</formula>
    </cfRule>
  </conditionalFormatting>
  <conditionalFormatting sqref="A30:P217">
    <cfRule type="expression" dxfId="231" priority="20">
      <formula>$A30="Volume"</formula>
    </cfRule>
  </conditionalFormatting>
  <conditionalFormatting sqref="T30:V217">
    <cfRule type="expression" dxfId="230" priority="19">
      <formula>$A30="Volume"</formula>
    </cfRule>
  </conditionalFormatting>
  <conditionalFormatting sqref="A30:V217">
    <cfRule type="expression" dxfId="229" priority="18">
      <formula>$A30="Junction"</formula>
    </cfRule>
  </conditionalFormatting>
  <conditionalFormatting sqref="A30:V217">
    <cfRule type="expression" dxfId="228" priority="17">
      <formula>$A30="Section"</formula>
    </cfRule>
  </conditionalFormatting>
  <conditionalFormatting sqref="Q30:T217">
    <cfRule type="expression" dxfId="227" priority="16">
      <formula>OR($A30="Pipe",$A30="Volume")</formula>
    </cfRule>
  </conditionalFormatting>
  <conditionalFormatting sqref="S30:T217">
    <cfRule type="expression" dxfId="226" priority="15">
      <formula>AND($A30="Junction",$S30=$D32,$T30="A",ISTEXT($D32))</formula>
    </cfRule>
  </conditionalFormatting>
  <conditionalFormatting sqref="Q30:R217">
    <cfRule type="expression" dxfId="225" priority="14">
      <formula>AND($A30="Junction",$Q30=$D28,$R30="B",ISTEXT($D28))</formula>
    </cfRule>
  </conditionalFormatting>
  <conditionalFormatting sqref="R30:R217">
    <cfRule type="expression" dxfId="224" priority="13">
      <formula>AND($A30="Junction",ISNUMBER($R30))</formula>
    </cfRule>
  </conditionalFormatting>
  <conditionalFormatting sqref="T30:T217">
    <cfRule type="expression" dxfId="223" priority="12">
      <formula>AND($A30="Junction",ISNUMBER($T30))</formula>
    </cfRule>
  </conditionalFormatting>
  <conditionalFormatting sqref="A30:V217">
    <cfRule type="expression" dxfId="222" priority="11">
      <formula>OR($A30="Pipe",$A30="Volume",$A30="Junction",$A30="Section")</formula>
    </cfRule>
  </conditionalFormatting>
  <conditionalFormatting sqref="E30:E217">
    <cfRule type="expression" dxfId="221" priority="10">
      <formula>OR($A30="Pipe",$A30="Volume",$A30="Junction")</formula>
    </cfRule>
  </conditionalFormatting>
  <conditionalFormatting sqref="F30:F217">
    <cfRule type="expression" dxfId="220" priority="9">
      <formula>OR($A30="Pipe",$A30="Volume",$A30="Junction")</formula>
    </cfRule>
  </conditionalFormatting>
  <conditionalFormatting sqref="I30:I217">
    <cfRule type="expression" dxfId="219" priority="8">
      <formula>OR($A30="Pipe",$A30="Volume",$A30="Junction")</formula>
    </cfRule>
  </conditionalFormatting>
  <conditionalFormatting sqref="L30:L217">
    <cfRule type="expression" dxfId="218" priority="7">
      <formula>OR($A30="Pipe",$A30="Volume",$A30="Junction")</formula>
    </cfRule>
  </conditionalFormatting>
  <conditionalFormatting sqref="N30:N217">
    <cfRule type="expression" dxfId="217" priority="6">
      <formula>OR($A30="Pipe",$A30="Volume",$A30="Junction")</formula>
    </cfRule>
  </conditionalFormatting>
  <conditionalFormatting sqref="P30:P217">
    <cfRule type="expression" dxfId="216" priority="5">
      <formula>OR($A30="Pipe",$A30="Volume",$A30="Junction")</formula>
    </cfRule>
  </conditionalFormatting>
  <conditionalFormatting sqref="R30:R217">
    <cfRule type="expression" dxfId="215" priority="4">
      <formula>OR($A30="Pipe",$A30="Volume",$A30="Junction")</formula>
    </cfRule>
  </conditionalFormatting>
  <conditionalFormatting sqref="T30:T217">
    <cfRule type="expression" dxfId="214" priority="3">
      <formula>OR($A30="Pipe",$A30="Volume",$A30="Junction")</formula>
    </cfRule>
  </conditionalFormatting>
  <conditionalFormatting sqref="V30:V217">
    <cfRule type="expression" dxfId="213" priority="2">
      <formula>OR($A30="Pipe",$A30="Volume",$A30="Junction")</formula>
    </cfRule>
  </conditionalFormatting>
  <conditionalFormatting sqref="J30:L217">
    <cfRule type="expression" dxfId="212" priority="1">
      <formula>AND(OR($A30="Pipe",$A30="Volume",$A30="Junction"),J30&lt;&gt;0)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371475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A1:Z354"/>
  <sheetViews>
    <sheetView tabSelected="1" zoomScale="85" zoomScaleNormal="85" workbookViewId="0">
      <pane ySplit="4" topLeftCell="A5" activePane="bottomLeft" state="frozenSplit"/>
      <selection pane="bottomLeft" activeCell="D5" sqref="D5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</row>
    <row r="2" spans="1:26" s="12" customFormat="1" x14ac:dyDescent="0.25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26" s="12" customFormat="1" x14ac:dyDescent="0.25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x14ac:dyDescent="0.25">
      <c r="X4" s="38"/>
      <c r="Y4" s="38"/>
      <c r="Z4" s="38"/>
    </row>
    <row r="5" spans="1:26" ht="18.75" x14ac:dyDescent="0.3">
      <c r="A5" s="15" t="s">
        <v>30</v>
      </c>
      <c r="D5" s="34" t="s">
        <v>44</v>
      </c>
      <c r="O5"/>
      <c r="P5"/>
    </row>
    <row r="6" spans="1:26" ht="14.45" customHeight="1" x14ac:dyDescent="0.25">
      <c r="A6" s="59" t="s">
        <v>31</v>
      </c>
      <c r="B6" s="59"/>
      <c r="C6" s="59"/>
      <c r="D6" s="60" t="s">
        <v>97</v>
      </c>
      <c r="E6" s="60"/>
      <c r="F6" s="60"/>
      <c r="G6" s="60"/>
      <c r="O6"/>
      <c r="P6"/>
    </row>
    <row r="7" spans="1:26" x14ac:dyDescent="0.25">
      <c r="A7" t="s">
        <v>40</v>
      </c>
      <c r="D7" s="5" t="str">
        <f>HYPERLINK(SUBSTITUTE(D6,"XlsPipePlot.exe","stdlib\"))</f>
        <v>C:\Danne\Kodning\XlsPipePlot_2sep\bin\stdlib\</v>
      </c>
      <c r="F7" t="s">
        <v>79</v>
      </c>
      <c r="O7"/>
      <c r="P7"/>
    </row>
    <row r="8" spans="1:26" x14ac:dyDescent="0.25">
      <c r="A8" s="59" t="s">
        <v>32</v>
      </c>
      <c r="B8" s="59"/>
      <c r="C8" s="59"/>
      <c r="D8" s="5" t="str">
        <f>HYPERLINK("\loclib")</f>
        <v>\loclib</v>
      </c>
      <c r="O8"/>
      <c r="P8"/>
    </row>
    <row r="9" spans="1:26" x14ac:dyDescent="0.25">
      <c r="O9"/>
      <c r="P9"/>
    </row>
    <row r="10" spans="1:26" ht="18.75" x14ac:dyDescent="0.3">
      <c r="A10" s="15" t="s">
        <v>33</v>
      </c>
      <c r="O10"/>
      <c r="P10"/>
    </row>
    <row r="11" spans="1:26" x14ac:dyDescent="0.25">
      <c r="A11" t="s">
        <v>34</v>
      </c>
      <c r="O11"/>
      <c r="P11"/>
    </row>
    <row r="12" spans="1:26" ht="18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26" x14ac:dyDescent="0.25">
      <c r="A13" s="21" t="s">
        <v>24</v>
      </c>
      <c r="B13" s="22" t="str">
        <f>D33</f>
        <v>VOL_33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26" x14ac:dyDescent="0.25">
      <c r="A14" s="21"/>
      <c r="B14" s="22"/>
      <c r="C14" s="23"/>
      <c r="D14" s="24"/>
      <c r="E14" s="25"/>
      <c r="F14" s="26"/>
      <c r="O14"/>
      <c r="P14"/>
    </row>
    <row r="15" spans="1:26" x14ac:dyDescent="0.25">
      <c r="A15" s="21"/>
      <c r="B15" s="22"/>
      <c r="C15" s="23"/>
      <c r="D15" s="24"/>
      <c r="E15" s="25"/>
      <c r="F15" s="26"/>
      <c r="O15"/>
      <c r="P15"/>
    </row>
    <row r="16" spans="1:26" x14ac:dyDescent="0.25">
      <c r="A16" s="21"/>
      <c r="B16" s="22"/>
      <c r="C16" s="23"/>
      <c r="D16" s="24"/>
      <c r="E16" s="25"/>
      <c r="F16" s="26"/>
      <c r="O16"/>
      <c r="P16"/>
    </row>
    <row r="17" spans="1:22" x14ac:dyDescent="0.25">
      <c r="A17" s="21"/>
      <c r="B17" s="22"/>
      <c r="C17" s="23"/>
      <c r="D17" s="24"/>
      <c r="E17" s="25"/>
      <c r="F17" s="26"/>
      <c r="O17"/>
      <c r="P17"/>
    </row>
    <row r="18" spans="1:22" x14ac:dyDescent="0.25">
      <c r="A18" s="27"/>
      <c r="B18" s="27"/>
      <c r="C18" s="27"/>
      <c r="D18" s="28"/>
      <c r="E18" s="28"/>
      <c r="F18" s="28"/>
      <c r="O18"/>
      <c r="P18"/>
    </row>
    <row r="19" spans="1:22" x14ac:dyDescent="0.25">
      <c r="A19" t="s">
        <v>81</v>
      </c>
      <c r="O19"/>
      <c r="P19"/>
    </row>
    <row r="20" spans="1:22" ht="18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x14ac:dyDescent="0.25">
      <c r="A21" s="21"/>
      <c r="B21" s="22"/>
      <c r="C21" s="40"/>
      <c r="D21" s="24"/>
      <c r="E21" s="25"/>
      <c r="F21" s="26"/>
      <c r="O21"/>
      <c r="P21"/>
    </row>
    <row r="22" spans="1:22" x14ac:dyDescent="0.25">
      <c r="A22" s="21"/>
      <c r="B22" s="22"/>
      <c r="C22" s="23"/>
      <c r="D22" s="24"/>
      <c r="E22" s="25"/>
      <c r="F22" s="26"/>
      <c r="O22"/>
      <c r="P22"/>
    </row>
    <row r="23" spans="1:22" x14ac:dyDescent="0.25">
      <c r="A23" s="21"/>
      <c r="B23" s="22"/>
      <c r="C23" s="23"/>
      <c r="D23" s="24"/>
      <c r="E23" s="25"/>
      <c r="F23" s="26"/>
      <c r="O23"/>
      <c r="P23"/>
    </row>
    <row r="24" spans="1:22" x14ac:dyDescent="0.25">
      <c r="A24" s="21"/>
      <c r="B24" s="22"/>
      <c r="C24" s="23"/>
      <c r="D24" s="24"/>
      <c r="E24" s="25"/>
      <c r="F24" s="26"/>
      <c r="O24"/>
      <c r="P24"/>
    </row>
    <row r="25" spans="1:22" x14ac:dyDescent="0.25">
      <c r="A25" s="21"/>
      <c r="B25" s="22"/>
      <c r="C25" s="23"/>
      <c r="D25" s="24"/>
      <c r="E25" s="25"/>
      <c r="F25" s="26"/>
      <c r="O25"/>
      <c r="P25"/>
    </row>
    <row r="26" spans="1:22" x14ac:dyDescent="0.25">
      <c r="A26" s="21"/>
      <c r="B26" s="22"/>
      <c r="C26" s="23"/>
      <c r="D26" s="24"/>
      <c r="E26" s="25"/>
      <c r="F26" s="26"/>
      <c r="O26"/>
      <c r="P26"/>
    </row>
    <row r="27" spans="1:22" x14ac:dyDescent="0.25">
      <c r="O27"/>
      <c r="P27"/>
    </row>
    <row r="28" spans="1:22" x14ac:dyDescent="0.25">
      <c r="O28"/>
      <c r="P28"/>
    </row>
    <row r="29" spans="1:22" ht="15.75" thickBot="1" x14ac:dyDescent="0.3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x14ac:dyDescent="0.25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x14ac:dyDescent="0.25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x14ac:dyDescent="0.25">
      <c r="A32" s="7" t="s">
        <v>82</v>
      </c>
      <c r="B32" s="7" t="s">
        <v>71</v>
      </c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6" x14ac:dyDescent="0.25">
      <c r="A33" s="7" t="s">
        <v>29</v>
      </c>
      <c r="B33" s="7" t="s">
        <v>21</v>
      </c>
      <c r="C33" s="30" t="s">
        <v>72</v>
      </c>
      <c r="D33" s="7" t="str">
        <f>CONCATENATE("VOL_",ROW())</f>
        <v>VOL_33</v>
      </c>
      <c r="E33" s="7"/>
      <c r="F33" s="31">
        <v>1.5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1000</v>
      </c>
      <c r="N33" s="33">
        <v>7</v>
      </c>
      <c r="O33" s="36">
        <v>0.8</v>
      </c>
      <c r="P33" s="36"/>
      <c r="Q33" s="7" t="s">
        <v>73</v>
      </c>
      <c r="R33" s="31"/>
      <c r="S33" s="7" t="s">
        <v>73</v>
      </c>
      <c r="T33" s="31"/>
      <c r="U33" s="7"/>
      <c r="V33" s="7"/>
      <c r="X33" s="39">
        <f t="shared" ref="X33:X51" si="0">IF(OR(A33="volume",A33="pipe",A33="junction"),X32+F33*COS(G33*PI()/180)*COS(H33*PI()/180)+J33,X32)</f>
        <v>9.1886134118146501E-17</v>
      </c>
      <c r="Y33" s="39">
        <f t="shared" ref="Y33:Y51" si="1">IF(OR(A33="volume",A33="pipe",A33="junction"),Y32+F33*COS(G33*PI()/180)*SIN(H33*PI()/180)+K33,Y32)</f>
        <v>0</v>
      </c>
      <c r="Z33" s="39">
        <f t="shared" ref="Z33:Z51" si="2">IF(OR(A33="volume",A33="pipe",A33="junction"),Z32+F33*SIN(G33*PI()/180)+L33,Z32)</f>
        <v>-1.5</v>
      </c>
    </row>
    <row r="34" spans="1:26" x14ac:dyDescent="0.25">
      <c r="A34" s="47"/>
      <c r="B34" s="47"/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  <c r="X34" s="39">
        <f t="shared" si="0"/>
        <v>9.1886134118146501E-17</v>
      </c>
      <c r="Y34" s="39">
        <f t="shared" si="1"/>
        <v>0</v>
      </c>
      <c r="Z34" s="39">
        <f t="shared" si="2"/>
        <v>-1.5</v>
      </c>
    </row>
    <row r="35" spans="1:26" x14ac:dyDescent="0.25">
      <c r="A35" s="7" t="s">
        <v>45</v>
      </c>
      <c r="B35" s="7" t="s">
        <v>10</v>
      </c>
      <c r="C35" s="30" t="s">
        <v>20</v>
      </c>
      <c r="D35" s="7" t="str">
        <f>CONCATENATE("JUNC_",ROW())</f>
        <v>JUNC_35</v>
      </c>
      <c r="E35" s="7"/>
      <c r="F35" s="31">
        <v>0</v>
      </c>
      <c r="G35" s="32">
        <v>0</v>
      </c>
      <c r="H35" s="32">
        <v>0</v>
      </c>
      <c r="I35" s="32">
        <v>0</v>
      </c>
      <c r="J35" s="29">
        <v>0</v>
      </c>
      <c r="K35" s="29">
        <v>0</v>
      </c>
      <c r="L35" s="29">
        <v>0</v>
      </c>
      <c r="M35" s="33">
        <v>97.93</v>
      </c>
      <c r="N35" s="33">
        <v>2.02</v>
      </c>
      <c r="O35" s="36"/>
      <c r="P35" s="36"/>
      <c r="Q35" s="7" t="str">
        <f ca="1">OFFSET($A$1,ROW()-3,3)</f>
        <v>VOL_33</v>
      </c>
      <c r="R35" s="31" t="s">
        <v>42</v>
      </c>
      <c r="S35" s="7" t="str">
        <f ca="1">OFFSET($A$1,ROW()+1,3)</f>
        <v>PIPE_37</v>
      </c>
      <c r="T35" s="31" t="s">
        <v>41</v>
      </c>
      <c r="U35" s="7"/>
      <c r="V35" s="7"/>
      <c r="X35" s="39">
        <f t="shared" si="0"/>
        <v>9.1886134118146501E-17</v>
      </c>
      <c r="Y35" s="39">
        <f t="shared" si="1"/>
        <v>0</v>
      </c>
      <c r="Z35" s="39">
        <f t="shared" si="2"/>
        <v>-1.5</v>
      </c>
    </row>
    <row r="36" spans="1:26" x14ac:dyDescent="0.25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  <c r="X36" s="39">
        <f t="shared" si="0"/>
        <v>9.1886134118146501E-17</v>
      </c>
      <c r="Y36" s="39">
        <f t="shared" si="1"/>
        <v>0</v>
      </c>
      <c r="Z36" s="39">
        <f t="shared" si="2"/>
        <v>-1.5</v>
      </c>
    </row>
    <row r="37" spans="1:26" x14ac:dyDescent="0.25">
      <c r="A37" s="7" t="s">
        <v>7</v>
      </c>
      <c r="B37" s="7" t="s">
        <v>7</v>
      </c>
      <c r="C37" s="30" t="s">
        <v>7</v>
      </c>
      <c r="D37" s="7" t="str">
        <f t="shared" ref="D37:D46" si="3">CONCATENATE("PIPE_",ROW())</f>
        <v>PIPE_37</v>
      </c>
      <c r="E37" s="7"/>
      <c r="F37" s="31">
        <v>0.5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  <c r="X37" s="39">
        <f t="shared" si="0"/>
        <v>1.22514845490862E-16</v>
      </c>
      <c r="Y37" s="39">
        <f t="shared" si="1"/>
        <v>0</v>
      </c>
      <c r="Z37" s="39">
        <f t="shared" si="2"/>
        <v>-2</v>
      </c>
    </row>
    <row r="38" spans="1:26" x14ac:dyDescent="0.25">
      <c r="A38" s="7" t="s">
        <v>7</v>
      </c>
      <c r="B38" s="7" t="s">
        <v>7</v>
      </c>
      <c r="C38" s="30" t="s">
        <v>7</v>
      </c>
      <c r="D38" s="7" t="str">
        <f t="shared" si="3"/>
        <v>PIPE_38</v>
      </c>
      <c r="E38" s="7"/>
      <c r="F38" s="31">
        <v>1.5</v>
      </c>
      <c r="G38" s="32">
        <v>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  <c r="X38" s="39">
        <f t="shared" si="0"/>
        <v>1.5000000000000002</v>
      </c>
      <c r="Y38" s="39">
        <f t="shared" si="1"/>
        <v>0</v>
      </c>
      <c r="Z38" s="39">
        <f t="shared" si="2"/>
        <v>-2</v>
      </c>
    </row>
    <row r="39" spans="1:26" x14ac:dyDescent="0.25">
      <c r="A39" s="7" t="s">
        <v>7</v>
      </c>
      <c r="B39" s="7" t="s">
        <v>7</v>
      </c>
      <c r="C39" s="30" t="s">
        <v>7</v>
      </c>
      <c r="D39" s="7" t="str">
        <f t="shared" si="3"/>
        <v>PIPE_39</v>
      </c>
      <c r="E39" s="7"/>
      <c r="F39" s="31">
        <v>0.6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  <c r="X39" s="39">
        <f t="shared" si="0"/>
        <v>1.5000000000000002</v>
      </c>
      <c r="Y39" s="39">
        <f t="shared" si="1"/>
        <v>0</v>
      </c>
      <c r="Z39" s="39">
        <f t="shared" si="2"/>
        <v>-2.6</v>
      </c>
    </row>
    <row r="40" spans="1:26" x14ac:dyDescent="0.25">
      <c r="A40" s="7" t="s">
        <v>7</v>
      </c>
      <c r="B40" s="7" t="s">
        <v>7</v>
      </c>
      <c r="C40" s="30" t="s">
        <v>7</v>
      </c>
      <c r="D40" s="7" t="str">
        <f t="shared" si="3"/>
        <v>PIPE_40</v>
      </c>
      <c r="E40" s="7"/>
      <c r="F40" s="31">
        <v>1</v>
      </c>
      <c r="G40" s="32">
        <v>0</v>
      </c>
      <c r="H40" s="32">
        <v>270</v>
      </c>
      <c r="I40" s="32">
        <v>0</v>
      </c>
      <c r="J40" s="29">
        <v>0</v>
      </c>
      <c r="K40" s="29">
        <v>0</v>
      </c>
      <c r="L40" s="29">
        <v>0</v>
      </c>
      <c r="M40" s="33">
        <v>100</v>
      </c>
      <c r="N40" s="33">
        <v>3.05</v>
      </c>
      <c r="O40" s="36">
        <v>1.5</v>
      </c>
      <c r="P40" s="36"/>
      <c r="Q40" s="7"/>
      <c r="R40" s="31"/>
      <c r="S40" s="7"/>
      <c r="T40" s="31"/>
      <c r="U40" s="7"/>
      <c r="V40" s="7"/>
      <c r="X40" s="39">
        <f t="shared" si="0"/>
        <v>1.5</v>
      </c>
      <c r="Y40" s="39">
        <f t="shared" si="1"/>
        <v>-1</v>
      </c>
      <c r="Z40" s="39">
        <f t="shared" si="2"/>
        <v>-2.6</v>
      </c>
    </row>
    <row r="41" spans="1:26" x14ac:dyDescent="0.25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  <c r="X41" s="39">
        <f t="shared" si="0"/>
        <v>1.5</v>
      </c>
      <c r="Y41" s="39">
        <f t="shared" si="1"/>
        <v>-1</v>
      </c>
      <c r="Z41" s="39">
        <f t="shared" si="2"/>
        <v>-2.6</v>
      </c>
    </row>
    <row r="42" spans="1:26" x14ac:dyDescent="0.25">
      <c r="A42" s="7" t="s">
        <v>45</v>
      </c>
      <c r="B42" s="7" t="s">
        <v>9</v>
      </c>
      <c r="C42" s="30" t="s">
        <v>74</v>
      </c>
      <c r="D42" s="7" t="str">
        <f>CONCATENATE("JUNC_",ROW())</f>
        <v>JUNC_42</v>
      </c>
      <c r="E42" s="7"/>
      <c r="F42" s="31">
        <v>0.2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100</v>
      </c>
      <c r="N42" s="33">
        <v>3.05</v>
      </c>
      <c r="O42" s="36"/>
      <c r="P42" s="36"/>
      <c r="Q42" s="7" t="str">
        <f ca="1">OFFSET($A$1,ROW()-3,3)</f>
        <v>PIPE_40</v>
      </c>
      <c r="R42" s="31" t="s">
        <v>42</v>
      </c>
      <c r="S42" s="7" t="str">
        <f ca="1">OFFSET($A$1,ROW()+1,3)</f>
        <v>PIPE_44</v>
      </c>
      <c r="T42" s="31" t="s">
        <v>41</v>
      </c>
      <c r="U42" s="7"/>
      <c r="V42" s="7"/>
      <c r="X42" s="39">
        <f t="shared" si="0"/>
        <v>1.5</v>
      </c>
      <c r="Y42" s="39">
        <f t="shared" si="1"/>
        <v>-1.2</v>
      </c>
      <c r="Z42" s="39">
        <f t="shared" si="2"/>
        <v>-2.6</v>
      </c>
    </row>
    <row r="43" spans="1:26" x14ac:dyDescent="0.25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  <c r="X43" s="39">
        <f t="shared" si="0"/>
        <v>1.5</v>
      </c>
      <c r="Y43" s="39">
        <f t="shared" si="1"/>
        <v>-1.2</v>
      </c>
      <c r="Z43" s="39">
        <f t="shared" si="2"/>
        <v>-2.6</v>
      </c>
    </row>
    <row r="44" spans="1:26" x14ac:dyDescent="0.25">
      <c r="A44" s="7" t="s">
        <v>7</v>
      </c>
      <c r="B44" s="7" t="s">
        <v>7</v>
      </c>
      <c r="C44" s="30" t="s">
        <v>7</v>
      </c>
      <c r="D44" s="7" t="str">
        <f t="shared" si="3"/>
        <v>PIPE_44</v>
      </c>
      <c r="E44" s="7"/>
      <c r="F44" s="31">
        <v>1</v>
      </c>
      <c r="G44" s="32">
        <v>0</v>
      </c>
      <c r="H44" s="32">
        <v>270</v>
      </c>
      <c r="I44" s="32">
        <v>0</v>
      </c>
      <c r="J44" s="29">
        <v>0</v>
      </c>
      <c r="K44" s="29">
        <v>0</v>
      </c>
      <c r="L44" s="29">
        <v>0</v>
      </c>
      <c r="M44" s="33">
        <v>100</v>
      </c>
      <c r="N44" s="33">
        <v>3.05</v>
      </c>
      <c r="O44" s="36">
        <v>1.5</v>
      </c>
      <c r="P44" s="36"/>
      <c r="Q44" s="7"/>
      <c r="R44" s="31"/>
      <c r="S44" s="7"/>
      <c r="T44" s="31"/>
      <c r="U44" s="7"/>
      <c r="V44" s="7"/>
      <c r="X44" s="39">
        <f t="shared" si="0"/>
        <v>1.4999999999999998</v>
      </c>
      <c r="Y44" s="39">
        <f t="shared" si="1"/>
        <v>-2.2000000000000002</v>
      </c>
      <c r="Z44" s="39">
        <f t="shared" si="2"/>
        <v>-2.6</v>
      </c>
    </row>
    <row r="45" spans="1:26" x14ac:dyDescent="0.25">
      <c r="A45" s="7" t="s">
        <v>7</v>
      </c>
      <c r="B45" s="7" t="s">
        <v>7</v>
      </c>
      <c r="C45" s="30" t="s">
        <v>7</v>
      </c>
      <c r="D45" s="7" t="str">
        <f t="shared" si="3"/>
        <v>PIPE_45</v>
      </c>
      <c r="E45" s="7"/>
      <c r="F45" s="31">
        <v>0.4</v>
      </c>
      <c r="G45" s="32">
        <v>-90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100</v>
      </c>
      <c r="N45" s="33">
        <v>3.05</v>
      </c>
      <c r="O45" s="36">
        <v>1.5</v>
      </c>
      <c r="P45" s="36"/>
      <c r="Q45" s="7"/>
      <c r="R45" s="31"/>
      <c r="S45" s="7"/>
      <c r="T45" s="31"/>
      <c r="U45" s="7"/>
      <c r="V45" s="7"/>
      <c r="X45" s="39">
        <f t="shared" si="0"/>
        <v>1.4999999999999998</v>
      </c>
      <c r="Y45" s="39">
        <f t="shared" si="1"/>
        <v>-2.2000000000000002</v>
      </c>
      <c r="Z45" s="39">
        <f t="shared" si="2"/>
        <v>-3</v>
      </c>
    </row>
    <row r="46" spans="1:26" x14ac:dyDescent="0.25">
      <c r="A46" s="7" t="s">
        <v>7</v>
      </c>
      <c r="B46" s="7" t="s">
        <v>7</v>
      </c>
      <c r="C46" s="30" t="s">
        <v>7</v>
      </c>
      <c r="D46" s="7" t="str">
        <f t="shared" si="3"/>
        <v>PIPE_46</v>
      </c>
      <c r="E46" s="7"/>
      <c r="F46" s="31">
        <v>2</v>
      </c>
      <c r="G46" s="32">
        <v>0</v>
      </c>
      <c r="H46" s="32">
        <v>0</v>
      </c>
      <c r="I46" s="32">
        <v>0</v>
      </c>
      <c r="J46" s="29">
        <v>0</v>
      </c>
      <c r="K46" s="29">
        <v>0</v>
      </c>
      <c r="L46" s="29">
        <v>0</v>
      </c>
      <c r="M46" s="33">
        <v>100</v>
      </c>
      <c r="N46" s="33">
        <v>3.05</v>
      </c>
      <c r="O46" s="36">
        <v>1.5</v>
      </c>
      <c r="P46" s="36"/>
      <c r="Q46" s="7"/>
      <c r="R46" s="31"/>
      <c r="S46" s="7"/>
      <c r="T46" s="31"/>
      <c r="U46" s="7"/>
      <c r="V46" s="7"/>
      <c r="X46" s="39">
        <f t="shared" si="0"/>
        <v>3.5</v>
      </c>
      <c r="Y46" s="39">
        <f t="shared" si="1"/>
        <v>-2.2000000000000002</v>
      </c>
      <c r="Z46" s="39">
        <f t="shared" si="2"/>
        <v>-3</v>
      </c>
    </row>
    <row r="47" spans="1:26" x14ac:dyDescent="0.25">
      <c r="A47" s="7"/>
      <c r="B47" s="7"/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  <c r="X47" s="39">
        <f t="shared" si="0"/>
        <v>3.5</v>
      </c>
      <c r="Y47" s="39">
        <f t="shared" si="1"/>
        <v>-2.2000000000000002</v>
      </c>
      <c r="Z47" s="39">
        <f t="shared" si="2"/>
        <v>-3</v>
      </c>
    </row>
    <row r="48" spans="1:26" x14ac:dyDescent="0.25">
      <c r="A48" s="7" t="s">
        <v>45</v>
      </c>
      <c r="B48" s="7" t="s">
        <v>10</v>
      </c>
      <c r="C48" s="30" t="s">
        <v>10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1</v>
      </c>
      <c r="M48" s="33">
        <v>0</v>
      </c>
      <c r="N48" s="33">
        <v>0</v>
      </c>
      <c r="O48" s="36"/>
      <c r="P48" s="36"/>
      <c r="Q48" s="7" t="str">
        <f ca="1">OFFSET($A$1,ROW()-3,3)</f>
        <v>PIPE_46</v>
      </c>
      <c r="R48" s="31" t="s">
        <v>42</v>
      </c>
      <c r="S48" s="7" t="str">
        <f ca="1">OFFSET($A$1,ROW()+1,3)</f>
        <v>VOL_50</v>
      </c>
      <c r="T48" s="31" t="s">
        <v>41</v>
      </c>
      <c r="U48" s="7"/>
      <c r="V48" s="7"/>
      <c r="X48" s="39">
        <f t="shared" si="0"/>
        <v>3.5</v>
      </c>
      <c r="Y48" s="39">
        <f t="shared" si="1"/>
        <v>-2.2000000000000002</v>
      </c>
      <c r="Z48" s="39">
        <f t="shared" si="2"/>
        <v>-2</v>
      </c>
    </row>
    <row r="49" spans="1:26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  <c r="X49" s="39">
        <f t="shared" si="0"/>
        <v>3.5</v>
      </c>
      <c r="Y49" s="39">
        <f t="shared" si="1"/>
        <v>-2.2000000000000002</v>
      </c>
      <c r="Z49" s="39">
        <f t="shared" si="2"/>
        <v>-2</v>
      </c>
    </row>
    <row r="50" spans="1:26" x14ac:dyDescent="0.25">
      <c r="A50" s="7" t="s">
        <v>29</v>
      </c>
      <c r="B50" s="7" t="s">
        <v>21</v>
      </c>
      <c r="C50" s="30" t="s">
        <v>75</v>
      </c>
      <c r="D50" s="7" t="str">
        <f>CONCATENATE("VOL_",ROW())</f>
        <v>VOL_50</v>
      </c>
      <c r="E50" s="7"/>
      <c r="F50" s="31">
        <v>1.5</v>
      </c>
      <c r="G50" s="32">
        <v>-90</v>
      </c>
      <c r="H50" s="32">
        <v>0</v>
      </c>
      <c r="I50" s="32">
        <v>0</v>
      </c>
      <c r="J50" s="29">
        <v>0</v>
      </c>
      <c r="K50" s="29">
        <v>0</v>
      </c>
      <c r="L50" s="29">
        <v>0</v>
      </c>
      <c r="M50" s="33">
        <v>1000</v>
      </c>
      <c r="N50" s="33">
        <v>7</v>
      </c>
      <c r="O50" s="36">
        <v>0.8</v>
      </c>
      <c r="P50" s="36"/>
      <c r="Q50" s="7"/>
      <c r="R50" s="31"/>
      <c r="S50" s="7"/>
      <c r="T50" s="31"/>
      <c r="U50" s="7"/>
      <c r="V50" s="7"/>
      <c r="X50" s="39">
        <f t="shared" si="0"/>
        <v>3.5</v>
      </c>
      <c r="Y50" s="39">
        <f t="shared" si="1"/>
        <v>-2.2000000000000002</v>
      </c>
      <c r="Z50" s="39">
        <f t="shared" si="2"/>
        <v>-3.5</v>
      </c>
    </row>
    <row r="51" spans="1:26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  <c r="X51" s="39">
        <f t="shared" si="0"/>
        <v>3.5</v>
      </c>
      <c r="Y51" s="39">
        <f t="shared" si="1"/>
        <v>-2.2000000000000002</v>
      </c>
      <c r="Z51" s="39">
        <f t="shared" si="2"/>
        <v>-3.5</v>
      </c>
    </row>
    <row r="52" spans="1:26" x14ac:dyDescent="0.25">
      <c r="A52" s="47"/>
      <c r="B52" s="47"/>
      <c r="C52" s="48"/>
      <c r="D52" s="47"/>
      <c r="E52" s="47"/>
      <c r="F52" s="49"/>
      <c r="G52" s="50"/>
      <c r="H52" s="50"/>
      <c r="I52" s="50"/>
      <c r="J52" s="51"/>
      <c r="K52" s="51"/>
      <c r="L52" s="29"/>
      <c r="M52" s="52"/>
      <c r="N52" s="33"/>
      <c r="O52" s="36"/>
      <c r="P52" s="36"/>
      <c r="Q52" s="7"/>
      <c r="R52" s="31"/>
      <c r="S52" s="7"/>
      <c r="T52" s="31"/>
      <c r="U52" s="7"/>
      <c r="V52" s="7"/>
    </row>
    <row r="53" spans="1:26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6" x14ac:dyDescent="0.25">
      <c r="A54" s="7" t="s">
        <v>82</v>
      </c>
      <c r="B54" s="7" t="s">
        <v>76</v>
      </c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6" x14ac:dyDescent="0.25">
      <c r="A55" s="47" t="s">
        <v>45</v>
      </c>
      <c r="B55" s="54" t="s">
        <v>10</v>
      </c>
      <c r="C55" s="48" t="s">
        <v>20</v>
      </c>
      <c r="D55" s="47" t="str">
        <f>CONCATENATE("JUNC_",ROW())</f>
        <v>JUNC_55</v>
      </c>
      <c r="E55" s="47"/>
      <c r="F55" s="49">
        <v>0</v>
      </c>
      <c r="G55" s="50">
        <v>0</v>
      </c>
      <c r="H55" s="50">
        <v>0</v>
      </c>
      <c r="I55" s="50">
        <v>0</v>
      </c>
      <c r="J55" s="51">
        <v>0</v>
      </c>
      <c r="K55" s="51">
        <v>0</v>
      </c>
      <c r="L55" s="51">
        <v>0</v>
      </c>
      <c r="M55" s="52">
        <v>97.93</v>
      </c>
      <c r="N55" s="52">
        <v>2.02</v>
      </c>
      <c r="O55" s="53"/>
      <c r="P55" s="53"/>
      <c r="Q55" s="47" t="str">
        <f>D40</f>
        <v>PIPE_40</v>
      </c>
      <c r="R55" s="49">
        <v>0.5</v>
      </c>
      <c r="S55" s="47" t="str">
        <f ca="1">OFFSET($A$1,ROW()+1,3)</f>
        <v>PIPE_57</v>
      </c>
      <c r="T55" s="49" t="s">
        <v>41</v>
      </c>
      <c r="U55" s="47"/>
      <c r="V55" s="47"/>
      <c r="X55" s="39">
        <f t="shared" ref="X55:X66" si="4">IF(OR(A55="volume",A55="pipe",A55="junction"),X54+F55*COS(G55*PI()/180)*COS(H55*PI()/180)+J55,X54)</f>
        <v>0</v>
      </c>
      <c r="Y55" s="39">
        <f t="shared" ref="Y55:Y66" si="5">IF(OR(A55="volume",A55="pipe",A55="junction"),Y54+F55*COS(G55*PI()/180)*SIN(H55*PI()/180)+K55,Y54)</f>
        <v>0</v>
      </c>
      <c r="Z55" s="39">
        <f t="shared" ref="Z55:Z66" si="6">IF(OR(A55="volume",A55="pipe",A55="junction"),Z54+F55*SIN(G55*PI()/180)+L55,Z54)</f>
        <v>0</v>
      </c>
    </row>
    <row r="56" spans="1:26" x14ac:dyDescent="0.25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  <c r="X56" s="39">
        <f t="shared" si="4"/>
        <v>0</v>
      </c>
      <c r="Y56" s="39">
        <f t="shared" si="5"/>
        <v>0</v>
      </c>
      <c r="Z56" s="39">
        <f t="shared" si="6"/>
        <v>0</v>
      </c>
    </row>
    <row r="57" spans="1:26" x14ac:dyDescent="0.25">
      <c r="A57" s="7" t="s">
        <v>7</v>
      </c>
      <c r="B57" s="7" t="s">
        <v>7</v>
      </c>
      <c r="C57" s="30" t="s">
        <v>7</v>
      </c>
      <c r="D57" s="7" t="str">
        <f t="shared" ref="D57:D63" si="7">CONCATENATE("PIPE_",ROW())</f>
        <v>PIPE_57</v>
      </c>
      <c r="E57" s="7"/>
      <c r="F57" s="31">
        <v>0.7</v>
      </c>
      <c r="G57" s="32">
        <v>0</v>
      </c>
      <c r="H57" s="32">
        <v>180</v>
      </c>
      <c r="I57" s="32">
        <v>0</v>
      </c>
      <c r="J57" s="29">
        <v>0</v>
      </c>
      <c r="K57" s="29">
        <v>0</v>
      </c>
      <c r="L57" s="29">
        <v>0</v>
      </c>
      <c r="M57" s="33">
        <v>100</v>
      </c>
      <c r="N57" s="33">
        <v>3.05</v>
      </c>
      <c r="O57" s="36">
        <v>1.5</v>
      </c>
      <c r="P57" s="36"/>
      <c r="Q57" s="7"/>
      <c r="R57" s="31"/>
      <c r="S57" s="7"/>
      <c r="T57" s="31"/>
      <c r="U57" s="7"/>
      <c r="V57" s="7"/>
      <c r="X57" s="39">
        <f t="shared" si="4"/>
        <v>-0.7</v>
      </c>
      <c r="Y57" s="39">
        <f t="shared" si="5"/>
        <v>8.5760391843603401E-17</v>
      </c>
      <c r="Z57" s="39">
        <f t="shared" si="6"/>
        <v>0</v>
      </c>
    </row>
    <row r="58" spans="1:26" x14ac:dyDescent="0.25">
      <c r="A58" s="7" t="s">
        <v>7</v>
      </c>
      <c r="B58" s="7" t="s">
        <v>7</v>
      </c>
      <c r="C58" s="30" t="s">
        <v>7</v>
      </c>
      <c r="D58" s="7" t="str">
        <f t="shared" si="7"/>
        <v>PIPE_58</v>
      </c>
      <c r="E58" s="7"/>
      <c r="F58" s="31">
        <v>0.5</v>
      </c>
      <c r="G58" s="32">
        <v>0</v>
      </c>
      <c r="H58" s="32">
        <v>270</v>
      </c>
      <c r="I58" s="32">
        <v>0</v>
      </c>
      <c r="J58" s="29">
        <v>0</v>
      </c>
      <c r="K58" s="29">
        <v>0</v>
      </c>
      <c r="L58" s="29">
        <v>0</v>
      </c>
      <c r="M58" s="33">
        <v>100</v>
      </c>
      <c r="N58" s="33">
        <v>3.05</v>
      </c>
      <c r="O58" s="36">
        <v>1.5</v>
      </c>
      <c r="P58" s="36"/>
      <c r="Q58" s="7"/>
      <c r="R58" s="31"/>
      <c r="S58" s="7"/>
      <c r="T58" s="31"/>
      <c r="U58" s="7"/>
      <c r="V58" s="7"/>
      <c r="X58" s="39">
        <f t="shared" si="4"/>
        <v>-0.70000000000000007</v>
      </c>
      <c r="Y58" s="39">
        <f t="shared" si="5"/>
        <v>-0.49999999999999989</v>
      </c>
      <c r="Z58" s="39">
        <f t="shared" si="6"/>
        <v>0</v>
      </c>
    </row>
    <row r="59" spans="1:26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  <c r="X59" s="39">
        <f t="shared" si="4"/>
        <v>-0.70000000000000007</v>
      </c>
      <c r="Y59" s="39">
        <f t="shared" si="5"/>
        <v>-0.49999999999999989</v>
      </c>
      <c r="Z59" s="39">
        <f t="shared" si="6"/>
        <v>0</v>
      </c>
    </row>
    <row r="60" spans="1:26" x14ac:dyDescent="0.25">
      <c r="A60" s="7" t="s">
        <v>45</v>
      </c>
      <c r="B60" s="7" t="s">
        <v>9</v>
      </c>
      <c r="C60" s="30" t="s">
        <v>77</v>
      </c>
      <c r="D60" s="7" t="str">
        <f>CONCATENATE("JUNC_",ROW())</f>
        <v>JUNC_60</v>
      </c>
      <c r="E60" s="7"/>
      <c r="F60" s="31">
        <v>0.2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100</v>
      </c>
      <c r="N60" s="33">
        <v>3.05</v>
      </c>
      <c r="O60" s="36"/>
      <c r="P60" s="36"/>
      <c r="Q60" s="7" t="str">
        <f ca="1">OFFSET($A$1,ROW()-3,3)</f>
        <v>PIPE_58</v>
      </c>
      <c r="R60" s="31" t="s">
        <v>42</v>
      </c>
      <c r="S60" s="7" t="str">
        <f ca="1">OFFSET($A$1,ROW()+1,3)</f>
        <v>PIPE_62</v>
      </c>
      <c r="T60" s="31" t="s">
        <v>41</v>
      </c>
      <c r="U60" s="7"/>
      <c r="V60" s="7"/>
      <c r="X60" s="39">
        <f t="shared" si="4"/>
        <v>-0.70000000000000007</v>
      </c>
      <c r="Y60" s="39">
        <f t="shared" si="5"/>
        <v>-0.7</v>
      </c>
      <c r="Z60" s="39">
        <f t="shared" si="6"/>
        <v>0</v>
      </c>
    </row>
    <row r="61" spans="1:26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  <c r="X61" s="39">
        <f t="shared" si="4"/>
        <v>-0.70000000000000007</v>
      </c>
      <c r="Y61" s="39">
        <f t="shared" si="5"/>
        <v>-0.7</v>
      </c>
      <c r="Z61" s="39">
        <f t="shared" si="6"/>
        <v>0</v>
      </c>
    </row>
    <row r="62" spans="1:26" x14ac:dyDescent="0.25">
      <c r="A62" s="7" t="s">
        <v>7</v>
      </c>
      <c r="B62" s="7" t="s">
        <v>7</v>
      </c>
      <c r="C62" s="30" t="s">
        <v>7</v>
      </c>
      <c r="D62" s="7" t="str">
        <f t="shared" si="7"/>
        <v>PIPE_62</v>
      </c>
      <c r="E62" s="7"/>
      <c r="F62" s="31">
        <v>0.5</v>
      </c>
      <c r="G62" s="32">
        <v>0</v>
      </c>
      <c r="H62" s="32">
        <v>270</v>
      </c>
      <c r="I62" s="32">
        <v>0</v>
      </c>
      <c r="J62" s="29">
        <v>0</v>
      </c>
      <c r="K62" s="29">
        <v>0</v>
      </c>
      <c r="L62" s="29">
        <v>0</v>
      </c>
      <c r="M62" s="33">
        <v>100</v>
      </c>
      <c r="N62" s="33">
        <v>3.05</v>
      </c>
      <c r="O62" s="36">
        <v>1.5</v>
      </c>
      <c r="P62" s="36"/>
      <c r="Q62" s="7"/>
      <c r="R62" s="31"/>
      <c r="S62" s="7"/>
      <c r="T62" s="31"/>
      <c r="U62" s="7"/>
      <c r="V62" s="7"/>
      <c r="X62" s="39">
        <f t="shared" si="4"/>
        <v>-0.70000000000000018</v>
      </c>
      <c r="Y62" s="39">
        <f t="shared" si="5"/>
        <v>-1.2</v>
      </c>
      <c r="Z62" s="39">
        <f t="shared" si="6"/>
        <v>0</v>
      </c>
    </row>
    <row r="63" spans="1:26" x14ac:dyDescent="0.25">
      <c r="A63" s="7" t="s">
        <v>7</v>
      </c>
      <c r="B63" s="7" t="s">
        <v>7</v>
      </c>
      <c r="C63" s="30" t="s">
        <v>7</v>
      </c>
      <c r="D63" s="7" t="str">
        <f t="shared" si="7"/>
        <v>PIPE_63</v>
      </c>
      <c r="E63" s="7"/>
      <c r="F63" s="31">
        <v>0.7</v>
      </c>
      <c r="G63" s="32">
        <v>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100</v>
      </c>
      <c r="N63" s="33">
        <v>3.05</v>
      </c>
      <c r="O63" s="36">
        <v>1.5</v>
      </c>
      <c r="P63" s="36"/>
      <c r="Q63" s="7"/>
      <c r="R63" s="31"/>
      <c r="S63" s="7"/>
      <c r="T63" s="31"/>
      <c r="U63" s="7"/>
      <c r="V63" s="7"/>
      <c r="X63" s="39">
        <f t="shared" si="4"/>
        <v>-2.2204460492503131E-16</v>
      </c>
      <c r="Y63" s="39">
        <f t="shared" si="5"/>
        <v>-1.2</v>
      </c>
      <c r="Z63" s="39">
        <f t="shared" si="6"/>
        <v>0</v>
      </c>
    </row>
    <row r="64" spans="1:26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  <c r="X64" s="39">
        <f t="shared" si="4"/>
        <v>-2.2204460492503131E-16</v>
      </c>
      <c r="Y64" s="39">
        <f t="shared" si="5"/>
        <v>-1.2</v>
      </c>
      <c r="Z64" s="39">
        <f t="shared" si="6"/>
        <v>0</v>
      </c>
    </row>
    <row r="65" spans="1:26" x14ac:dyDescent="0.25">
      <c r="A65" s="7" t="s">
        <v>45</v>
      </c>
      <c r="B65" s="7" t="s">
        <v>10</v>
      </c>
      <c r="C65" s="30" t="s">
        <v>20</v>
      </c>
      <c r="D65" s="7" t="str">
        <f>CONCATENATE("JUNC_",ROW())</f>
        <v>JUNC_65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>D44</f>
        <v>PIPE_44</v>
      </c>
      <c r="T65" s="31">
        <v>0.5</v>
      </c>
      <c r="U65" s="7"/>
      <c r="V65" s="7"/>
      <c r="X65" s="39">
        <f t="shared" si="4"/>
        <v>-2.2204460492503131E-16</v>
      </c>
      <c r="Y65" s="39">
        <f t="shared" si="5"/>
        <v>-1.2</v>
      </c>
      <c r="Z65" s="39">
        <f t="shared" si="6"/>
        <v>0</v>
      </c>
    </row>
    <row r="66" spans="1:26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  <c r="X66" s="39">
        <f t="shared" si="4"/>
        <v>-2.2204460492503131E-16</v>
      </c>
      <c r="Y66" s="39">
        <f t="shared" si="5"/>
        <v>-1.2</v>
      </c>
      <c r="Z66" s="39">
        <f t="shared" si="6"/>
        <v>0</v>
      </c>
    </row>
    <row r="67" spans="1:26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6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6" x14ac:dyDescent="0.25">
      <c r="A69" s="7" t="s">
        <v>82</v>
      </c>
      <c r="B69" s="7" t="s">
        <v>83</v>
      </c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6" x14ac:dyDescent="0.25">
      <c r="A70" s="7" t="s">
        <v>45</v>
      </c>
      <c r="B70" s="7" t="s">
        <v>10</v>
      </c>
      <c r="C70" s="30" t="s">
        <v>10</v>
      </c>
      <c r="D70" s="7" t="str">
        <f>CONCATENATE("COMP_",ROW())</f>
        <v>COMP_70</v>
      </c>
      <c r="E70" s="7"/>
      <c r="F70" s="31">
        <v>0</v>
      </c>
      <c r="G70" s="32">
        <v>0</v>
      </c>
      <c r="H70" s="32">
        <v>0</v>
      </c>
      <c r="I70" s="32">
        <v>0</v>
      </c>
      <c r="J70" s="29">
        <v>0</v>
      </c>
      <c r="K70" s="29">
        <v>0</v>
      </c>
      <c r="L70" s="29">
        <v>0</v>
      </c>
      <c r="M70" s="33">
        <v>0</v>
      </c>
      <c r="N70" s="33">
        <v>0</v>
      </c>
      <c r="O70" s="36"/>
      <c r="P70" s="36"/>
      <c r="Q70" s="7" t="str">
        <f>D46</f>
        <v>PIPE_46</v>
      </c>
      <c r="R70" s="31">
        <v>1</v>
      </c>
      <c r="S70" s="7" t="str">
        <f ca="1">OFFSET($A$1,ROW()+1,3)</f>
        <v>PIPE_72</v>
      </c>
      <c r="T70" s="31" t="s">
        <v>41</v>
      </c>
      <c r="U70" s="7"/>
      <c r="V70" s="7"/>
      <c r="X70" s="39">
        <f t="shared" ref="X70:X77" si="8">IF(OR(A70="volume",A70="pipe",A70="junction"),X69+F70*COS(G70*PI()/180)*COS(H70*PI()/180)+J70,X69)</f>
        <v>0</v>
      </c>
      <c r="Y70" s="39">
        <f t="shared" ref="Y70:Y77" si="9">IF(OR(A70="volume",A70="pipe",A70="junction"),Y69+F70*COS(G70*PI()/180)*SIN(H70*PI()/180)+K70,Y69)</f>
        <v>0</v>
      </c>
      <c r="Z70" s="39">
        <f t="shared" ref="Z70:Z77" si="10">IF(OR(A70="volume",A70="pipe",A70="junction"),Z69+F70*SIN(G70*PI()/180)+L70,Z69)</f>
        <v>0</v>
      </c>
    </row>
    <row r="71" spans="1:26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  <c r="X71" s="39">
        <f t="shared" si="8"/>
        <v>0</v>
      </c>
      <c r="Y71" s="39">
        <f t="shared" si="9"/>
        <v>0</v>
      </c>
      <c r="Z71" s="39">
        <f t="shared" si="10"/>
        <v>0</v>
      </c>
    </row>
    <row r="72" spans="1:26" x14ac:dyDescent="0.25">
      <c r="A72" s="7" t="s">
        <v>7</v>
      </c>
      <c r="B72" s="7" t="s">
        <v>7</v>
      </c>
      <c r="C72" s="30" t="s">
        <v>7</v>
      </c>
      <c r="D72" s="7" t="str">
        <f>CONCATENATE("PIPE_",ROW())</f>
        <v>PIPE_72</v>
      </c>
      <c r="E72" s="7"/>
      <c r="F72" s="31">
        <v>0.7</v>
      </c>
      <c r="G72" s="32">
        <v>90</v>
      </c>
      <c r="H72" s="32">
        <v>0</v>
      </c>
      <c r="I72" s="32">
        <v>0</v>
      </c>
      <c r="J72" s="29">
        <v>0</v>
      </c>
      <c r="K72" s="29">
        <v>0</v>
      </c>
      <c r="L72" s="29">
        <v>0</v>
      </c>
      <c r="M72" s="33">
        <v>50</v>
      </c>
      <c r="N72" s="33">
        <v>2</v>
      </c>
      <c r="O72" s="36">
        <v>1.5</v>
      </c>
      <c r="P72" s="36"/>
      <c r="Q72" s="7"/>
      <c r="R72" s="31"/>
      <c r="S72" s="7"/>
      <c r="T72" s="31"/>
      <c r="U72" s="7"/>
      <c r="V72" s="7"/>
      <c r="X72" s="39">
        <f t="shared" si="8"/>
        <v>4.28801959218017E-17</v>
      </c>
      <c r="Y72" s="39">
        <f t="shared" si="9"/>
        <v>0</v>
      </c>
      <c r="Z72" s="39">
        <f t="shared" si="10"/>
        <v>0.7</v>
      </c>
    </row>
    <row r="73" spans="1:26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  <c r="X73" s="39">
        <f t="shared" si="8"/>
        <v>4.28801959218017E-17</v>
      </c>
      <c r="Y73" s="39">
        <f t="shared" si="9"/>
        <v>0</v>
      </c>
      <c r="Z73" s="39">
        <f t="shared" si="10"/>
        <v>0.7</v>
      </c>
    </row>
    <row r="74" spans="1:26" x14ac:dyDescent="0.25">
      <c r="A74" s="7" t="s">
        <v>45</v>
      </c>
      <c r="B74" s="7" t="s">
        <v>84</v>
      </c>
      <c r="C74" s="30" t="s">
        <v>85</v>
      </c>
      <c r="D74" s="7" t="str">
        <f>CONCATENATE("COMP_",ROW())</f>
        <v>COMP_74</v>
      </c>
      <c r="E74" s="7"/>
      <c r="F74" s="31">
        <v>0</v>
      </c>
      <c r="G74" s="32">
        <v>90</v>
      </c>
      <c r="H74" s="32">
        <f>180+45</f>
        <v>225</v>
      </c>
      <c r="I74" s="32">
        <v>0</v>
      </c>
      <c r="J74" s="29">
        <v>0</v>
      </c>
      <c r="K74" s="29">
        <v>0</v>
      </c>
      <c r="L74" s="29">
        <v>0</v>
      </c>
      <c r="M74" s="33">
        <v>50</v>
      </c>
      <c r="N74" s="33">
        <v>2</v>
      </c>
      <c r="O74" s="36">
        <v>0.08</v>
      </c>
      <c r="P74" s="36"/>
      <c r="Q74" s="7" t="str">
        <f ca="1">OFFSET($A$1,ROW()-3,3)</f>
        <v>PIPE_72</v>
      </c>
      <c r="R74" s="31" t="s">
        <v>42</v>
      </c>
      <c r="S74" s="7" t="str">
        <f ca="1">OFFSET($A$1,ROW()+1,3)</f>
        <v>PIPE_76</v>
      </c>
      <c r="T74" s="31" t="s">
        <v>41</v>
      </c>
      <c r="U74" s="7"/>
      <c r="V74" s="7"/>
      <c r="X74" s="39">
        <f t="shared" si="8"/>
        <v>4.28801959218017E-17</v>
      </c>
      <c r="Y74" s="39">
        <f t="shared" si="9"/>
        <v>0</v>
      </c>
      <c r="Z74" s="39">
        <f t="shared" si="10"/>
        <v>0.7</v>
      </c>
    </row>
    <row r="75" spans="1:26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  <c r="X75" s="39">
        <f t="shared" si="8"/>
        <v>4.28801959218017E-17</v>
      </c>
      <c r="Y75" s="39">
        <f t="shared" si="9"/>
        <v>0</v>
      </c>
      <c r="Z75" s="39">
        <f t="shared" si="10"/>
        <v>0.7</v>
      </c>
    </row>
    <row r="76" spans="1:26" x14ac:dyDescent="0.25">
      <c r="A76" s="7" t="s">
        <v>7</v>
      </c>
      <c r="B76" s="7" t="s">
        <v>7</v>
      </c>
      <c r="C76" s="30" t="s">
        <v>7</v>
      </c>
      <c r="D76" s="7" t="str">
        <f>CONCATENATE("PIPE_",ROW())</f>
        <v>PIPE_76</v>
      </c>
      <c r="E76" s="7"/>
      <c r="F76" s="31">
        <v>0.7</v>
      </c>
      <c r="G76" s="32">
        <v>0</v>
      </c>
      <c r="H76" s="32">
        <f>H74</f>
        <v>225</v>
      </c>
      <c r="I76" s="32">
        <v>0</v>
      </c>
      <c r="J76" s="29">
        <v>0</v>
      </c>
      <c r="K76" s="29">
        <v>0</v>
      </c>
      <c r="L76" s="29">
        <v>0</v>
      </c>
      <c r="M76" s="33">
        <v>50</v>
      </c>
      <c r="N76" s="33">
        <v>2</v>
      </c>
      <c r="O76" s="36">
        <v>1.5</v>
      </c>
      <c r="P76" s="36"/>
      <c r="Q76" s="7"/>
      <c r="R76" s="31"/>
      <c r="S76" s="7"/>
      <c r="T76" s="31"/>
      <c r="U76" s="7"/>
      <c r="V76" s="7"/>
      <c r="X76" s="39">
        <f t="shared" si="8"/>
        <v>-0.49497474683058329</v>
      </c>
      <c r="Y76" s="39">
        <f t="shared" si="9"/>
        <v>-0.49497474683058318</v>
      </c>
      <c r="Z76" s="39">
        <f t="shared" si="10"/>
        <v>0.7</v>
      </c>
    </row>
    <row r="77" spans="1:26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  <c r="X77" s="39">
        <f t="shared" si="8"/>
        <v>-0.49497474683058329</v>
      </c>
      <c r="Y77" s="39">
        <f t="shared" si="9"/>
        <v>-0.49497474683058318</v>
      </c>
      <c r="Z77" s="39">
        <f t="shared" si="10"/>
        <v>0.7</v>
      </c>
    </row>
    <row r="78" spans="1:26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6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6" x14ac:dyDescent="0.25">
      <c r="A80" s="7" t="s">
        <v>45</v>
      </c>
      <c r="B80" s="7" t="s">
        <v>86</v>
      </c>
      <c r="C80" s="30" t="s">
        <v>10</v>
      </c>
      <c r="D80" s="7" t="str">
        <f>CONCATENATE("COMP_",ROW())</f>
        <v>COMP_80</v>
      </c>
      <c r="E80" s="7"/>
      <c r="F80" s="31">
        <v>0</v>
      </c>
      <c r="G80" s="32">
        <v>0</v>
      </c>
      <c r="H80" s="32">
        <v>0</v>
      </c>
      <c r="I80" s="32">
        <v>0</v>
      </c>
      <c r="J80" s="29">
        <v>0</v>
      </c>
      <c r="K80" s="29">
        <v>0</v>
      </c>
      <c r="L80" s="29">
        <v>0</v>
      </c>
      <c r="M80" s="33">
        <f>M74</f>
        <v>50</v>
      </c>
      <c r="N80" s="33">
        <v>2</v>
      </c>
      <c r="O80" s="36"/>
      <c r="P80" s="36"/>
      <c r="Q80" s="7" t="str">
        <f>D74</f>
        <v>COMP_74</v>
      </c>
      <c r="R80" s="31">
        <v>0.3</v>
      </c>
      <c r="S80" s="7"/>
      <c r="T80" s="31"/>
      <c r="U80" s="7"/>
      <c r="V80" s="7" t="s">
        <v>85</v>
      </c>
      <c r="X80" s="39">
        <f>IF(OR(A80="volume",A80="pipe",A80="junction"),X79+F80*COS(G80*PI()/180)*COS(H80*PI()/180)+J80,X79)</f>
        <v>0</v>
      </c>
      <c r="Y80" s="39">
        <f>IF(OR(A80="volume",A80="pipe",A80="junction"),Y79+F80*COS(G80*PI()/180)*SIN(H80*PI()/180)+K80,Y79)</f>
        <v>0</v>
      </c>
      <c r="Z80" s="39">
        <f>IF(OR(A80="volume",A80="pipe",A80="junction"),Z79+F80*SIN(G80*PI()/180)+L80,Z79)</f>
        <v>0</v>
      </c>
    </row>
    <row r="81" spans="1:26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  <c r="X81" s="39">
        <f>IF(OR(A81="volume",A81="pipe",A81="junction"),X80+F81*COS(G81*PI()/180)*COS(H81*PI()/180)+J81,X80)</f>
        <v>0</v>
      </c>
      <c r="Y81" s="39">
        <f>IF(OR(A81="volume",A81="pipe",A81="junction"),Y80+F81*COS(G81*PI()/180)*SIN(H81*PI()/180)+K81,Y80)</f>
        <v>0</v>
      </c>
      <c r="Z81" s="39">
        <f>IF(OR(A81="volume",A81="pipe",A81="junction"),Z80+F81*SIN(G81*PI()/180)+L81,Z80)</f>
        <v>0</v>
      </c>
    </row>
    <row r="82" spans="1:26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6" x14ac:dyDescent="0.25">
      <c r="A83" s="7" t="s">
        <v>82</v>
      </c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6" x14ac:dyDescent="0.25">
      <c r="A84" s="7" t="s">
        <v>45</v>
      </c>
      <c r="B84" s="7" t="s">
        <v>88</v>
      </c>
      <c r="C84" s="30" t="s">
        <v>10</v>
      </c>
      <c r="D84" s="7" t="str">
        <f t="shared" ref="D84:D87" si="11">CONCATENATE("COMP_",ROW())</f>
        <v>COMP_84</v>
      </c>
      <c r="E84" s="7"/>
      <c r="F84" s="31">
        <v>0.3</v>
      </c>
      <c r="G84" s="32">
        <v>90</v>
      </c>
      <c r="H84" s="32">
        <v>0</v>
      </c>
      <c r="I84" s="32">
        <v>0</v>
      </c>
      <c r="J84" s="29">
        <v>0</v>
      </c>
      <c r="K84" s="29">
        <v>0</v>
      </c>
      <c r="L84" s="29">
        <v>0</v>
      </c>
      <c r="M84" s="33">
        <v>50</v>
      </c>
      <c r="N84" s="33">
        <v>0</v>
      </c>
      <c r="O84" s="36"/>
      <c r="P84" s="36"/>
      <c r="Q84" s="7" t="str">
        <f>D46</f>
        <v>PIPE_46</v>
      </c>
      <c r="R84" s="31">
        <v>0.5</v>
      </c>
      <c r="S84" s="7" t="str">
        <f>D85</f>
        <v>COMP_85</v>
      </c>
      <c r="T84" s="31" t="s">
        <v>41</v>
      </c>
      <c r="U84" s="7"/>
      <c r="V84" s="7"/>
      <c r="X84" s="39">
        <f>IF(OR(A84="volume",A84="pipe",A84="junction"),X83+F84*COS(G84*PI()/180)*COS(H84*PI()/180)+J84,X83)</f>
        <v>1.83772268236293E-17</v>
      </c>
      <c r="Y84" s="39">
        <f>IF(OR(A84="volume",A84="pipe",A84="junction"),Y83+F84*COS(G84*PI()/180)*SIN(H84*PI()/180)+K84,Y83)</f>
        <v>0</v>
      </c>
      <c r="Z84" s="39">
        <f>IF(OR(A84="volume",A84="pipe",A84="junction"),Z83+F84*SIN(G84*PI()/180)+L84,Z83)</f>
        <v>0.3</v>
      </c>
    </row>
    <row r="85" spans="1:26" x14ac:dyDescent="0.25">
      <c r="A85" s="7" t="s">
        <v>45</v>
      </c>
      <c r="B85" s="7" t="s">
        <v>9</v>
      </c>
      <c r="C85" s="30" t="s">
        <v>10</v>
      </c>
      <c r="D85" s="7" t="str">
        <f t="shared" si="11"/>
        <v>COMP_85</v>
      </c>
      <c r="E85" s="7"/>
      <c r="F85" s="31">
        <v>0.3</v>
      </c>
      <c r="G85" s="32">
        <v>90</v>
      </c>
      <c r="H85" s="32">
        <v>0</v>
      </c>
      <c r="I85" s="32">
        <v>0</v>
      </c>
      <c r="J85" s="29">
        <v>0</v>
      </c>
      <c r="K85" s="29">
        <v>0</v>
      </c>
      <c r="L85" s="29">
        <v>0</v>
      </c>
      <c r="M85" s="33">
        <v>50</v>
      </c>
      <c r="N85" s="33">
        <v>0</v>
      </c>
      <c r="O85" s="36"/>
      <c r="P85" s="36"/>
      <c r="Q85" s="7"/>
      <c r="R85" s="31"/>
      <c r="S85" s="7"/>
      <c r="T85" s="31"/>
      <c r="U85" s="7"/>
      <c r="V85" s="7"/>
      <c r="X85" s="39">
        <f>IF(OR(A85="volume",A85="pipe",A85="junction"),X84+F85*COS(G85*PI()/180)*COS(H85*PI()/180)+J85,X84)</f>
        <v>3.67544536472586E-17</v>
      </c>
      <c r="Y85" s="39">
        <f>IF(OR(A85="volume",A85="pipe",A85="junction"),Y84+F85*COS(G85*PI()/180)*SIN(H85*PI()/180)+K85,Y84)</f>
        <v>0</v>
      </c>
      <c r="Z85" s="39">
        <f>IF(OR(A85="volume",A85="pipe",A85="junction"),Z84+F85*SIN(G85*PI()/180)+L85,Z84)</f>
        <v>0.6</v>
      </c>
    </row>
    <row r="86" spans="1:26" x14ac:dyDescent="0.25">
      <c r="A86" s="7" t="s">
        <v>45</v>
      </c>
      <c r="B86" s="7" t="s">
        <v>7</v>
      </c>
      <c r="C86" s="30" t="s">
        <v>10</v>
      </c>
      <c r="D86" s="7" t="str">
        <f t="shared" si="11"/>
        <v>COMP_86</v>
      </c>
      <c r="E86" s="7"/>
      <c r="F86" s="31">
        <v>0.5</v>
      </c>
      <c r="G86" s="32">
        <v>0</v>
      </c>
      <c r="H86" s="32">
        <v>270</v>
      </c>
      <c r="I86" s="32">
        <v>0</v>
      </c>
      <c r="J86" s="29">
        <v>0</v>
      </c>
      <c r="K86" s="29">
        <v>0</v>
      </c>
      <c r="L86" s="29">
        <v>0</v>
      </c>
      <c r="M86" s="33">
        <v>50</v>
      </c>
      <c r="N86" s="33">
        <v>0</v>
      </c>
      <c r="O86" s="36"/>
      <c r="P86" s="36"/>
      <c r="Q86" s="7"/>
      <c r="R86" s="31"/>
      <c r="S86" s="7"/>
      <c r="T86" s="31"/>
      <c r="U86" s="7"/>
      <c r="V86" s="7"/>
      <c r="X86" s="39">
        <f>IF(OR(A86="volume",A86="pipe",A86="junction"),X85+F86*COS(G86*PI()/180)*COS(H86*PI()/180)+J86,X85)</f>
        <v>-5.51316804708879E-17</v>
      </c>
      <c r="Y86" s="39">
        <f>IF(OR(A86="volume",A86="pipe",A86="junction"),Y85+F86*COS(G86*PI()/180)*SIN(H86*PI()/180)+K86,Y85)</f>
        <v>-0.5</v>
      </c>
      <c r="Z86" s="39">
        <f>IF(OR(A86="volume",A86="pipe",A86="junction"),Z85+F86*SIN(G86*PI()/180)+L86,Z85)</f>
        <v>0.6</v>
      </c>
    </row>
    <row r="87" spans="1:26" x14ac:dyDescent="0.25">
      <c r="A87" s="7" t="s">
        <v>45</v>
      </c>
      <c r="B87" s="7"/>
      <c r="C87" s="30" t="s">
        <v>10</v>
      </c>
      <c r="D87" s="7" t="str">
        <f t="shared" si="11"/>
        <v>COMP_87</v>
      </c>
      <c r="E87" s="7"/>
      <c r="F87" s="31">
        <v>1</v>
      </c>
      <c r="G87" s="32">
        <v>90</v>
      </c>
      <c r="H87" s="32">
        <v>0</v>
      </c>
      <c r="I87" s="32">
        <v>0</v>
      </c>
      <c r="J87" s="29">
        <v>0</v>
      </c>
      <c r="K87" s="29">
        <v>0</v>
      </c>
      <c r="L87" s="29">
        <v>0</v>
      </c>
      <c r="M87" s="33">
        <v>34</v>
      </c>
      <c r="N87" s="33">
        <v>0</v>
      </c>
      <c r="O87" s="36"/>
      <c r="P87" s="36"/>
      <c r="Q87" s="7"/>
      <c r="R87" s="31"/>
      <c r="S87" s="7"/>
      <c r="T87" s="31"/>
      <c r="U87" s="7"/>
      <c r="V87" s="7"/>
      <c r="X87" s="39">
        <f>IF(OR(A87="volume",A87="pipe",A87="junction"),X86+F87*COS(G87*PI()/180)*COS(H87*PI()/180)+J87,X86)</f>
        <v>6.1257422745431001E-18</v>
      </c>
      <c r="Y87" s="39">
        <f>IF(OR(A87="volume",A87="pipe",A87="junction"),Y86+F87*COS(G87*PI()/180)*SIN(H87*PI()/180)+K87,Y86)</f>
        <v>-0.5</v>
      </c>
      <c r="Z87" s="39">
        <f>IF(OR(A87="volume",A87="pipe",A87="junction"),Z86+F87*SIN(G87*PI()/180)+L87,Z86)</f>
        <v>1.6</v>
      </c>
    </row>
    <row r="88" spans="1:26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  <c r="X88" s="39">
        <f>IF(OR(A88="volume",A88="pipe",A88="junction"),X87+F88*COS(G88*PI()/180)*COS(H88*PI()/180)+J88,X87)</f>
        <v>6.1257422745431001E-18</v>
      </c>
      <c r="Y88" s="39">
        <f>IF(OR(A88="volume",A88="pipe",A88="junction"),Y87+F88*COS(G88*PI()/180)*SIN(H88*PI()/180)+K88,Y87)</f>
        <v>-0.5</v>
      </c>
      <c r="Z88" s="39">
        <f>IF(OR(A88="volume",A88="pipe",A88="junction"),Z87+F88*SIN(G88*PI()/180)+L88,Z87)</f>
        <v>1.6</v>
      </c>
    </row>
    <row r="89" spans="1:26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6" x14ac:dyDescent="0.25">
      <c r="A90" s="7" t="s">
        <v>82</v>
      </c>
      <c r="B90" s="7" t="s">
        <v>91</v>
      </c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6" x14ac:dyDescent="0.25">
      <c r="A91" s="7" t="s">
        <v>7</v>
      </c>
      <c r="B91" s="7" t="s">
        <v>7</v>
      </c>
      <c r="C91" s="30" t="s">
        <v>7</v>
      </c>
      <c r="D91" s="7" t="str">
        <f t="shared" ref="D91:D92" si="12">CONCATENATE("PIPE_",ROW())</f>
        <v>PIPE_91</v>
      </c>
      <c r="E91" s="7"/>
      <c r="F91" s="31">
        <v>1</v>
      </c>
      <c r="G91" s="32">
        <v>-90</v>
      </c>
      <c r="H91" s="32">
        <v>0</v>
      </c>
      <c r="I91" s="32">
        <v>0</v>
      </c>
      <c r="J91" s="29">
        <v>0</v>
      </c>
      <c r="K91" s="29">
        <v>0</v>
      </c>
      <c r="L91" s="29">
        <v>0</v>
      </c>
      <c r="M91" s="33">
        <v>100</v>
      </c>
      <c r="N91" s="33">
        <v>0</v>
      </c>
      <c r="O91" s="36">
        <v>1.5</v>
      </c>
      <c r="P91" s="36"/>
      <c r="Q91" s="7" t="str">
        <f>D46</f>
        <v>PIPE_46</v>
      </c>
      <c r="R91" s="31">
        <v>1</v>
      </c>
      <c r="S91" s="7"/>
      <c r="T91" s="31"/>
      <c r="U91" s="7"/>
      <c r="V91" s="7"/>
      <c r="X91" s="39">
        <f t="shared" ref="X91:X104" si="13">IF(OR(A91="volume",A91="pipe",A91="junction"),X90+F91*COS(G91*PI()/180)*COS(H91*PI()/180)+J91,X90)</f>
        <v>6.1257422745431001E-17</v>
      </c>
      <c r="Y91" s="39">
        <f t="shared" ref="Y91:Y104" si="14">IF(OR(A91="volume",A91="pipe",A91="junction"),Y90+F91*COS(G91*PI()/180)*SIN(H91*PI()/180)+K91,Y90)</f>
        <v>0</v>
      </c>
      <c r="Z91" s="39">
        <f t="shared" ref="Z91:Z104" si="15">IF(OR(A91="volume",A91="pipe",A91="junction"),Z90+F91*SIN(G91*PI()/180)+L91,Z90)</f>
        <v>-1</v>
      </c>
    </row>
    <row r="92" spans="1:26" x14ac:dyDescent="0.25">
      <c r="A92" s="7" t="s">
        <v>7</v>
      </c>
      <c r="B92" s="7" t="s">
        <v>7</v>
      </c>
      <c r="C92" s="30" t="s">
        <v>7</v>
      </c>
      <c r="D92" s="7" t="str">
        <f t="shared" si="12"/>
        <v>PIPE_92</v>
      </c>
      <c r="E92" s="7"/>
      <c r="F92" s="31">
        <v>1</v>
      </c>
      <c r="G92" s="32">
        <v>0</v>
      </c>
      <c r="H92" s="32">
        <v>90</v>
      </c>
      <c r="I92" s="32">
        <v>0</v>
      </c>
      <c r="J92" s="29">
        <v>0</v>
      </c>
      <c r="K92" s="29">
        <v>0</v>
      </c>
      <c r="L92" s="29">
        <v>0</v>
      </c>
      <c r="M92" s="33">
        <v>100</v>
      </c>
      <c r="N92" s="33">
        <v>0</v>
      </c>
      <c r="O92" s="36">
        <v>1.5</v>
      </c>
      <c r="P92" s="36"/>
      <c r="Q92" s="7"/>
      <c r="R92" s="31"/>
      <c r="S92" s="7"/>
      <c r="T92" s="31"/>
      <c r="U92" s="7"/>
      <c r="V92" s="7"/>
      <c r="X92" s="39">
        <f t="shared" si="13"/>
        <v>1.22514845490862E-16</v>
      </c>
      <c r="Y92" s="39">
        <f t="shared" si="14"/>
        <v>1</v>
      </c>
      <c r="Z92" s="39">
        <f t="shared" si="15"/>
        <v>-1</v>
      </c>
    </row>
    <row r="93" spans="1:26" x14ac:dyDescent="0.25">
      <c r="A93" s="7" t="s">
        <v>7</v>
      </c>
      <c r="B93" s="7" t="s">
        <v>7</v>
      </c>
      <c r="C93" s="30" t="s">
        <v>7</v>
      </c>
      <c r="D93" s="7" t="str">
        <f>CONCATENATE("PIPE_",ROW())</f>
        <v>PIPE_93</v>
      </c>
      <c r="E93" s="7"/>
      <c r="F93" s="31">
        <v>1</v>
      </c>
      <c r="G93" s="32">
        <v>-90</v>
      </c>
      <c r="H93" s="32">
        <v>0</v>
      </c>
      <c r="I93" s="32">
        <v>0</v>
      </c>
      <c r="J93" s="29">
        <v>0</v>
      </c>
      <c r="K93" s="29">
        <v>0</v>
      </c>
      <c r="L93" s="29">
        <v>0</v>
      </c>
      <c r="M93" s="33">
        <v>100</v>
      </c>
      <c r="N93" s="33">
        <v>0</v>
      </c>
      <c r="O93" s="36">
        <v>1.5</v>
      </c>
      <c r="P93" s="36"/>
      <c r="Q93" s="7"/>
      <c r="R93" s="31"/>
      <c r="S93" s="7"/>
      <c r="T93" s="31"/>
      <c r="U93" s="7"/>
      <c r="V93" s="7"/>
      <c r="X93" s="39">
        <f t="shared" si="13"/>
        <v>1.83772268236293E-16</v>
      </c>
      <c r="Y93" s="39">
        <f t="shared" si="14"/>
        <v>1</v>
      </c>
      <c r="Z93" s="39">
        <f t="shared" si="15"/>
        <v>-2</v>
      </c>
    </row>
    <row r="94" spans="1:26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  <c r="X94" s="39">
        <f t="shared" si="13"/>
        <v>1.83772268236293E-16</v>
      </c>
      <c r="Y94" s="39">
        <f t="shared" si="14"/>
        <v>1</v>
      </c>
      <c r="Z94" s="39">
        <f t="shared" si="15"/>
        <v>-2</v>
      </c>
    </row>
    <row r="95" spans="1:26" x14ac:dyDescent="0.25">
      <c r="A95" s="7" t="s">
        <v>45</v>
      </c>
      <c r="B95" s="7" t="s">
        <v>10</v>
      </c>
      <c r="C95" s="30" t="s">
        <v>10</v>
      </c>
      <c r="D95" s="7" t="str">
        <f>CONCATENATE("COMP_",ROW())</f>
        <v>COMP_95</v>
      </c>
      <c r="E95" s="7"/>
      <c r="F95" s="31">
        <v>0</v>
      </c>
      <c r="G95" s="32">
        <v>0</v>
      </c>
      <c r="H95" s="32">
        <v>0</v>
      </c>
      <c r="I95" s="32">
        <v>0</v>
      </c>
      <c r="J95" s="29">
        <v>0</v>
      </c>
      <c r="K95" s="29">
        <v>0</v>
      </c>
      <c r="L95" s="29">
        <v>0</v>
      </c>
      <c r="M95" s="33">
        <v>0</v>
      </c>
      <c r="N95" s="33">
        <v>0</v>
      </c>
      <c r="O95" s="36"/>
      <c r="P95" s="36"/>
      <c r="Q95" s="7" t="str">
        <f ca="1">OFFSET($A$1,ROW()-3,3)</f>
        <v>PIPE_93</v>
      </c>
      <c r="R95" s="31" t="s">
        <v>42</v>
      </c>
      <c r="S95" s="7" t="str">
        <f ca="1">OFFSET($A$1,ROW()+1,3)</f>
        <v>VOL_97</v>
      </c>
      <c r="T95" s="31" t="s">
        <v>41</v>
      </c>
      <c r="U95" s="7"/>
      <c r="V95" s="7"/>
      <c r="X95" s="39">
        <f t="shared" si="13"/>
        <v>1.83772268236293E-16</v>
      </c>
      <c r="Y95" s="39">
        <f t="shared" si="14"/>
        <v>1</v>
      </c>
      <c r="Z95" s="39">
        <f t="shared" si="15"/>
        <v>-2</v>
      </c>
    </row>
    <row r="96" spans="1:26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  <c r="X96" s="39">
        <f t="shared" si="13"/>
        <v>1.83772268236293E-16</v>
      </c>
      <c r="Y96" s="39">
        <f t="shared" si="14"/>
        <v>1</v>
      </c>
      <c r="Z96" s="39">
        <f t="shared" si="15"/>
        <v>-2</v>
      </c>
    </row>
    <row r="97" spans="1:26" x14ac:dyDescent="0.25">
      <c r="A97" s="7" t="s">
        <v>29</v>
      </c>
      <c r="B97" s="7" t="s">
        <v>89</v>
      </c>
      <c r="C97" s="30" t="s">
        <v>92</v>
      </c>
      <c r="D97" s="7" t="str">
        <f t="shared" ref="D97:D103" si="16">CONCATENATE("VOL_",ROW())</f>
        <v>VOL_97</v>
      </c>
      <c r="E97" s="7"/>
      <c r="F97" s="31">
        <v>0.4</v>
      </c>
      <c r="G97" s="32">
        <v>-90</v>
      </c>
      <c r="H97" s="32">
        <v>0</v>
      </c>
      <c r="I97" s="32">
        <v>0</v>
      </c>
      <c r="J97" s="29">
        <v>0</v>
      </c>
      <c r="K97" s="29">
        <v>0</v>
      </c>
      <c r="L97" s="29">
        <v>0</v>
      </c>
      <c r="M97" s="33">
        <v>100</v>
      </c>
      <c r="N97" s="33">
        <v>0</v>
      </c>
      <c r="O97" s="36"/>
      <c r="P97" s="36"/>
      <c r="Q97" s="7"/>
      <c r="R97" s="31"/>
      <c r="S97" s="7"/>
      <c r="T97" s="31"/>
      <c r="U97" s="7"/>
      <c r="V97" s="7"/>
      <c r="X97" s="39">
        <f t="shared" si="13"/>
        <v>2.082752373344654E-16</v>
      </c>
      <c r="Y97" s="39">
        <f t="shared" si="14"/>
        <v>1</v>
      </c>
      <c r="Z97" s="39">
        <f t="shared" si="15"/>
        <v>-2.4</v>
      </c>
    </row>
    <row r="98" spans="1:26" x14ac:dyDescent="0.25">
      <c r="A98" s="7" t="s">
        <v>29</v>
      </c>
      <c r="B98" s="7"/>
      <c r="C98" s="30"/>
      <c r="D98" s="7" t="str">
        <f t="shared" si="16"/>
        <v>VOL_98</v>
      </c>
      <c r="E98" s="7"/>
      <c r="F98" s="31">
        <v>0.25</v>
      </c>
      <c r="G98" s="32">
        <v>0</v>
      </c>
      <c r="H98" s="32">
        <v>-180</v>
      </c>
      <c r="I98" s="32">
        <v>0</v>
      </c>
      <c r="J98" s="29">
        <v>0</v>
      </c>
      <c r="K98" s="29">
        <v>0</v>
      </c>
      <c r="L98" s="29">
        <v>0</v>
      </c>
      <c r="M98" s="33">
        <v>0</v>
      </c>
      <c r="N98" s="33">
        <v>0</v>
      </c>
      <c r="O98" s="36"/>
      <c r="P98" s="36"/>
      <c r="Q98" s="7"/>
      <c r="R98" s="31"/>
      <c r="S98" s="7"/>
      <c r="T98" s="31"/>
      <c r="U98" s="7"/>
      <c r="V98" s="7"/>
      <c r="X98" s="39">
        <f t="shared" si="13"/>
        <v>-0.24999999999999978</v>
      </c>
      <c r="Y98" s="39">
        <f t="shared" si="14"/>
        <v>1</v>
      </c>
      <c r="Z98" s="39">
        <f t="shared" si="15"/>
        <v>-2.4</v>
      </c>
    </row>
    <row r="99" spans="1:26" x14ac:dyDescent="0.25">
      <c r="A99" s="7" t="s">
        <v>29</v>
      </c>
      <c r="B99" s="7" t="s">
        <v>21</v>
      </c>
      <c r="C99" s="30" t="s">
        <v>93</v>
      </c>
      <c r="D99" s="7" t="str">
        <f t="shared" si="16"/>
        <v>VOL_99</v>
      </c>
      <c r="E99" s="7"/>
      <c r="F99" s="31">
        <v>3</v>
      </c>
      <c r="G99" s="32">
        <v>0</v>
      </c>
      <c r="H99" s="32">
        <v>0</v>
      </c>
      <c r="I99" s="32">
        <v>0</v>
      </c>
      <c r="J99" s="29">
        <v>0</v>
      </c>
      <c r="K99" s="29">
        <v>0</v>
      </c>
      <c r="L99" s="29">
        <v>0</v>
      </c>
      <c r="M99" s="33">
        <v>400</v>
      </c>
      <c r="N99" s="33">
        <v>0</v>
      </c>
      <c r="O99" s="36">
        <v>0.2</v>
      </c>
      <c r="P99" s="36"/>
      <c r="Q99" s="7"/>
      <c r="R99" s="31"/>
      <c r="S99" s="7"/>
      <c r="T99" s="31"/>
      <c r="U99" s="7"/>
      <c r="V99" s="7"/>
      <c r="X99" s="39">
        <f t="shared" si="13"/>
        <v>2.75</v>
      </c>
      <c r="Y99" s="39">
        <f t="shared" si="14"/>
        <v>1</v>
      </c>
      <c r="Z99" s="39">
        <f t="shared" si="15"/>
        <v>-2.4</v>
      </c>
    </row>
    <row r="100" spans="1:26" x14ac:dyDescent="0.25">
      <c r="A100" s="7" t="s">
        <v>29</v>
      </c>
      <c r="B100" s="55"/>
      <c r="C100" s="30"/>
      <c r="D100" s="7" t="str">
        <f t="shared" si="16"/>
        <v>VOL_100</v>
      </c>
      <c r="E100" s="7"/>
      <c r="F100" s="31">
        <v>2.5</v>
      </c>
      <c r="G100" s="32">
        <v>0</v>
      </c>
      <c r="H100" s="32">
        <v>-180</v>
      </c>
      <c r="I100" s="32">
        <v>0</v>
      </c>
      <c r="J100" s="29">
        <v>0</v>
      </c>
      <c r="K100" s="29">
        <v>0</v>
      </c>
      <c r="L100" s="29">
        <v>0</v>
      </c>
      <c r="M100" s="33">
        <v>0</v>
      </c>
      <c r="N100" s="33">
        <v>0</v>
      </c>
      <c r="O100" s="36"/>
      <c r="P100" s="36"/>
      <c r="Q100" s="7"/>
      <c r="R100" s="31"/>
      <c r="S100" s="7"/>
      <c r="T100" s="31"/>
      <c r="U100" s="7"/>
      <c r="V100" s="7"/>
      <c r="X100" s="39">
        <f t="shared" si="13"/>
        <v>0.25</v>
      </c>
      <c r="Y100" s="39">
        <f t="shared" si="14"/>
        <v>0.99999999999999967</v>
      </c>
      <c r="Z100" s="39">
        <f t="shared" si="15"/>
        <v>-2.4</v>
      </c>
    </row>
    <row r="101" spans="1:26" x14ac:dyDescent="0.25">
      <c r="A101" s="7" t="s">
        <v>29</v>
      </c>
      <c r="B101" s="55"/>
      <c r="C101" s="30" t="s">
        <v>61</v>
      </c>
      <c r="D101" s="7" t="str">
        <f t="shared" si="16"/>
        <v>VOL_101</v>
      </c>
      <c r="E101" s="7" t="s">
        <v>95</v>
      </c>
      <c r="F101" s="31">
        <v>0</v>
      </c>
      <c r="G101" s="32">
        <v>0</v>
      </c>
      <c r="H101" s="32">
        <v>-180</v>
      </c>
      <c r="I101" s="32">
        <v>0</v>
      </c>
      <c r="J101" s="29">
        <v>0</v>
      </c>
      <c r="K101" s="29">
        <v>0</v>
      </c>
      <c r="L101" s="29">
        <v>0</v>
      </c>
      <c r="M101" s="33">
        <v>400</v>
      </c>
      <c r="N101" s="33">
        <v>0</v>
      </c>
      <c r="O101" s="36"/>
      <c r="P101" s="36"/>
      <c r="Q101" s="7"/>
      <c r="R101" s="31"/>
      <c r="S101" s="7"/>
      <c r="T101" s="31"/>
      <c r="U101" s="7"/>
      <c r="V101" s="7"/>
      <c r="X101" s="39">
        <f t="shared" si="13"/>
        <v>0.25</v>
      </c>
      <c r="Y101" s="39">
        <f t="shared" si="14"/>
        <v>0.99999999999999967</v>
      </c>
      <c r="Z101" s="39">
        <f t="shared" si="15"/>
        <v>-2.4</v>
      </c>
    </row>
    <row r="102" spans="1:26" x14ac:dyDescent="0.25">
      <c r="A102" s="7" t="s">
        <v>29</v>
      </c>
      <c r="B102" s="55"/>
      <c r="C102" s="30"/>
      <c r="D102" s="7" t="str">
        <f t="shared" si="16"/>
        <v>VOL_102</v>
      </c>
      <c r="E102" s="7"/>
      <c r="F102" s="31">
        <v>0.25</v>
      </c>
      <c r="G102" s="32">
        <v>0</v>
      </c>
      <c r="H102" s="32">
        <v>-180</v>
      </c>
      <c r="I102" s="32">
        <v>0</v>
      </c>
      <c r="J102" s="29">
        <v>0</v>
      </c>
      <c r="K102" s="29">
        <v>0</v>
      </c>
      <c r="L102" s="29">
        <v>0</v>
      </c>
      <c r="M102" s="33">
        <v>0</v>
      </c>
      <c r="N102" s="33">
        <v>0</v>
      </c>
      <c r="O102" s="36"/>
      <c r="P102" s="36"/>
      <c r="Q102" s="7"/>
      <c r="R102" s="31"/>
      <c r="S102" s="7"/>
      <c r="T102" s="31"/>
      <c r="U102" s="7"/>
      <c r="V102" s="7"/>
      <c r="X102" s="39">
        <f t="shared" si="13"/>
        <v>0</v>
      </c>
      <c r="Y102" s="39">
        <f t="shared" si="14"/>
        <v>0.99999999999999967</v>
      </c>
      <c r="Z102" s="39">
        <f t="shared" si="15"/>
        <v>-2.4</v>
      </c>
    </row>
    <row r="103" spans="1:26" x14ac:dyDescent="0.25">
      <c r="A103" s="7" t="s">
        <v>29</v>
      </c>
      <c r="B103" s="55" t="s">
        <v>90</v>
      </c>
      <c r="C103" s="30" t="s">
        <v>94</v>
      </c>
      <c r="D103" s="7" t="str">
        <f t="shared" si="16"/>
        <v>VOL_103</v>
      </c>
      <c r="E103" s="7"/>
      <c r="F103" s="31">
        <v>0.4</v>
      </c>
      <c r="G103" s="32">
        <v>-90</v>
      </c>
      <c r="H103" s="32">
        <v>0</v>
      </c>
      <c r="I103" s="32">
        <v>0</v>
      </c>
      <c r="J103" s="29">
        <v>0</v>
      </c>
      <c r="K103" s="29">
        <v>0</v>
      </c>
      <c r="L103" s="29">
        <v>0</v>
      </c>
      <c r="M103" s="33">
        <v>100</v>
      </c>
      <c r="N103" s="33">
        <v>0</v>
      </c>
      <c r="O103" s="36"/>
      <c r="P103" s="36"/>
      <c r="Q103" s="7"/>
      <c r="R103" s="31"/>
      <c r="S103" s="7"/>
      <c r="T103" s="31"/>
      <c r="U103" s="7"/>
      <c r="V103" s="7"/>
      <c r="X103" s="39">
        <f t="shared" si="13"/>
        <v>2.45029690981724E-17</v>
      </c>
      <c r="Y103" s="39">
        <f t="shared" si="14"/>
        <v>0.99999999999999967</v>
      </c>
      <c r="Z103" s="39">
        <f t="shared" si="15"/>
        <v>-2.8</v>
      </c>
    </row>
    <row r="104" spans="1:26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  <c r="X104" s="39">
        <f t="shared" si="13"/>
        <v>2.45029690981724E-17</v>
      </c>
      <c r="Y104" s="39">
        <f t="shared" si="14"/>
        <v>0.99999999999999967</v>
      </c>
      <c r="Z104" s="39">
        <f t="shared" si="15"/>
        <v>-2.8</v>
      </c>
    </row>
    <row r="105" spans="1:26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6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6" x14ac:dyDescent="0.25">
      <c r="A107" s="7" t="s">
        <v>45</v>
      </c>
      <c r="B107" s="7" t="s">
        <v>10</v>
      </c>
      <c r="C107" s="30" t="s">
        <v>10</v>
      </c>
      <c r="D107" s="7" t="str">
        <f>CONCATENATE("COMP_",ROW())</f>
        <v>COMP_107</v>
      </c>
      <c r="E107" s="7" t="s">
        <v>96</v>
      </c>
      <c r="F107" s="31">
        <v>0</v>
      </c>
      <c r="G107" s="32">
        <v>0</v>
      </c>
      <c r="H107" s="32">
        <v>0</v>
      </c>
      <c r="I107" s="32">
        <v>0</v>
      </c>
      <c r="J107" s="29">
        <v>0</v>
      </c>
      <c r="K107" s="29">
        <v>0</v>
      </c>
      <c r="L107" s="29">
        <v>0</v>
      </c>
      <c r="M107" s="33">
        <v>0</v>
      </c>
      <c r="N107" s="33">
        <v>0</v>
      </c>
      <c r="O107" s="36"/>
      <c r="P107" s="36"/>
      <c r="Q107" s="7" t="str">
        <f>D58</f>
        <v>PIPE_58</v>
      </c>
      <c r="R107" s="31">
        <v>0.25</v>
      </c>
      <c r="S107" s="7"/>
      <c r="T107" s="31"/>
      <c r="U107" s="7"/>
      <c r="V107" s="7"/>
    </row>
    <row r="108" spans="1:26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6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6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6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6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A230" s="7"/>
      <c r="B230" s="7"/>
      <c r="C230" s="30"/>
      <c r="D230" s="7"/>
      <c r="E230" s="7"/>
      <c r="F230" s="31"/>
      <c r="G230" s="32"/>
      <c r="H230" s="32"/>
      <c r="I230" s="32"/>
      <c r="J230" s="29"/>
      <c r="K230" s="29"/>
      <c r="L230" s="29"/>
      <c r="M230" s="33"/>
      <c r="N230" s="33"/>
      <c r="O230" s="36"/>
      <c r="P230" s="36"/>
      <c r="Q230" s="7"/>
      <c r="R230" s="31"/>
      <c r="S230" s="7"/>
      <c r="T230" s="31"/>
      <c r="U230" s="7"/>
      <c r="V230" s="7"/>
    </row>
    <row r="231" spans="1:22" x14ac:dyDescent="0.25">
      <c r="A231" s="7"/>
      <c r="B231" s="7"/>
      <c r="C231" s="30"/>
      <c r="D231" s="7"/>
      <c r="E231" s="7"/>
      <c r="F231" s="31"/>
      <c r="G231" s="32"/>
      <c r="H231" s="32"/>
      <c r="I231" s="32"/>
      <c r="J231" s="29"/>
      <c r="K231" s="29"/>
      <c r="L231" s="29"/>
      <c r="M231" s="33"/>
      <c r="N231" s="33"/>
      <c r="O231" s="36"/>
      <c r="P231" s="36"/>
      <c r="Q231" s="7"/>
      <c r="R231" s="31"/>
      <c r="S231" s="7"/>
      <c r="T231" s="31"/>
      <c r="U231" s="7"/>
      <c r="V231" s="7"/>
    </row>
    <row r="232" spans="1:22" x14ac:dyDescent="0.25">
      <c r="A232" s="7"/>
      <c r="B232" s="7"/>
      <c r="C232" s="30"/>
      <c r="D232" s="7"/>
      <c r="E232" s="7"/>
      <c r="F232" s="31"/>
      <c r="G232" s="32"/>
      <c r="H232" s="32"/>
      <c r="I232" s="32"/>
      <c r="J232" s="29"/>
      <c r="K232" s="29"/>
      <c r="L232" s="29"/>
      <c r="M232" s="33"/>
      <c r="N232" s="33"/>
      <c r="O232" s="36"/>
      <c r="P232" s="36"/>
      <c r="Q232" s="7"/>
      <c r="R232" s="31"/>
      <c r="S232" s="7"/>
      <c r="T232" s="31"/>
      <c r="U232" s="7"/>
      <c r="V232" s="7"/>
    </row>
    <row r="233" spans="1:22" x14ac:dyDescent="0.25">
      <c r="A233" s="7"/>
      <c r="B233" s="7"/>
      <c r="C233" s="30"/>
      <c r="D233" s="7"/>
      <c r="E233" s="7"/>
      <c r="F233" s="31"/>
      <c r="G233" s="32"/>
      <c r="H233" s="32"/>
      <c r="I233" s="32"/>
      <c r="J233" s="29"/>
      <c r="K233" s="29"/>
      <c r="L233" s="29"/>
      <c r="M233" s="33"/>
      <c r="N233" s="33"/>
      <c r="O233" s="36"/>
      <c r="P233" s="36"/>
      <c r="Q233" s="7"/>
      <c r="R233" s="31"/>
      <c r="S233" s="7"/>
      <c r="T233" s="31"/>
      <c r="U233" s="7"/>
      <c r="V233" s="7"/>
    </row>
    <row r="234" spans="1:22" x14ac:dyDescent="0.25">
      <c r="A234" s="7"/>
      <c r="B234" s="7"/>
      <c r="C234" s="30"/>
      <c r="D234" s="7"/>
      <c r="E234" s="7"/>
      <c r="F234" s="31"/>
      <c r="G234" s="32"/>
      <c r="H234" s="32"/>
      <c r="I234" s="32"/>
      <c r="J234" s="29"/>
      <c r="K234" s="29"/>
      <c r="L234" s="29"/>
      <c r="M234" s="33"/>
      <c r="N234" s="33"/>
      <c r="O234" s="36"/>
      <c r="P234" s="36"/>
      <c r="Q234" s="7"/>
      <c r="R234" s="31"/>
      <c r="S234" s="7"/>
      <c r="T234" s="31"/>
      <c r="U234" s="7"/>
      <c r="V234" s="7"/>
    </row>
    <row r="235" spans="1:22" x14ac:dyDescent="0.25">
      <c r="A235" s="7"/>
      <c r="B235" s="7"/>
      <c r="C235" s="30"/>
      <c r="D235" s="7"/>
      <c r="E235" s="7"/>
      <c r="F235" s="31"/>
      <c r="G235" s="32"/>
      <c r="H235" s="32"/>
      <c r="I235" s="32"/>
      <c r="J235" s="29"/>
      <c r="K235" s="29"/>
      <c r="L235" s="29"/>
      <c r="M235" s="33"/>
      <c r="N235" s="33"/>
      <c r="O235" s="36"/>
      <c r="P235" s="36"/>
      <c r="Q235" s="7"/>
      <c r="R235" s="31"/>
      <c r="S235" s="7"/>
      <c r="T235" s="31"/>
      <c r="U235" s="7"/>
      <c r="V235" s="7"/>
    </row>
    <row r="236" spans="1:22" x14ac:dyDescent="0.25">
      <c r="A236" s="7"/>
      <c r="B236" s="7"/>
      <c r="C236" s="30"/>
      <c r="D236" s="7"/>
      <c r="E236" s="7"/>
      <c r="F236" s="31"/>
      <c r="G236" s="32"/>
      <c r="H236" s="32"/>
      <c r="I236" s="32"/>
      <c r="J236" s="29"/>
      <c r="K236" s="29"/>
      <c r="L236" s="29"/>
      <c r="M236" s="33"/>
      <c r="N236" s="33"/>
      <c r="O236" s="36"/>
      <c r="P236" s="36"/>
      <c r="Q236" s="7"/>
      <c r="R236" s="31"/>
      <c r="S236" s="7"/>
      <c r="T236" s="31"/>
      <c r="U236" s="7"/>
      <c r="V236" s="7"/>
    </row>
    <row r="237" spans="1:22" x14ac:dyDescent="0.25">
      <c r="A237" s="7"/>
      <c r="B237" s="7"/>
      <c r="C237" s="30"/>
      <c r="D237" s="7"/>
      <c r="E237" s="7"/>
      <c r="F237" s="31"/>
      <c r="G237" s="32"/>
      <c r="H237" s="32"/>
      <c r="I237" s="32"/>
      <c r="J237" s="29"/>
      <c r="K237" s="29"/>
      <c r="L237" s="29"/>
      <c r="M237" s="33"/>
      <c r="N237" s="33"/>
      <c r="O237" s="36"/>
      <c r="P237" s="36"/>
      <c r="Q237" s="7"/>
      <c r="R237" s="31"/>
      <c r="S237" s="7"/>
      <c r="T237" s="31"/>
      <c r="U237" s="7"/>
      <c r="V237" s="7"/>
    </row>
    <row r="238" spans="1:22" x14ac:dyDescent="0.25">
      <c r="A238" s="7"/>
      <c r="B238" s="7"/>
      <c r="C238" s="30"/>
      <c r="D238" s="7"/>
      <c r="E238" s="7"/>
      <c r="F238" s="31"/>
      <c r="G238" s="32"/>
      <c r="H238" s="32"/>
      <c r="I238" s="32"/>
      <c r="J238" s="29"/>
      <c r="K238" s="29"/>
      <c r="L238" s="29"/>
      <c r="M238" s="33"/>
      <c r="N238" s="33"/>
      <c r="O238" s="36"/>
      <c r="P238" s="36"/>
      <c r="Q238" s="7"/>
      <c r="R238" s="31"/>
      <c r="S238" s="7"/>
      <c r="T238" s="31"/>
      <c r="U238" s="7"/>
      <c r="V238" s="7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  <row r="346" spans="3:20" x14ac:dyDescent="0.25">
      <c r="C346" s="6"/>
      <c r="F346" s="1"/>
      <c r="G346" s="2"/>
      <c r="H346" s="2"/>
      <c r="I346" s="2"/>
      <c r="J346" s="4"/>
      <c r="K346" s="4"/>
      <c r="L346" s="4"/>
      <c r="M346" s="3"/>
      <c r="N346" s="3"/>
      <c r="R346" s="1"/>
      <c r="T346" s="1"/>
    </row>
    <row r="347" spans="3:20" x14ac:dyDescent="0.25">
      <c r="C347" s="6"/>
      <c r="F347" s="1"/>
      <c r="G347" s="2"/>
      <c r="H347" s="2"/>
      <c r="I347" s="2"/>
      <c r="J347" s="4"/>
      <c r="K347" s="4"/>
      <c r="L347" s="4"/>
      <c r="M347" s="3"/>
      <c r="N347" s="3"/>
      <c r="R347" s="1"/>
      <c r="T347" s="1"/>
    </row>
    <row r="348" spans="3:20" x14ac:dyDescent="0.25">
      <c r="C348" s="6"/>
      <c r="F348" s="1"/>
      <c r="G348" s="2"/>
      <c r="H348" s="2"/>
      <c r="I348" s="2"/>
      <c r="J348" s="4"/>
      <c r="K348" s="4"/>
      <c r="L348" s="4"/>
      <c r="M348" s="3"/>
      <c r="N348" s="3"/>
      <c r="R348" s="1"/>
      <c r="T348" s="1"/>
    </row>
    <row r="349" spans="3:20" x14ac:dyDescent="0.25">
      <c r="C349" s="6"/>
      <c r="F349" s="1"/>
      <c r="G349" s="2"/>
      <c r="H349" s="2"/>
      <c r="I349" s="2"/>
      <c r="J349" s="4"/>
      <c r="K349" s="4"/>
      <c r="L349" s="4"/>
      <c r="M349" s="3"/>
      <c r="N349" s="3"/>
      <c r="R349" s="1"/>
      <c r="T349" s="1"/>
    </row>
    <row r="350" spans="3:20" x14ac:dyDescent="0.25">
      <c r="C350" s="6"/>
      <c r="F350" s="1"/>
      <c r="G350" s="2"/>
      <c r="H350" s="2"/>
      <c r="I350" s="2"/>
      <c r="J350" s="4"/>
      <c r="K350" s="4"/>
      <c r="L350" s="4"/>
      <c r="M350" s="3"/>
      <c r="N350" s="3"/>
      <c r="R350" s="1"/>
      <c r="T350" s="1"/>
    </row>
    <row r="351" spans="3:20" x14ac:dyDescent="0.25">
      <c r="C351" s="6"/>
      <c r="F351" s="1"/>
      <c r="G351" s="2"/>
      <c r="H351" s="2"/>
      <c r="I351" s="2"/>
      <c r="J351" s="4"/>
      <c r="K351" s="4"/>
      <c r="L351" s="4"/>
      <c r="M351" s="3"/>
      <c r="N351" s="3"/>
      <c r="R351" s="1"/>
      <c r="T351" s="1"/>
    </row>
    <row r="352" spans="3:20" x14ac:dyDescent="0.25">
      <c r="C352" s="6"/>
      <c r="F352" s="1"/>
      <c r="G352" s="2"/>
      <c r="H352" s="2"/>
      <c r="I352" s="2"/>
      <c r="J352" s="4"/>
      <c r="K352" s="4"/>
      <c r="L352" s="4"/>
      <c r="M352" s="3"/>
      <c r="N352" s="3"/>
      <c r="R352" s="1"/>
      <c r="T352" s="1"/>
    </row>
    <row r="353" spans="3:20" x14ac:dyDescent="0.25">
      <c r="C353" s="6"/>
      <c r="F353" s="1"/>
      <c r="G353" s="2"/>
      <c r="H353" s="2"/>
      <c r="I353" s="2"/>
      <c r="J353" s="4"/>
      <c r="K353" s="4"/>
      <c r="L353" s="4"/>
      <c r="M353" s="3"/>
      <c r="N353" s="3"/>
      <c r="R353" s="1"/>
      <c r="T353" s="1"/>
    </row>
    <row r="354" spans="3:20" x14ac:dyDescent="0.25">
      <c r="C354" s="6"/>
      <c r="F354" s="1"/>
      <c r="G354" s="2"/>
      <c r="H354" s="2"/>
      <c r="I354" s="2"/>
      <c r="J354" s="4"/>
      <c r="K354" s="4"/>
      <c r="L354" s="4"/>
      <c r="M354" s="3"/>
      <c r="N354" s="3"/>
      <c r="R354" s="1"/>
      <c r="T354" s="1"/>
    </row>
  </sheetData>
  <mergeCells count="3">
    <mergeCell ref="A6:C6"/>
    <mergeCell ref="D6:G6"/>
    <mergeCell ref="A8:C8"/>
  </mergeCells>
  <conditionalFormatting sqref="M16">
    <cfRule type="expression" dxfId="211" priority="277" stopIfTrue="1">
      <formula>$A16="Pipe"</formula>
    </cfRule>
  </conditionalFormatting>
  <conditionalFormatting sqref="Q239:Q354 S239:S354 J239:J354 U239:U354 A239:A354 O239:O354 M239:M354">
    <cfRule type="expression" dxfId="210" priority="274">
      <formula>OR($A239="Pipe",$A239="Component",$A239="Volume")</formula>
    </cfRule>
  </conditionalFormatting>
  <conditionalFormatting sqref="T239:T354 R239:R354 E239:E354 L239:L354 P239:P354 V239:V354 N239:N354 I239:I354">
    <cfRule type="expression" dxfId="209" priority="275">
      <formula>OR($A239="Pipe",$A239="Component",$A239="Volume")</formula>
    </cfRule>
  </conditionalFormatting>
  <conditionalFormatting sqref="K239:K354 B239:D354 G239:H354">
    <cfRule type="expression" dxfId="208" priority="273">
      <formula>OR($A239="Pipe",$A239="Component",$A239="Volume")</formula>
    </cfRule>
  </conditionalFormatting>
  <conditionalFormatting sqref="U239:V354 A239:P354">
    <cfRule type="expression" dxfId="207" priority="272">
      <formula>$A239="Pipe"</formula>
    </cfRule>
  </conditionalFormatting>
  <conditionalFormatting sqref="Q239:T354">
    <cfRule type="expression" dxfId="206" priority="271">
      <formula>OR($A239="Volume",$A239="Pipe")</formula>
    </cfRule>
  </conditionalFormatting>
  <conditionalFormatting sqref="A239:V354">
    <cfRule type="expression" dxfId="205" priority="270">
      <formula>$A239="Component"</formula>
    </cfRule>
  </conditionalFormatting>
  <conditionalFormatting sqref="U239:V354 A239:P354">
    <cfRule type="expression" dxfId="204" priority="269">
      <formula>$A239="Volume"</formula>
    </cfRule>
  </conditionalFormatting>
  <conditionalFormatting sqref="J239:L354">
    <cfRule type="cellIs" dxfId="203" priority="268" operator="notEqual">
      <formula>0</formula>
    </cfRule>
  </conditionalFormatting>
  <conditionalFormatting sqref="F239:F354">
    <cfRule type="expression" dxfId="202" priority="276">
      <formula>OR($A239="Pipe",$A239="Component",$A239="Volume")</formula>
    </cfRule>
  </conditionalFormatting>
  <conditionalFormatting sqref="A237:P238">
    <cfRule type="expression" dxfId="201" priority="267">
      <formula>$A237="Pipe"</formula>
    </cfRule>
  </conditionalFormatting>
  <conditionalFormatting sqref="T237:V238">
    <cfRule type="expression" dxfId="200" priority="266">
      <formula>$A237="Pipe"</formula>
    </cfRule>
  </conditionalFormatting>
  <conditionalFormatting sqref="A237:P238">
    <cfRule type="expression" dxfId="199" priority="265">
      <formula>$A237="Volume"</formula>
    </cfRule>
  </conditionalFormatting>
  <conditionalFormatting sqref="T237:V238">
    <cfRule type="expression" dxfId="198" priority="264">
      <formula>$A237="Volume"</formula>
    </cfRule>
  </conditionalFormatting>
  <conditionalFormatting sqref="A237:V238">
    <cfRule type="expression" dxfId="197" priority="263">
      <formula>$A237="Junction"</formula>
    </cfRule>
  </conditionalFormatting>
  <conditionalFormatting sqref="A237:V238">
    <cfRule type="expression" dxfId="196" priority="262">
      <formula>$A237="Flowpath"</formula>
    </cfRule>
  </conditionalFormatting>
  <conditionalFormatting sqref="Q237:T238">
    <cfRule type="expression" dxfId="195" priority="261">
      <formula>OR($A237="Pipe",$A237="Volume")</formula>
    </cfRule>
  </conditionalFormatting>
  <conditionalFormatting sqref="J237:L238">
    <cfRule type="expression" dxfId="194" priority="260">
      <formula>AND(OR($A237="Junction",$A237="Pipe",$A237="Volume"),J237&lt;&gt;0)</formula>
    </cfRule>
  </conditionalFormatting>
  <conditionalFormatting sqref="R237:R238">
    <cfRule type="expression" dxfId="193" priority="259">
      <formula>AND($A237="Junction",ISNUMBER(R237))</formula>
    </cfRule>
  </conditionalFormatting>
  <conditionalFormatting sqref="T237:T238">
    <cfRule type="expression" dxfId="192" priority="258">
      <formula>AND($A237="Junction",ISNUMBER(T237))</formula>
    </cfRule>
  </conditionalFormatting>
  <conditionalFormatting sqref="B237:D238">
    <cfRule type="expression" dxfId="191" priority="257">
      <formula>OR($A237="Junction",$A237="Pipe",$A237="Volume")</formula>
    </cfRule>
  </conditionalFormatting>
  <conditionalFormatting sqref="F237:F238">
    <cfRule type="expression" dxfId="190" priority="256">
      <formula>OR($A237="Junction",$A237="Pipe",$A237="Volume")</formula>
    </cfRule>
  </conditionalFormatting>
  <conditionalFormatting sqref="H237:H238">
    <cfRule type="expression" dxfId="189" priority="255">
      <formula>OR($A237="Junction",$A237="Pipe",$A237="Volume")</formula>
    </cfRule>
  </conditionalFormatting>
  <conditionalFormatting sqref="K237:K238">
    <cfRule type="expression" dxfId="188" priority="254">
      <formula>OR($A237="Junction",$A237="Pipe",$A237="Volume")</formula>
    </cfRule>
  </conditionalFormatting>
  <conditionalFormatting sqref="A237:A238">
    <cfRule type="expression" dxfId="187" priority="253">
      <formula>OR($A237="Junction",$A237="Pipe",$A237="Volume")</formula>
    </cfRule>
  </conditionalFormatting>
  <conditionalFormatting sqref="G237:G238">
    <cfRule type="expression" dxfId="186" priority="252">
      <formula>OR($A237="Junction",$A237="Pipe",$A237="Volume")</formula>
    </cfRule>
  </conditionalFormatting>
  <conditionalFormatting sqref="J237:J238">
    <cfRule type="expression" dxfId="185" priority="251">
      <formula>OR($A237="Junction",$A237="Pipe",$A237="Volume")</formula>
    </cfRule>
  </conditionalFormatting>
  <conditionalFormatting sqref="M237:M238">
    <cfRule type="expression" dxfId="184" priority="250">
      <formula>OR($A237="Junction",$A237="Pipe",$A237="Volume")</formula>
    </cfRule>
  </conditionalFormatting>
  <conditionalFormatting sqref="O237:O238">
    <cfRule type="expression" dxfId="183" priority="249">
      <formula>OR($A237="Junction",$A237="Pipe",$A237="Volume")</formula>
    </cfRule>
  </conditionalFormatting>
  <conditionalFormatting sqref="Q237:Q238">
    <cfRule type="expression" dxfId="182" priority="248">
      <formula>OR($A237="Junction",$A237="Pipe",$A237="Volume")</formula>
    </cfRule>
  </conditionalFormatting>
  <conditionalFormatting sqref="S237:S238">
    <cfRule type="expression" dxfId="181" priority="247">
      <formula>OR($A237="Junction",$A237="Pipe",$A237="Volume")</formula>
    </cfRule>
  </conditionalFormatting>
  <conditionalFormatting sqref="U237:U238">
    <cfRule type="expression" dxfId="180" priority="246">
      <formula>OR($A237="Junction",$A237="Pipe",$A237="Volume")</formula>
    </cfRule>
  </conditionalFormatting>
  <conditionalFormatting sqref="E237:E238">
    <cfRule type="expression" dxfId="179" priority="245">
      <formula>OR($A237="Junction",$A237="Pipe",$A237="Volume")</formula>
    </cfRule>
  </conditionalFormatting>
  <conditionalFormatting sqref="I237:I238">
    <cfRule type="expression" dxfId="178" priority="244">
      <formula>OR($A237="Junction",$A237="Pipe",$A237="Volume")</formula>
    </cfRule>
  </conditionalFormatting>
  <conditionalFormatting sqref="L237:L238">
    <cfRule type="expression" dxfId="177" priority="243">
      <formula>OR($A237="Junction",$A237="Pipe",$A237="Volume")</formula>
    </cfRule>
  </conditionalFormatting>
  <conditionalFormatting sqref="N237:N238">
    <cfRule type="expression" dxfId="176" priority="242">
      <formula>OR($A237="Junction",$A237="Pipe",$A237="Volume")</formula>
    </cfRule>
  </conditionalFormatting>
  <conditionalFormatting sqref="P237:P238">
    <cfRule type="expression" dxfId="175" priority="241">
      <formula>OR($A237="Junction",$A237="Pipe",$A237="Volume")</formula>
    </cfRule>
  </conditionalFormatting>
  <conditionalFormatting sqref="R237:R238">
    <cfRule type="expression" dxfId="174" priority="240">
      <formula>OR($A237="Junction",$A237="Pipe",$A237="Volume")</formula>
    </cfRule>
  </conditionalFormatting>
  <conditionalFormatting sqref="T237:T238">
    <cfRule type="expression" dxfId="173" priority="239">
      <formula>OR($A237="Junction",$A237="Pipe",$A237="Volume")</formula>
    </cfRule>
  </conditionalFormatting>
  <conditionalFormatting sqref="V237:V238">
    <cfRule type="expression" dxfId="172" priority="238">
      <formula>OR($A237="Junction",$A237="Pipe",$A237="Volume")</formula>
    </cfRule>
  </conditionalFormatting>
  <conditionalFormatting sqref="A215:P236">
    <cfRule type="expression" dxfId="171" priority="237">
      <formula>$A215="Pipe"</formula>
    </cfRule>
  </conditionalFormatting>
  <conditionalFormatting sqref="T215:V236">
    <cfRule type="expression" dxfId="170" priority="236">
      <formula>$A215="Pipe"</formula>
    </cfRule>
  </conditionalFormatting>
  <conditionalFormatting sqref="A215:P236">
    <cfRule type="expression" dxfId="169" priority="235">
      <formula>$A215="Volume"</formula>
    </cfRule>
  </conditionalFormatting>
  <conditionalFormatting sqref="T215:V236">
    <cfRule type="expression" dxfId="168" priority="234">
      <formula>$A215="Volume"</formula>
    </cfRule>
  </conditionalFormatting>
  <conditionalFormatting sqref="A215:V236">
    <cfRule type="expression" dxfId="167" priority="233">
      <formula>$A215="Junction"</formula>
    </cfRule>
  </conditionalFormatting>
  <conditionalFormatting sqref="A215:V236">
    <cfRule type="expression" dxfId="166" priority="232">
      <formula>$A215="Section"</formula>
    </cfRule>
  </conditionalFormatting>
  <conditionalFormatting sqref="Q215:T236">
    <cfRule type="expression" dxfId="165" priority="231">
      <formula>OR($A215="Pipe",$A215="Volume")</formula>
    </cfRule>
  </conditionalFormatting>
  <conditionalFormatting sqref="J215:L236">
    <cfRule type="expression" dxfId="164" priority="230">
      <formula>AND(OR($A215="Junction",$A215="Pipe",$A215="Volume"),J215&lt;&gt;0)</formula>
    </cfRule>
  </conditionalFormatting>
  <conditionalFormatting sqref="R215:R236">
    <cfRule type="expression" dxfId="163" priority="229">
      <formula>AND($A215="Junction",ISNUMBER(R215))</formula>
    </cfRule>
  </conditionalFormatting>
  <conditionalFormatting sqref="T215:T236">
    <cfRule type="expression" dxfId="162" priority="228">
      <formula>AND($A215="Junction",ISNUMBER(T215))</formula>
    </cfRule>
  </conditionalFormatting>
  <conditionalFormatting sqref="B215:D236">
    <cfRule type="expression" dxfId="161" priority="227">
      <formula>OR($A215="Junction",$A215="Pipe",$A215="Volume")</formula>
    </cfRule>
  </conditionalFormatting>
  <conditionalFormatting sqref="F215:F236">
    <cfRule type="expression" dxfId="160" priority="226">
      <formula>OR($A215="Junction",$A215="Pipe",$A215="Volume")</formula>
    </cfRule>
  </conditionalFormatting>
  <conditionalFormatting sqref="H215:H236">
    <cfRule type="expression" dxfId="159" priority="225">
      <formula>OR($A215="Junction",$A215="Pipe",$A215="Volume")</formula>
    </cfRule>
  </conditionalFormatting>
  <conditionalFormatting sqref="K215:K236">
    <cfRule type="expression" dxfId="158" priority="224">
      <formula>OR($A215="Junction",$A215="Pipe",$A215="Volume")</formula>
    </cfRule>
  </conditionalFormatting>
  <conditionalFormatting sqref="A215:A236">
    <cfRule type="expression" dxfId="157" priority="223">
      <formula>OR($A215="Junction",$A215="Pipe",$A215="Volume")</formula>
    </cfRule>
  </conditionalFormatting>
  <conditionalFormatting sqref="G215:G236">
    <cfRule type="expression" dxfId="156" priority="222">
      <formula>OR($A215="Junction",$A215="Pipe",$A215="Volume")</formula>
    </cfRule>
  </conditionalFormatting>
  <conditionalFormatting sqref="J215:J236">
    <cfRule type="expression" dxfId="155" priority="221">
      <formula>OR($A215="Junction",$A215="Pipe",$A215="Volume")</formula>
    </cfRule>
  </conditionalFormatting>
  <conditionalFormatting sqref="M215:M236">
    <cfRule type="expression" dxfId="154" priority="220">
      <formula>OR($A215="Junction",$A215="Pipe",$A215="Volume")</formula>
    </cfRule>
  </conditionalFormatting>
  <conditionalFormatting sqref="O215:O236">
    <cfRule type="expression" dxfId="153" priority="219">
      <formula>OR($A215="Junction",$A215="Pipe",$A215="Volume")</formula>
    </cfRule>
  </conditionalFormatting>
  <conditionalFormatting sqref="Q215:Q236">
    <cfRule type="expression" dxfId="152" priority="207">
      <formula>AND($A215="Junction",$Q215=$D213)</formula>
    </cfRule>
    <cfRule type="expression" dxfId="151" priority="218">
      <formula>OR($A215="Junction",$A215="Pipe",$A215="Volume")</formula>
    </cfRule>
  </conditionalFormatting>
  <conditionalFormatting sqref="S215:S236">
    <cfRule type="expression" dxfId="150" priority="217">
      <formula>OR($A215="Junction",$A215="Pipe",$A215="Volume")</formula>
    </cfRule>
  </conditionalFormatting>
  <conditionalFormatting sqref="U215:U236">
    <cfRule type="expression" dxfId="149" priority="216">
      <formula>OR($A215="Junction",$A215="Pipe",$A215="Volume")</formula>
    </cfRule>
  </conditionalFormatting>
  <conditionalFormatting sqref="E215:E236">
    <cfRule type="expression" dxfId="148" priority="215">
      <formula>OR($A215="Junction",$A215="Pipe",$A215="Volume")</formula>
    </cfRule>
  </conditionalFormatting>
  <conditionalFormatting sqref="I215:I236">
    <cfRule type="expression" dxfId="147" priority="214">
      <formula>OR($A215="Junction",$A215="Pipe",$A215="Volume")</formula>
    </cfRule>
  </conditionalFormatting>
  <conditionalFormatting sqref="L215:L236">
    <cfRule type="expression" dxfId="146" priority="213">
      <formula>OR($A215="Junction",$A215="Pipe",$A215="Volume")</formula>
    </cfRule>
  </conditionalFormatting>
  <conditionalFormatting sqref="N215:N236">
    <cfRule type="expression" dxfId="145" priority="212">
      <formula>OR($A215="Junction",$A215="Pipe",$A215="Volume")</formula>
    </cfRule>
  </conditionalFormatting>
  <conditionalFormatting sqref="P215:P236">
    <cfRule type="expression" dxfId="144" priority="211">
      <formula>OR($A215="Junction",$A215="Pipe",$A215="Volume")</formula>
    </cfRule>
  </conditionalFormatting>
  <conditionalFormatting sqref="R215:R236">
    <cfRule type="expression" dxfId="143" priority="210">
      <formula>OR($A215="Junction",$A215="Pipe",$A215="Volume")</formula>
    </cfRule>
  </conditionalFormatting>
  <conditionalFormatting sqref="T215:T236">
    <cfRule type="expression" dxfId="142" priority="209">
      <formula>OR($A215="Junction",$A215="Pipe",$A215="Volume")</formula>
    </cfRule>
  </conditionalFormatting>
  <conditionalFormatting sqref="V215:V236">
    <cfRule type="expression" dxfId="141" priority="208">
      <formula>OR($A215="Junction",$A215="Pipe",$A215="Volume")</formula>
    </cfRule>
  </conditionalFormatting>
  <conditionalFormatting sqref="S215:T236">
    <cfRule type="expression" dxfId="140" priority="206">
      <formula>AND($A215="Junction",$S215=$D217,$T215="A")</formula>
    </cfRule>
  </conditionalFormatting>
  <conditionalFormatting sqref="A171:P214">
    <cfRule type="expression" dxfId="139" priority="205">
      <formula>$A171="Pipe"</formula>
    </cfRule>
  </conditionalFormatting>
  <conditionalFormatting sqref="T171:V214">
    <cfRule type="expression" dxfId="138" priority="204">
      <formula>$A171="Pipe"</formula>
    </cfRule>
  </conditionalFormatting>
  <conditionalFormatting sqref="A171:P214">
    <cfRule type="expression" dxfId="137" priority="203">
      <formula>$A171="Volume"</formula>
    </cfRule>
  </conditionalFormatting>
  <conditionalFormatting sqref="T171:V214">
    <cfRule type="expression" dxfId="136" priority="202">
      <formula>$A171="Volume"</formula>
    </cfRule>
  </conditionalFormatting>
  <conditionalFormatting sqref="A171:V214">
    <cfRule type="expression" dxfId="135" priority="201">
      <formula>$A171="Junction"</formula>
    </cfRule>
  </conditionalFormatting>
  <conditionalFormatting sqref="A171:V214">
    <cfRule type="expression" dxfId="134" priority="200">
      <formula>$A171="Section"</formula>
    </cfRule>
  </conditionalFormatting>
  <conditionalFormatting sqref="Q171:T214">
    <cfRule type="expression" dxfId="133" priority="199">
      <formula>OR($A171="Pipe",$A171="Volume")</formula>
    </cfRule>
  </conditionalFormatting>
  <conditionalFormatting sqref="S171:T214">
    <cfRule type="expression" dxfId="132" priority="198">
      <formula>AND($A171="Junction",$S171=$D173,$T171="A")</formula>
    </cfRule>
  </conditionalFormatting>
  <conditionalFormatting sqref="Q171:R214">
    <cfRule type="expression" dxfId="131" priority="197">
      <formula>AND($A171="Junction",$Q171=$D169,$R171="B")</formula>
    </cfRule>
  </conditionalFormatting>
  <conditionalFormatting sqref="R171:R214">
    <cfRule type="expression" dxfId="130" priority="196">
      <formula>AND($A171="Junction",ISNUMBER(R171))</formula>
    </cfRule>
  </conditionalFormatting>
  <conditionalFormatting sqref="T171:T214">
    <cfRule type="expression" dxfId="129" priority="195">
      <formula>AND($A171="Junction",ISNUMBER(T171))</formula>
    </cfRule>
  </conditionalFormatting>
  <conditionalFormatting sqref="A171:V214">
    <cfRule type="expression" dxfId="128" priority="194">
      <formula>OR($A171="Junction",$A171="Pipe",$A171="Volume",$A171="Section")</formula>
    </cfRule>
  </conditionalFormatting>
  <conditionalFormatting sqref="E171:E214">
    <cfRule type="expression" dxfId="127" priority="193">
      <formula>OR($A171="Junction",$A171="Pipe",$A171="Volume")</formula>
    </cfRule>
  </conditionalFormatting>
  <conditionalFormatting sqref="F171:F214">
    <cfRule type="expression" dxfId="126" priority="192">
      <formula>OR($A171="Junction",$A171="Pipe",$A171="Volume")</formula>
    </cfRule>
  </conditionalFormatting>
  <conditionalFormatting sqref="I171:I214">
    <cfRule type="expression" dxfId="125" priority="191">
      <formula>OR($A171="Junction",$A171="Pipe",$A171="Volume")</formula>
    </cfRule>
  </conditionalFormatting>
  <conditionalFormatting sqref="L171:L214">
    <cfRule type="expression" dxfId="124" priority="190">
      <formula>OR($A171="Junction",$A171="Pipe",$A171="Volume")</formula>
    </cfRule>
  </conditionalFormatting>
  <conditionalFormatting sqref="N171:N214">
    <cfRule type="expression" dxfId="123" priority="189">
      <formula>OR($A171="Junction",$A171="Pipe",$A171="Volume")</formula>
    </cfRule>
  </conditionalFormatting>
  <conditionalFormatting sqref="P171:P214">
    <cfRule type="expression" dxfId="122" priority="188">
      <formula>OR($A171="Junction",$A171="Pipe",$A171="Volume")</formula>
    </cfRule>
  </conditionalFormatting>
  <conditionalFormatting sqref="R171:R214">
    <cfRule type="expression" dxfId="121" priority="187">
      <formula>OR($A171="Junction",$A171="Pipe",$A171="Volume")</formula>
    </cfRule>
  </conditionalFormatting>
  <conditionalFormatting sqref="T171:T214">
    <cfRule type="expression" dxfId="120" priority="186">
      <formula>OR($A171="Junction",$A171="Pipe",$A171="Volume")</formula>
    </cfRule>
  </conditionalFormatting>
  <conditionalFormatting sqref="V171:V214">
    <cfRule type="expression" dxfId="119" priority="185">
      <formula>OR($A171="Junction",$A171="Pipe",$A171="Volume")</formula>
    </cfRule>
  </conditionalFormatting>
  <conditionalFormatting sqref="J171:L214">
    <cfRule type="expression" dxfId="118" priority="184">
      <formula>AND(OR($A171="Junction",$A171="Pipe",$A171="Volume"),J171&lt;&gt;0)</formula>
    </cfRule>
  </conditionalFormatting>
  <conditionalFormatting sqref="A78:P170">
    <cfRule type="expression" dxfId="117" priority="132">
      <formula>$A78="Pipe"</formula>
    </cfRule>
  </conditionalFormatting>
  <conditionalFormatting sqref="T78:V170">
    <cfRule type="expression" dxfId="116" priority="131">
      <formula>$A78="Pipe"</formula>
    </cfRule>
  </conditionalFormatting>
  <conditionalFormatting sqref="A78:P170">
    <cfRule type="expression" dxfId="115" priority="130">
      <formula>$A78="Volume"</formula>
    </cfRule>
  </conditionalFormatting>
  <conditionalFormatting sqref="T78:V170">
    <cfRule type="expression" dxfId="114" priority="129">
      <formula>$A78="Volume"</formula>
    </cfRule>
  </conditionalFormatting>
  <conditionalFormatting sqref="A78:V170">
    <cfRule type="expression" dxfId="113" priority="128">
      <formula>$A78="Junction"</formula>
    </cfRule>
  </conditionalFormatting>
  <conditionalFormatting sqref="A78:V170">
    <cfRule type="expression" dxfId="112" priority="127">
      <formula>$A78="Section"</formula>
    </cfRule>
  </conditionalFormatting>
  <conditionalFormatting sqref="Q78:T170">
    <cfRule type="expression" dxfId="111" priority="126">
      <formula>OR($A78="Pipe",$A78="Volume")</formula>
    </cfRule>
  </conditionalFormatting>
  <conditionalFormatting sqref="S78:T170">
    <cfRule type="expression" dxfId="110" priority="125">
      <formula>AND($A78="Junction",$S78=$D80,$T78="A",ISTEXT($D80))</formula>
    </cfRule>
  </conditionalFormatting>
  <conditionalFormatting sqref="Q78:R170">
    <cfRule type="expression" dxfId="109" priority="124">
      <formula>AND($A78="Junction",$Q78=$D76,$R78="B",ISTEXT($D76))</formula>
    </cfRule>
  </conditionalFormatting>
  <conditionalFormatting sqref="R78:R170">
    <cfRule type="expression" dxfId="108" priority="123">
      <formula>AND($A78="Junction",ISNUMBER($R78))</formula>
    </cfRule>
  </conditionalFormatting>
  <conditionalFormatting sqref="T78:T170">
    <cfRule type="expression" dxfId="107" priority="122">
      <formula>AND($A78="Junction",ISNUMBER($T78))</formula>
    </cfRule>
  </conditionalFormatting>
  <conditionalFormatting sqref="A78:V170">
    <cfRule type="expression" dxfId="106" priority="121">
      <formula>OR($A78="Pipe",$A78="Volume",$A78="Junction",$A78="Section")</formula>
    </cfRule>
  </conditionalFormatting>
  <conditionalFormatting sqref="E78:E170">
    <cfRule type="expression" dxfId="105" priority="120">
      <formula>OR($A78="Pipe",$A78="Volume",$A78="Junction")</formula>
    </cfRule>
  </conditionalFormatting>
  <conditionalFormatting sqref="F78:F170">
    <cfRule type="expression" dxfId="104" priority="119">
      <formula>OR($A78="Pipe",$A78="Volume",$A78="Junction")</formula>
    </cfRule>
  </conditionalFormatting>
  <conditionalFormatting sqref="I78:I170">
    <cfRule type="expression" dxfId="103" priority="118">
      <formula>OR($A78="Pipe",$A78="Volume",$A78="Junction")</formula>
    </cfRule>
  </conditionalFormatting>
  <conditionalFormatting sqref="L78:L170">
    <cfRule type="expression" dxfId="102" priority="117">
      <formula>OR($A78="Pipe",$A78="Volume",$A78="Junction")</formula>
    </cfRule>
  </conditionalFormatting>
  <conditionalFormatting sqref="N78:N170">
    <cfRule type="expression" dxfId="101" priority="116">
      <formula>OR($A78="Pipe",$A78="Volume",$A78="Junction")</formula>
    </cfRule>
  </conditionalFormatting>
  <conditionalFormatting sqref="P78:P170">
    <cfRule type="expression" dxfId="100" priority="115">
      <formula>OR($A78="Pipe",$A78="Volume",$A78="Junction")</formula>
    </cfRule>
  </conditionalFormatting>
  <conditionalFormatting sqref="R78:R170">
    <cfRule type="expression" dxfId="99" priority="114">
      <formula>OR($A78="Pipe",$A78="Volume",$A78="Junction")</formula>
    </cfRule>
  </conditionalFormatting>
  <conditionalFormatting sqref="T78:T170">
    <cfRule type="expression" dxfId="98" priority="113">
      <formula>OR($A78="Pipe",$A78="Volume",$A78="Junction")</formula>
    </cfRule>
  </conditionalFormatting>
  <conditionalFormatting sqref="V78:V170">
    <cfRule type="expression" dxfId="97" priority="112">
      <formula>OR($A78="Pipe",$A78="Volume",$A78="Junction")</formula>
    </cfRule>
  </conditionalFormatting>
  <conditionalFormatting sqref="J78:L170">
    <cfRule type="expression" dxfId="96" priority="111">
      <formula>AND(OR($A78="Pipe",$A78="Volume",$A78="Junction"),J78&lt;&gt;0)</formula>
    </cfRule>
  </conditionalFormatting>
  <conditionalFormatting sqref="A58:P77">
    <cfRule type="expression" dxfId="95" priority="110">
      <formula>$A58="Pipe"</formula>
    </cfRule>
    <cfRule type="expression" dxfId="94" priority="108">
      <formula>$A58="Volume"</formula>
    </cfRule>
  </conditionalFormatting>
  <conditionalFormatting sqref="T58:V77">
    <cfRule type="expression" dxfId="93" priority="109">
      <formula>$A58="Pipe"</formula>
    </cfRule>
    <cfRule type="expression" dxfId="92" priority="107">
      <formula>$A58="Volume"</formula>
    </cfRule>
  </conditionalFormatting>
  <conditionalFormatting sqref="A58:V77">
    <cfRule type="expression" dxfId="91" priority="106">
      <formula>$A58="Junction"</formula>
    </cfRule>
    <cfRule type="expression" dxfId="90" priority="105">
      <formula>$A58="Section"</formula>
    </cfRule>
    <cfRule type="expression" dxfId="89" priority="99">
      <formula>OR($A58="Pipe",$A58="Volume",$A58="Junction",$A58="Section")</formula>
    </cfRule>
  </conditionalFormatting>
  <conditionalFormatting sqref="Q58:T77">
    <cfRule type="expression" dxfId="88" priority="104">
      <formula>OR($A58="Pipe",$A58="Volume")</formula>
    </cfRule>
  </conditionalFormatting>
  <conditionalFormatting sqref="S58:T77">
    <cfRule type="expression" dxfId="87" priority="103">
      <formula>AND($A58="Junction",$S58=$D60,$T58="A",ISTEXT($D60))</formula>
    </cfRule>
  </conditionalFormatting>
  <conditionalFormatting sqref="Q58:R77">
    <cfRule type="expression" dxfId="86" priority="102">
      <formula>AND($A58="Junction",$Q58=$D56,$R58="B",ISTEXT($D56))</formula>
    </cfRule>
  </conditionalFormatting>
  <conditionalFormatting sqref="R58:R77">
    <cfRule type="expression" dxfId="85" priority="101">
      <formula>AND($A58="Junction",ISNUMBER($R58))</formula>
    </cfRule>
    <cfRule type="expression" dxfId="84" priority="92">
      <formula>OR($A58="Pipe",$A58="Volume",$A58="Junction")</formula>
    </cfRule>
  </conditionalFormatting>
  <conditionalFormatting sqref="T58:T77">
    <cfRule type="expression" dxfId="83" priority="100">
      <formula>AND($A58="Junction",ISNUMBER($T58))</formula>
    </cfRule>
    <cfRule type="expression" dxfId="82" priority="91">
      <formula>OR($A58="Pipe",$A58="Volume",$A58="Junction")</formula>
    </cfRule>
  </conditionalFormatting>
  <conditionalFormatting sqref="E58:E77">
    <cfRule type="expression" dxfId="81" priority="98">
      <formula>OR($A58="Pipe",$A58="Volume",$A58="Junction")</formula>
    </cfRule>
  </conditionalFormatting>
  <conditionalFormatting sqref="F58:F77">
    <cfRule type="expression" dxfId="80" priority="97">
      <formula>OR($A58="Pipe",$A58="Volume",$A58="Junction")</formula>
    </cfRule>
  </conditionalFormatting>
  <conditionalFormatting sqref="I58:I77">
    <cfRule type="expression" dxfId="79" priority="96">
      <formula>OR($A58="Pipe",$A58="Volume",$A58="Junction")</formula>
    </cfRule>
  </conditionalFormatting>
  <conditionalFormatting sqref="L58:L77">
    <cfRule type="expression" dxfId="78" priority="95">
      <formula>OR($A58="Pipe",$A58="Volume",$A58="Junction")</formula>
    </cfRule>
  </conditionalFormatting>
  <conditionalFormatting sqref="N58:N77">
    <cfRule type="expression" dxfId="77" priority="94">
      <formula>OR($A58="Pipe",$A58="Volume",$A58="Junction")</formula>
    </cfRule>
  </conditionalFormatting>
  <conditionalFormatting sqref="P58:P77">
    <cfRule type="expression" dxfId="76" priority="93">
      <formula>OR($A58="Pipe",$A58="Volume",$A58="Junction")</formula>
    </cfRule>
  </conditionalFormatting>
  <conditionalFormatting sqref="V58:V77">
    <cfRule type="expression" dxfId="75" priority="90">
      <formula>OR($A58="Pipe",$A58="Volume",$A58="Junction")</formula>
    </cfRule>
  </conditionalFormatting>
  <conditionalFormatting sqref="J58:L77">
    <cfRule type="expression" dxfId="74" priority="89">
      <formula>AND(OR($A58="Pipe",$A58="Volume",$A58="Junction"),J58&lt;&gt;0)</formula>
    </cfRule>
  </conditionalFormatting>
  <conditionalFormatting sqref="A30:P57">
    <cfRule type="expression" dxfId="73" priority="22">
      <formula>$A30="Pipe"</formula>
    </cfRule>
    <cfRule type="expression" dxfId="72" priority="20">
      <formula>$A30="Volume"</formula>
    </cfRule>
  </conditionalFormatting>
  <conditionalFormatting sqref="T30:V57">
    <cfRule type="expression" dxfId="71" priority="21">
      <formula>$A30="Pipe"</formula>
    </cfRule>
    <cfRule type="expression" dxfId="70" priority="19">
      <formula>$A30="Volume"</formula>
    </cfRule>
  </conditionalFormatting>
  <conditionalFormatting sqref="A30:V57">
    <cfRule type="expression" dxfId="69" priority="18">
      <formula>$A30="Junction"</formula>
    </cfRule>
    <cfRule type="expression" dxfId="68" priority="17">
      <formula>$A30="Section"</formula>
    </cfRule>
    <cfRule type="expression" dxfId="67" priority="11">
      <formula>OR($A30="Pipe",$A30="Volume",$A30="Junction",$A30="Section")</formula>
    </cfRule>
  </conditionalFormatting>
  <conditionalFormatting sqref="Q30:T57">
    <cfRule type="expression" dxfId="66" priority="16">
      <formula>OR($A30="Pipe",$A30="Volume")</formula>
    </cfRule>
  </conditionalFormatting>
  <conditionalFormatting sqref="S30:T57">
    <cfRule type="expression" dxfId="65" priority="15">
      <formula>AND($A30="Junction",$S30=$D32,$T30="A",ISTEXT($D32))</formula>
    </cfRule>
  </conditionalFormatting>
  <conditionalFormatting sqref="Q30:R57">
    <cfRule type="expression" dxfId="64" priority="14">
      <formula>AND($A30="Junction",$Q30=$D28,$R30="B",ISTEXT($D28))</formula>
    </cfRule>
  </conditionalFormatting>
  <conditionalFormatting sqref="R30:R57">
    <cfRule type="expression" dxfId="63" priority="13">
      <formula>AND($A30="Junction",ISNUMBER($R30))</formula>
    </cfRule>
    <cfRule type="expression" dxfId="62" priority="4">
      <formula>OR($A30="Pipe",$A30="Volume",$A30="Junction")</formula>
    </cfRule>
  </conditionalFormatting>
  <conditionalFormatting sqref="T30:T57">
    <cfRule type="expression" dxfId="61" priority="12">
      <formula>AND($A30="Junction",ISNUMBER($T30))</formula>
    </cfRule>
    <cfRule type="expression" dxfId="60" priority="3">
      <formula>OR($A30="Pipe",$A30="Volume",$A30="Junction")</formula>
    </cfRule>
  </conditionalFormatting>
  <conditionalFormatting sqref="E30:E57">
    <cfRule type="expression" dxfId="59" priority="10">
      <formula>OR($A30="Pipe",$A30="Volume",$A30="Junction")</formula>
    </cfRule>
  </conditionalFormatting>
  <conditionalFormatting sqref="F30:F57">
    <cfRule type="expression" dxfId="58" priority="9">
      <formula>OR($A30="Pipe",$A30="Volume",$A30="Junction")</formula>
    </cfRule>
  </conditionalFormatting>
  <conditionalFormatting sqref="I30:I57">
    <cfRule type="expression" dxfId="57" priority="8">
      <formula>OR($A30="Pipe",$A30="Volume",$A30="Junction")</formula>
    </cfRule>
  </conditionalFormatting>
  <conditionalFormatting sqref="L30:L57">
    <cfRule type="expression" dxfId="56" priority="7">
      <formula>OR($A30="Pipe",$A30="Volume",$A30="Junction")</formula>
    </cfRule>
  </conditionalFormatting>
  <conditionalFormatting sqref="N30:N57">
    <cfRule type="expression" dxfId="55" priority="6">
      <formula>OR($A30="Pipe",$A30="Volume",$A30="Junction")</formula>
    </cfRule>
  </conditionalFormatting>
  <conditionalFormatting sqref="P30:P57">
    <cfRule type="expression" dxfId="54" priority="5">
      <formula>OR($A30="Pipe",$A30="Volume",$A30="Junction")</formula>
    </cfRule>
  </conditionalFormatting>
  <conditionalFormatting sqref="V30:V57">
    <cfRule type="expression" dxfId="53" priority="2">
      <formula>OR($A30="Pipe",$A30="Volume",$A30="Junction")</formula>
    </cfRule>
  </conditionalFormatting>
  <conditionalFormatting sqref="J30:L57">
    <cfRule type="expression" dxfId="52" priority="1">
      <formula>AND(OR($A30="Pipe",$A30="Volume",$A30="Junction"),J30&lt;&gt;0)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"""..\XlsPipePlot.exe""",C:\Danne\Kodning\XlsPipePlot_2sep\bin\XlsPipePlot.exe</x12ac:list>
        </mc:Choice>
        <mc:Fallback>
          <formula1>"""..\XlsPipePlot.exe"",C:\Danne\Kodning\XlsPipePlot_2sep\bin\XlsPipePlot.exe"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371475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3:V39"/>
  <sheetViews>
    <sheetView workbookViewId="0">
      <selection activeCell="I10" sqref="I10"/>
    </sheetView>
  </sheetViews>
  <sheetFormatPr defaultRowHeight="15" x14ac:dyDescent="0.25"/>
  <sheetData>
    <row r="3" spans="1:22" x14ac:dyDescent="0.25">
      <c r="A3" s="7" t="s">
        <v>7</v>
      </c>
      <c r="B3" s="7"/>
      <c r="C3" s="7"/>
      <c r="D3" s="7"/>
      <c r="E3" s="7"/>
      <c r="F3" s="31"/>
      <c r="G3" s="32"/>
      <c r="H3" s="32"/>
      <c r="I3" s="32"/>
      <c r="J3" s="29"/>
      <c r="K3" s="29"/>
      <c r="L3" s="29"/>
      <c r="M3" s="33"/>
      <c r="N3" s="33"/>
      <c r="O3" s="7"/>
      <c r="P3" s="7"/>
      <c r="Q3" s="7"/>
      <c r="R3" s="31"/>
      <c r="S3" s="7"/>
      <c r="T3" s="31"/>
      <c r="U3" s="7"/>
      <c r="V3" s="7"/>
    </row>
    <row r="4" spans="1:22" x14ac:dyDescent="0.25">
      <c r="A4" s="7"/>
      <c r="B4" s="7"/>
      <c r="C4" s="7"/>
      <c r="D4" s="7"/>
      <c r="E4" s="7"/>
      <c r="F4" s="31"/>
      <c r="G4" s="32"/>
      <c r="H4" s="32"/>
      <c r="I4" s="32"/>
      <c r="J4" s="29"/>
      <c r="K4" s="29"/>
      <c r="L4" s="29"/>
      <c r="M4" s="33"/>
      <c r="N4" s="33"/>
      <c r="O4" s="7"/>
      <c r="P4" s="7"/>
      <c r="Q4" s="7"/>
      <c r="R4" s="31"/>
      <c r="S4" s="7"/>
      <c r="T4" s="31"/>
      <c r="U4" s="7"/>
      <c r="V4" s="7"/>
    </row>
    <row r="5" spans="1:22" x14ac:dyDescent="0.25">
      <c r="A5" s="7"/>
      <c r="B5" s="7"/>
      <c r="C5" s="7"/>
      <c r="D5" s="7"/>
      <c r="E5" s="7"/>
      <c r="F5" s="31"/>
      <c r="G5" s="32"/>
      <c r="H5" s="32"/>
      <c r="I5" s="32"/>
      <c r="J5" s="29"/>
      <c r="K5" s="29"/>
      <c r="L5" s="29"/>
      <c r="M5" s="33"/>
      <c r="N5" s="33"/>
      <c r="O5" s="7"/>
      <c r="P5" s="7"/>
      <c r="Q5" s="7"/>
      <c r="R5" s="31"/>
      <c r="S5" s="7"/>
      <c r="T5" s="31"/>
      <c r="U5" s="7"/>
      <c r="V5" s="7"/>
    </row>
    <row r="6" spans="1:22" x14ac:dyDescent="0.25">
      <c r="A6" s="7"/>
      <c r="B6" s="7"/>
      <c r="C6" s="7"/>
      <c r="D6" s="7"/>
      <c r="E6" s="7"/>
      <c r="F6" s="31"/>
      <c r="G6" s="32"/>
      <c r="H6" s="32"/>
      <c r="I6" s="32"/>
      <c r="J6" s="29"/>
      <c r="K6" s="29"/>
      <c r="L6" s="29"/>
      <c r="M6" s="33"/>
      <c r="N6" s="33"/>
      <c r="O6" s="7"/>
      <c r="P6" s="7"/>
      <c r="Q6" s="7"/>
      <c r="R6" s="31"/>
      <c r="S6" s="7"/>
      <c r="T6" s="31"/>
      <c r="U6" s="7"/>
      <c r="V6" s="7"/>
    </row>
    <row r="7" spans="1:22" x14ac:dyDescent="0.25">
      <c r="A7" s="7"/>
      <c r="B7" s="7"/>
      <c r="C7" s="7"/>
      <c r="D7" s="7"/>
      <c r="E7" s="7"/>
      <c r="F7" s="31"/>
      <c r="G7" s="32"/>
      <c r="H7" s="32"/>
      <c r="I7" s="32"/>
      <c r="J7" s="29"/>
      <c r="K7" s="29"/>
      <c r="L7" s="29"/>
      <c r="M7" s="33"/>
      <c r="N7" s="33"/>
      <c r="O7" s="7"/>
      <c r="P7" s="7"/>
      <c r="Q7" s="7"/>
      <c r="R7" s="31"/>
      <c r="S7" s="7"/>
      <c r="T7" s="31"/>
      <c r="U7" s="7"/>
      <c r="V7" s="7"/>
    </row>
    <row r="8" spans="1:22" x14ac:dyDescent="0.25">
      <c r="A8" s="7"/>
      <c r="B8" s="7"/>
      <c r="C8" s="7"/>
      <c r="D8" s="7"/>
      <c r="E8" s="7"/>
      <c r="F8" s="31"/>
      <c r="G8" s="32"/>
      <c r="H8" s="32"/>
      <c r="I8" s="32"/>
      <c r="J8" s="29"/>
      <c r="K8" s="29"/>
      <c r="L8" s="29"/>
      <c r="M8" s="33"/>
      <c r="N8" s="33"/>
      <c r="O8" s="7"/>
      <c r="P8" s="7"/>
      <c r="Q8" s="7"/>
      <c r="R8" s="31"/>
      <c r="S8" s="7"/>
      <c r="T8" s="31"/>
      <c r="U8" s="7"/>
      <c r="V8" s="7"/>
    </row>
    <row r="9" spans="1:22" x14ac:dyDescent="0.25">
      <c r="A9" s="7"/>
      <c r="B9" s="7"/>
      <c r="C9" s="7"/>
      <c r="D9" s="7"/>
      <c r="E9" s="7"/>
      <c r="F9" s="31"/>
      <c r="G9" s="32"/>
      <c r="H9" s="32"/>
      <c r="I9" s="32"/>
      <c r="J9" s="29"/>
      <c r="K9" s="29"/>
      <c r="L9" s="29"/>
      <c r="M9" s="33"/>
      <c r="N9" s="33"/>
      <c r="O9" s="7"/>
      <c r="P9" s="7"/>
      <c r="Q9" s="7"/>
      <c r="R9" s="31"/>
      <c r="S9" s="7"/>
      <c r="T9" s="31"/>
      <c r="U9" s="7"/>
      <c r="V9" s="7"/>
    </row>
    <row r="10" spans="1:22" x14ac:dyDescent="0.25">
      <c r="A10" s="7"/>
      <c r="B10" s="7"/>
      <c r="C10" s="7"/>
      <c r="D10" s="7"/>
      <c r="E10" s="7"/>
      <c r="F10" s="31"/>
      <c r="G10" s="32"/>
      <c r="H10" s="32"/>
      <c r="I10" s="32"/>
      <c r="J10" s="29"/>
      <c r="K10" s="29"/>
      <c r="L10" s="29"/>
      <c r="M10" s="33"/>
      <c r="N10" s="33"/>
      <c r="O10" s="7"/>
      <c r="P10" s="7"/>
      <c r="Q10" s="7"/>
      <c r="R10" s="31"/>
      <c r="S10" s="7"/>
      <c r="T10" s="31"/>
      <c r="U10" s="7"/>
      <c r="V10" s="7"/>
    </row>
    <row r="11" spans="1:22" x14ac:dyDescent="0.25">
      <c r="A11" s="7"/>
      <c r="B11" s="7"/>
      <c r="C11" s="7"/>
      <c r="D11" s="7"/>
      <c r="E11" s="7"/>
      <c r="F11" s="31"/>
      <c r="G11" s="32"/>
      <c r="H11" s="32"/>
      <c r="I11" s="32"/>
      <c r="J11" s="29"/>
      <c r="K11" s="29"/>
      <c r="L11" s="29"/>
      <c r="M11" s="33"/>
      <c r="N11" s="33"/>
      <c r="O11" s="7"/>
      <c r="P11" s="7"/>
      <c r="Q11" s="7"/>
      <c r="R11" s="31"/>
      <c r="S11" s="7"/>
      <c r="T11" s="31"/>
      <c r="U11" s="7"/>
      <c r="V11" s="7"/>
    </row>
    <row r="12" spans="1:22" x14ac:dyDescent="0.25">
      <c r="A12" s="7"/>
      <c r="B12" s="7"/>
      <c r="C12" s="7"/>
      <c r="D12" s="7"/>
      <c r="E12" s="7"/>
      <c r="F12" s="31"/>
      <c r="G12" s="32"/>
      <c r="H12" s="32"/>
      <c r="I12" s="32"/>
      <c r="J12" s="29"/>
      <c r="K12" s="29"/>
      <c r="L12" s="29"/>
      <c r="M12" s="33"/>
      <c r="N12" s="33"/>
      <c r="O12" s="7"/>
      <c r="P12" s="7"/>
      <c r="Q12" s="7"/>
      <c r="R12" s="31"/>
      <c r="S12" s="7"/>
      <c r="T12" s="31"/>
      <c r="U12" s="7"/>
      <c r="V12" s="7"/>
    </row>
    <row r="13" spans="1:22" x14ac:dyDescent="0.25">
      <c r="A13" s="7"/>
      <c r="B13" s="7"/>
      <c r="C13" s="7"/>
      <c r="D13" s="7"/>
      <c r="E13" s="7"/>
      <c r="F13" s="31"/>
      <c r="G13" s="32"/>
      <c r="H13" s="32"/>
      <c r="I13" s="32"/>
      <c r="J13" s="29"/>
      <c r="K13" s="29"/>
      <c r="L13" s="29"/>
      <c r="M13" s="33"/>
      <c r="N13" s="33"/>
      <c r="O13" s="7"/>
      <c r="P13" s="7"/>
      <c r="Q13" s="7"/>
      <c r="R13" s="31"/>
      <c r="S13" s="7"/>
      <c r="T13" s="31"/>
      <c r="U13" s="7"/>
      <c r="V13" s="7"/>
    </row>
    <row r="14" spans="1:22" x14ac:dyDescent="0.25">
      <c r="A14" s="7"/>
      <c r="B14" s="7"/>
      <c r="C14" s="7"/>
      <c r="D14" s="7"/>
      <c r="E14" s="7"/>
      <c r="F14" s="31"/>
      <c r="G14" s="32"/>
      <c r="H14" s="32"/>
      <c r="I14" s="32"/>
      <c r="J14" s="29"/>
      <c r="K14" s="29"/>
      <c r="L14" s="29"/>
      <c r="M14" s="33"/>
      <c r="N14" s="33"/>
      <c r="O14" s="7"/>
      <c r="P14" s="7"/>
      <c r="Q14" s="7"/>
      <c r="R14" s="31"/>
      <c r="S14" s="7"/>
      <c r="T14" s="31"/>
      <c r="U14" s="7"/>
      <c r="V14" s="7"/>
    </row>
    <row r="15" spans="1:22" x14ac:dyDescent="0.25">
      <c r="A15" s="7"/>
      <c r="B15" s="7"/>
      <c r="C15" s="7"/>
      <c r="D15" s="7"/>
      <c r="E15" s="7"/>
      <c r="F15" s="31"/>
      <c r="G15" s="32"/>
      <c r="H15" s="32"/>
      <c r="I15" s="32"/>
      <c r="J15" s="29"/>
      <c r="K15" s="29"/>
      <c r="L15" s="29"/>
      <c r="M15" s="33"/>
      <c r="N15" s="33"/>
      <c r="O15" s="7"/>
      <c r="P15" s="7"/>
      <c r="Q15" s="7"/>
      <c r="R15" s="31"/>
      <c r="S15" s="7"/>
      <c r="T15" s="31"/>
      <c r="U15" s="7"/>
      <c r="V15" s="7"/>
    </row>
    <row r="16" spans="1:22" x14ac:dyDescent="0.25">
      <c r="A16" s="7"/>
      <c r="B16" s="7"/>
      <c r="C16" s="7"/>
      <c r="D16" s="7"/>
      <c r="E16" s="7"/>
      <c r="F16" s="31"/>
      <c r="G16" s="32"/>
      <c r="H16" s="32"/>
      <c r="I16" s="32"/>
      <c r="J16" s="29"/>
      <c r="K16" s="29"/>
      <c r="L16" s="29"/>
      <c r="M16" s="33"/>
      <c r="N16" s="33"/>
      <c r="O16" s="7"/>
      <c r="P16" s="7"/>
      <c r="Q16" s="7"/>
      <c r="R16" s="31"/>
      <c r="S16" s="7"/>
      <c r="T16" s="31"/>
      <c r="U16" s="7"/>
      <c r="V16" s="7"/>
    </row>
    <row r="17" spans="1:22" x14ac:dyDescent="0.25">
      <c r="A17" s="7"/>
      <c r="B17" s="7"/>
      <c r="C17" s="7"/>
      <c r="D17" s="7"/>
      <c r="E17" s="7"/>
      <c r="F17" s="31"/>
      <c r="G17" s="32"/>
      <c r="H17" s="32"/>
      <c r="I17" s="32"/>
      <c r="J17" s="29"/>
      <c r="K17" s="29"/>
      <c r="L17" s="29"/>
      <c r="M17" s="33"/>
      <c r="N17" s="33"/>
      <c r="O17" s="7"/>
      <c r="P17" s="7"/>
      <c r="Q17" s="7"/>
      <c r="R17" s="31"/>
      <c r="S17" s="7"/>
      <c r="T17" s="31"/>
      <c r="U17" s="7"/>
      <c r="V17" s="7"/>
    </row>
    <row r="18" spans="1:22" x14ac:dyDescent="0.25">
      <c r="A18" s="7"/>
      <c r="B18" s="7"/>
      <c r="C18" s="7"/>
      <c r="D18" s="7"/>
      <c r="E18" s="7"/>
      <c r="F18" s="31"/>
      <c r="G18" s="32"/>
      <c r="H18" s="32"/>
      <c r="I18" s="32"/>
      <c r="J18" s="29"/>
      <c r="K18" s="29"/>
      <c r="L18" s="29"/>
      <c r="M18" s="33"/>
      <c r="N18" s="33"/>
      <c r="O18" s="7"/>
      <c r="P18" s="7"/>
      <c r="Q18" s="7"/>
      <c r="R18" s="31"/>
      <c r="S18" s="7"/>
      <c r="T18" s="31"/>
      <c r="U18" s="7"/>
      <c r="V18" s="7"/>
    </row>
    <row r="19" spans="1:22" x14ac:dyDescent="0.25">
      <c r="A19" s="7"/>
      <c r="B19" s="7"/>
      <c r="C19" s="7"/>
      <c r="D19" s="7"/>
      <c r="E19" s="7"/>
      <c r="F19" s="31"/>
      <c r="G19" s="32"/>
      <c r="H19" s="32"/>
      <c r="I19" s="32"/>
      <c r="J19" s="29"/>
      <c r="K19" s="29"/>
      <c r="L19" s="29"/>
      <c r="M19" s="33"/>
      <c r="N19" s="33"/>
      <c r="O19" s="7"/>
      <c r="P19" s="7"/>
      <c r="Q19" s="7"/>
      <c r="R19" s="31"/>
      <c r="S19" s="7"/>
      <c r="T19" s="31"/>
      <c r="U19" s="7"/>
      <c r="V19" s="7"/>
    </row>
    <row r="20" spans="1:22" x14ac:dyDescent="0.25">
      <c r="A20" s="7"/>
      <c r="B20" s="7"/>
      <c r="C20" s="7"/>
      <c r="D20" s="7"/>
      <c r="E20" s="7"/>
      <c r="F20" s="31"/>
      <c r="G20" s="32"/>
      <c r="H20" s="32"/>
      <c r="I20" s="32"/>
      <c r="J20" s="29"/>
      <c r="K20" s="29"/>
      <c r="L20" s="29"/>
      <c r="M20" s="33"/>
      <c r="N20" s="33"/>
      <c r="O20" s="7"/>
      <c r="P20" s="7"/>
      <c r="Q20" s="7"/>
      <c r="R20" s="31"/>
      <c r="S20" s="7"/>
      <c r="T20" s="31"/>
      <c r="U20" s="7"/>
      <c r="V20" s="7"/>
    </row>
    <row r="21" spans="1:22" x14ac:dyDescent="0.25">
      <c r="A21" s="7"/>
      <c r="B21" s="7"/>
      <c r="C21" s="7"/>
      <c r="D21" s="7"/>
      <c r="E21" s="7"/>
      <c r="F21" s="31"/>
      <c r="G21" s="32"/>
      <c r="H21" s="32"/>
      <c r="I21" s="32"/>
      <c r="J21" s="29"/>
      <c r="K21" s="29"/>
      <c r="L21" s="29"/>
      <c r="M21" s="33"/>
      <c r="N21" s="33"/>
      <c r="O21" s="7"/>
      <c r="P21" s="7"/>
      <c r="Q21" s="7"/>
      <c r="R21" s="31"/>
      <c r="S21" s="7"/>
      <c r="T21" s="31"/>
      <c r="U21" s="7"/>
      <c r="V21" s="7"/>
    </row>
    <row r="22" spans="1:22" x14ac:dyDescent="0.25">
      <c r="A22" s="7"/>
      <c r="B22" s="7"/>
      <c r="C22" s="7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7"/>
      <c r="P22" s="7"/>
      <c r="Q22" s="7"/>
      <c r="R22" s="31"/>
      <c r="S22" s="7"/>
      <c r="T22" s="31"/>
      <c r="U22" s="7"/>
      <c r="V22" s="7"/>
    </row>
    <row r="23" spans="1:22" x14ac:dyDescent="0.25">
      <c r="A23" s="7"/>
      <c r="B23" s="7"/>
      <c r="C23" s="7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7"/>
      <c r="P23" s="7"/>
      <c r="Q23" s="7"/>
      <c r="R23" s="31"/>
      <c r="S23" s="7"/>
      <c r="T23" s="31"/>
      <c r="U23" s="7"/>
      <c r="V23" s="7"/>
    </row>
    <row r="24" spans="1:22" x14ac:dyDescent="0.25">
      <c r="A24" s="7"/>
      <c r="B24" s="7"/>
      <c r="C24" s="7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7"/>
      <c r="P24" s="7"/>
      <c r="Q24" s="7"/>
      <c r="R24" s="31"/>
      <c r="S24" s="7"/>
      <c r="T24" s="31"/>
      <c r="U24" s="7"/>
      <c r="V24" s="7"/>
    </row>
    <row r="25" spans="1:22" x14ac:dyDescent="0.25">
      <c r="A25" s="7"/>
      <c r="B25" s="7"/>
      <c r="C25" s="7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7"/>
      <c r="P25" s="7"/>
      <c r="Q25" s="7"/>
      <c r="R25" s="31"/>
      <c r="S25" s="7"/>
      <c r="T25" s="31"/>
      <c r="U25" s="7"/>
      <c r="V25" s="7"/>
    </row>
    <row r="26" spans="1:22" x14ac:dyDescent="0.25">
      <c r="A26" s="7"/>
      <c r="B26" s="7"/>
      <c r="C26" s="7"/>
      <c r="D26" s="7"/>
      <c r="E26" s="7"/>
      <c r="F26" s="31"/>
      <c r="G26" s="32"/>
      <c r="H26" s="32"/>
      <c r="I26" s="32"/>
      <c r="J26" s="29"/>
      <c r="K26" s="29"/>
      <c r="L26" s="29"/>
      <c r="M26" s="33"/>
      <c r="N26" s="33"/>
      <c r="O26" s="7"/>
      <c r="P26" s="7"/>
      <c r="Q26" s="7"/>
      <c r="R26" s="31"/>
      <c r="S26" s="7"/>
      <c r="T26" s="31"/>
      <c r="U26" s="7"/>
      <c r="V26" s="7"/>
    </row>
    <row r="27" spans="1:22" x14ac:dyDescent="0.25">
      <c r="A27" s="7"/>
      <c r="B27" s="7"/>
      <c r="C27" s="7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7"/>
      <c r="P27" s="7"/>
      <c r="Q27" s="7"/>
      <c r="R27" s="31"/>
      <c r="S27" s="7"/>
      <c r="T27" s="31"/>
      <c r="U27" s="7"/>
      <c r="V27" s="7"/>
    </row>
    <row r="28" spans="1:22" x14ac:dyDescent="0.25">
      <c r="A28" s="7"/>
      <c r="B28" s="7"/>
      <c r="C28" s="7"/>
      <c r="D28" s="7"/>
      <c r="E28" s="7"/>
      <c r="F28" s="31"/>
      <c r="G28" s="32"/>
      <c r="H28" s="32"/>
      <c r="I28" s="32"/>
      <c r="J28" s="29"/>
      <c r="K28" s="29"/>
      <c r="L28" s="29"/>
      <c r="M28" s="33"/>
      <c r="N28" s="33"/>
      <c r="O28" s="7"/>
      <c r="P28" s="7"/>
      <c r="Q28" s="7"/>
      <c r="R28" s="31"/>
      <c r="S28" s="7"/>
      <c r="T28" s="31"/>
      <c r="U28" s="7"/>
      <c r="V28" s="7"/>
    </row>
    <row r="29" spans="1:22" x14ac:dyDescent="0.25">
      <c r="A29" s="7"/>
      <c r="B29" s="7"/>
      <c r="C29" s="7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7"/>
      <c r="P29" s="7"/>
      <c r="Q29" s="7"/>
      <c r="R29" s="31"/>
      <c r="S29" s="7"/>
      <c r="T29" s="31"/>
      <c r="U29" s="7"/>
      <c r="V29" s="7"/>
    </row>
    <row r="30" spans="1:22" x14ac:dyDescent="0.25">
      <c r="A30" s="7"/>
      <c r="B30" s="7"/>
      <c r="C30" s="7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7"/>
      <c r="P30" s="7"/>
      <c r="Q30" s="7"/>
      <c r="R30" s="31"/>
      <c r="S30" s="7"/>
      <c r="T30" s="31"/>
      <c r="U30" s="7"/>
      <c r="V30" s="7"/>
    </row>
    <row r="31" spans="1:22" x14ac:dyDescent="0.25">
      <c r="A31" s="7"/>
      <c r="B31" s="7"/>
      <c r="C31" s="7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7"/>
      <c r="P31" s="7"/>
      <c r="Q31" s="7"/>
      <c r="R31" s="31"/>
      <c r="S31" s="7"/>
      <c r="T31" s="31"/>
      <c r="U31" s="7"/>
      <c r="V31" s="7"/>
    </row>
    <row r="32" spans="1:22" x14ac:dyDescent="0.25">
      <c r="A32" s="7"/>
      <c r="B32" s="7"/>
      <c r="C32" s="7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7"/>
      <c r="P32" s="7"/>
      <c r="Q32" s="7"/>
      <c r="R32" s="31"/>
      <c r="S32" s="7"/>
      <c r="T32" s="31"/>
      <c r="U32" s="7"/>
      <c r="V32" s="7"/>
    </row>
    <row r="33" spans="1:22" x14ac:dyDescent="0.25">
      <c r="A33" s="7"/>
      <c r="B33" s="7"/>
      <c r="C33" s="7"/>
      <c r="D33" s="7"/>
      <c r="E33" s="7"/>
      <c r="F33" s="31"/>
      <c r="G33" s="32"/>
      <c r="H33" s="32"/>
      <c r="I33" s="32"/>
      <c r="J33" s="29"/>
      <c r="K33" s="29"/>
      <c r="L33" s="29"/>
      <c r="M33" s="33"/>
      <c r="N33" s="33"/>
      <c r="O33" s="7"/>
      <c r="P33" s="7"/>
      <c r="Q33" s="7"/>
      <c r="R33" s="31"/>
      <c r="S33" s="7"/>
      <c r="T33" s="31"/>
      <c r="U33" s="7"/>
      <c r="V33" s="7"/>
    </row>
    <row r="34" spans="1:22" x14ac:dyDescent="0.25">
      <c r="A34" s="7"/>
      <c r="B34" s="7"/>
      <c r="C34" s="7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7"/>
      <c r="P34" s="7"/>
      <c r="Q34" s="7"/>
      <c r="R34" s="31"/>
      <c r="S34" s="7"/>
      <c r="T34" s="31"/>
      <c r="U34" s="7"/>
      <c r="V34" s="7"/>
    </row>
    <row r="35" spans="1:22" x14ac:dyDescent="0.25">
      <c r="A35" s="7"/>
      <c r="B35" s="7"/>
      <c r="C35" s="7"/>
      <c r="D35" s="7"/>
      <c r="E35" s="7"/>
      <c r="F35" s="31"/>
      <c r="G35" s="32"/>
      <c r="H35" s="32"/>
      <c r="I35" s="32"/>
      <c r="J35" s="29"/>
      <c r="K35" s="29"/>
      <c r="L35" s="29"/>
      <c r="M35" s="33"/>
      <c r="N35" s="33"/>
      <c r="O35" s="7"/>
      <c r="P35" s="7"/>
      <c r="Q35" s="7"/>
      <c r="R35" s="31"/>
      <c r="S35" s="7"/>
      <c r="T35" s="31"/>
      <c r="U35" s="7"/>
      <c r="V35" s="7"/>
    </row>
    <row r="36" spans="1:22" x14ac:dyDescent="0.25">
      <c r="A36" s="7"/>
      <c r="B36" s="7"/>
      <c r="C36" s="7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7"/>
      <c r="P36" s="7"/>
      <c r="Q36" s="7"/>
      <c r="R36" s="31"/>
      <c r="S36" s="7"/>
      <c r="T36" s="31"/>
      <c r="U36" s="7"/>
      <c r="V36" s="7"/>
    </row>
    <row r="37" spans="1:22" x14ac:dyDescent="0.25">
      <c r="A37" s="7"/>
      <c r="B37" s="7"/>
      <c r="C37" s="7"/>
      <c r="D37" s="7"/>
      <c r="E37" s="7"/>
      <c r="F37" s="31"/>
      <c r="G37" s="32"/>
      <c r="H37" s="32"/>
      <c r="I37" s="32"/>
      <c r="J37" s="29"/>
      <c r="K37" s="29"/>
      <c r="L37" s="29"/>
      <c r="M37" s="33"/>
      <c r="N37" s="33"/>
      <c r="O37" s="7"/>
      <c r="P37" s="7"/>
      <c r="Q37" s="7"/>
      <c r="R37" s="31"/>
      <c r="S37" s="7"/>
      <c r="T37" s="31"/>
      <c r="U37" s="7"/>
      <c r="V37" s="7"/>
    </row>
    <row r="38" spans="1:22" x14ac:dyDescent="0.25">
      <c r="A38" s="7"/>
      <c r="B38" s="7"/>
      <c r="C38" s="7"/>
      <c r="D38" s="7"/>
      <c r="E38" s="7"/>
      <c r="F38" s="31"/>
      <c r="G38" s="32"/>
      <c r="H38" s="32"/>
      <c r="I38" s="32"/>
      <c r="J38" s="29"/>
      <c r="K38" s="29"/>
      <c r="L38" s="29"/>
      <c r="M38" s="33"/>
      <c r="N38" s="33"/>
      <c r="O38" s="7"/>
      <c r="P38" s="7"/>
      <c r="Q38" s="7"/>
      <c r="R38" s="31"/>
      <c r="S38" s="7"/>
      <c r="T38" s="31"/>
      <c r="U38" s="7"/>
      <c r="V38" s="7"/>
    </row>
    <row r="39" spans="1:22" x14ac:dyDescent="0.25">
      <c r="A39" s="7"/>
      <c r="B39" s="7"/>
      <c r="C39" s="7"/>
      <c r="D39" s="7"/>
      <c r="E39" s="7"/>
      <c r="F39" s="31"/>
      <c r="G39" s="32"/>
      <c r="H39" s="32"/>
      <c r="I39" s="32"/>
      <c r="J39" s="29"/>
      <c r="K39" s="29"/>
      <c r="L39" s="29"/>
      <c r="M39" s="33"/>
      <c r="N39" s="33"/>
      <c r="O39" s="7"/>
      <c r="P39" s="7"/>
      <c r="Q39" s="7"/>
      <c r="R39" s="31"/>
      <c r="S39" s="7"/>
      <c r="T39" s="31"/>
      <c r="U39" s="7"/>
      <c r="V39" s="7"/>
    </row>
  </sheetData>
  <conditionalFormatting sqref="A1:I2">
    <cfRule type="expression" dxfId="51" priority="23">
      <formula>$A1="Pipe"</formula>
    </cfRule>
  </conditionalFormatting>
  <conditionalFormatting sqref="A3:P39">
    <cfRule type="expression" dxfId="50" priority="22">
      <formula>$A3="Pipe"</formula>
    </cfRule>
    <cfRule type="expression" dxfId="49" priority="20">
      <formula>$A3="Volume"</formula>
    </cfRule>
  </conditionalFormatting>
  <conditionalFormatting sqref="T3:V39">
    <cfRule type="expression" dxfId="48" priority="21">
      <formula>$A3="Pipe"</formula>
    </cfRule>
    <cfRule type="expression" dxfId="47" priority="19">
      <formula>$A3="Volume"</formula>
    </cfRule>
  </conditionalFormatting>
  <conditionalFormatting sqref="A3:V39">
    <cfRule type="expression" dxfId="46" priority="18">
      <formula>$A3="Junction"</formula>
    </cfRule>
    <cfRule type="expression" dxfId="45" priority="17">
      <formula>$A3="Section"</formula>
    </cfRule>
    <cfRule type="expression" dxfId="44" priority="11">
      <formula>OR($A3="Junction",$A3="Pipe",$A3="Volume",$A3="Section")</formula>
    </cfRule>
  </conditionalFormatting>
  <conditionalFormatting sqref="Q3:T39">
    <cfRule type="expression" dxfId="43" priority="16">
      <formula>OR($A3="Pipe",$A3="Volume")</formula>
    </cfRule>
  </conditionalFormatting>
  <conditionalFormatting sqref="S3:T39">
    <cfRule type="expression" dxfId="42" priority="15">
      <formula>AND($A3="Junction",$S3=$D5,$T3="A")</formula>
    </cfRule>
  </conditionalFormatting>
  <conditionalFormatting sqref="Q3:R39">
    <cfRule type="expression" dxfId="41" priority="14">
      <formula>AND($A3="Junction",$Q3=$D1,$R3="B")</formula>
    </cfRule>
  </conditionalFormatting>
  <conditionalFormatting sqref="R3:R39">
    <cfRule type="expression" dxfId="40" priority="13">
      <formula>AND($A3="Junction",ISNUMBER(R3))</formula>
    </cfRule>
    <cfRule type="expression" dxfId="39" priority="4">
      <formula>OR($A3="Junction",$A3="Pipe",$A3="Volume")</formula>
    </cfRule>
  </conditionalFormatting>
  <conditionalFormatting sqref="T3:T39">
    <cfRule type="expression" dxfId="38" priority="12">
      <formula>AND($A3="Junction",ISNUMBER(T3))</formula>
    </cfRule>
    <cfRule type="expression" dxfId="37" priority="3">
      <formula>OR($A3="Junction",$A3="Pipe",$A3="Volume")</formula>
    </cfRule>
  </conditionalFormatting>
  <conditionalFormatting sqref="E3:E39">
    <cfRule type="expression" dxfId="36" priority="10">
      <formula>OR($A3="Junction",$A3="Pipe",$A3="Volume")</formula>
    </cfRule>
  </conditionalFormatting>
  <conditionalFormatting sqref="F3:F39">
    <cfRule type="expression" dxfId="35" priority="9">
      <formula>OR($A3="Junction",$A3="Pipe",$A3="Volume")</formula>
    </cfRule>
  </conditionalFormatting>
  <conditionalFormatting sqref="I3:I39">
    <cfRule type="expression" dxfId="34" priority="8">
      <formula>OR($A3="Junction",$A3="Pipe",$A3="Volume")</formula>
    </cfRule>
  </conditionalFormatting>
  <conditionalFormatting sqref="L3:L39">
    <cfRule type="expression" dxfId="33" priority="7">
      <formula>OR($A3="Junction",$A3="Pipe",$A3="Volume")</formula>
    </cfRule>
  </conditionalFormatting>
  <conditionalFormatting sqref="N3:N39">
    <cfRule type="expression" dxfId="32" priority="6">
      <formula>OR($A3="Junction",$A3="Pipe",$A3="Volume")</formula>
    </cfRule>
  </conditionalFormatting>
  <conditionalFormatting sqref="P3:P39">
    <cfRule type="expression" dxfId="31" priority="5">
      <formula>OR($A3="Junction",$A3="Pipe",$A3="Volume")</formula>
    </cfRule>
  </conditionalFormatting>
  <conditionalFormatting sqref="V3:V39">
    <cfRule type="expression" dxfId="30" priority="2">
      <formula>OR($A3="Junction",$A3="Pipe",$A3="Volume")</formula>
    </cfRule>
  </conditionalFormatting>
  <conditionalFormatting sqref="J3:L39">
    <cfRule type="expression" dxfId="29" priority="1">
      <formula>AND(OR($A3="Junction",$A3="Pipe",$A3="Volume"),J3&lt;&gt;0)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4"/>
  <sheetViews>
    <sheetView workbookViewId="0">
      <selection activeCell="E18" sqref="E18:F21"/>
    </sheetView>
  </sheetViews>
  <sheetFormatPr defaultRowHeight="15" x14ac:dyDescent="0.25"/>
  <sheetData>
    <row r="4" spans="1:1" x14ac:dyDescent="0.25">
      <c r="A4" t="s">
        <v>7</v>
      </c>
    </row>
  </sheetData>
  <conditionalFormatting sqref="A1:J21">
    <cfRule type="expression" priority="1" stopIfTrue="1">
      <formula>$A1="Pipe"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A1:V35"/>
  <sheetViews>
    <sheetView workbookViewId="0">
      <selection activeCell="D11" sqref="D11"/>
    </sheetView>
  </sheetViews>
  <sheetFormatPr defaultRowHeight="15" x14ac:dyDescent="0.25"/>
  <cols>
    <col min="13" max="13" width="12.28515625" customWidth="1"/>
  </cols>
  <sheetData>
    <row r="1" spans="1:22" x14ac:dyDescent="0.25">
      <c r="A1" s="7"/>
      <c r="B1" s="7"/>
      <c r="C1" s="7"/>
      <c r="D1" s="7"/>
      <c r="E1" s="7"/>
      <c r="F1" s="31"/>
      <c r="G1" s="32"/>
      <c r="H1" s="32"/>
      <c r="I1" s="32"/>
      <c r="J1" s="29"/>
      <c r="K1" s="29"/>
      <c r="L1" s="29"/>
      <c r="M1" s="33"/>
      <c r="N1" s="33"/>
      <c r="O1" s="7"/>
      <c r="P1" s="7"/>
      <c r="Q1" s="7"/>
      <c r="R1" s="31"/>
      <c r="S1" s="7"/>
      <c r="T1" s="31"/>
      <c r="U1" s="7"/>
      <c r="V1" s="7"/>
    </row>
    <row r="2" spans="1:22" x14ac:dyDescent="0.25">
      <c r="A2" s="7"/>
      <c r="B2" s="7"/>
      <c r="C2" s="7"/>
      <c r="D2" s="7"/>
      <c r="E2" s="7"/>
      <c r="F2" s="31"/>
      <c r="G2" s="32"/>
      <c r="H2" s="32"/>
      <c r="I2" s="32"/>
      <c r="J2" s="29"/>
      <c r="K2" s="29"/>
      <c r="L2" s="29"/>
      <c r="M2" s="33"/>
      <c r="N2" s="33"/>
      <c r="O2" s="7"/>
      <c r="P2" s="7"/>
      <c r="Q2" s="7"/>
      <c r="R2" s="31"/>
      <c r="S2" s="7"/>
      <c r="T2" s="31"/>
      <c r="U2" s="7"/>
      <c r="V2" s="7"/>
    </row>
    <row r="3" spans="1:22" x14ac:dyDescent="0.25">
      <c r="A3" s="7" t="s">
        <v>82</v>
      </c>
      <c r="B3" s="7"/>
      <c r="C3" s="7"/>
      <c r="D3" s="7"/>
      <c r="E3" s="7"/>
      <c r="F3" s="31"/>
      <c r="G3" s="32"/>
      <c r="H3" s="32"/>
      <c r="I3" s="32"/>
      <c r="J3" s="29"/>
      <c r="K3" s="29"/>
      <c r="L3" s="29"/>
      <c r="M3" s="33"/>
      <c r="N3" s="33"/>
      <c r="O3" s="7"/>
      <c r="P3" s="7"/>
      <c r="Q3" s="56"/>
      <c r="R3" s="31"/>
      <c r="S3" s="57"/>
      <c r="T3" s="31"/>
      <c r="U3" s="7"/>
      <c r="V3" s="7"/>
    </row>
    <row r="4" spans="1:22" x14ac:dyDescent="0.25">
      <c r="A4" s="7" t="s">
        <v>7</v>
      </c>
      <c r="B4" s="7" t="s">
        <v>7</v>
      </c>
      <c r="C4" s="7" t="s">
        <v>7</v>
      </c>
      <c r="D4" s="7" t="s">
        <v>87</v>
      </c>
      <c r="E4" s="7"/>
      <c r="F4" s="31">
        <v>0.5</v>
      </c>
      <c r="G4" s="32">
        <v>-90</v>
      </c>
      <c r="H4" s="32">
        <v>0</v>
      </c>
      <c r="I4" s="32">
        <v>0</v>
      </c>
      <c r="J4" s="29">
        <v>0</v>
      </c>
      <c r="K4" s="29">
        <v>0</v>
      </c>
      <c r="L4" s="29">
        <v>0</v>
      </c>
      <c r="M4" s="33">
        <v>100</v>
      </c>
      <c r="N4" s="33">
        <v>3.05</v>
      </c>
      <c r="O4" s="7">
        <v>1.5</v>
      </c>
      <c r="P4" s="7"/>
      <c r="Q4" s="56"/>
      <c r="R4" s="31"/>
      <c r="S4" s="57"/>
      <c r="T4" s="31"/>
      <c r="U4" s="7"/>
      <c r="V4" s="7"/>
    </row>
    <row r="5" spans="1:22" x14ac:dyDescent="0.25">
      <c r="A5" s="7"/>
      <c r="B5" s="7"/>
      <c r="C5" s="7"/>
      <c r="D5" s="7"/>
      <c r="E5" s="7"/>
      <c r="F5" s="31"/>
      <c r="G5" s="32"/>
      <c r="H5" s="32"/>
      <c r="I5" s="32"/>
      <c r="J5" s="29"/>
      <c r="K5" s="29"/>
      <c r="L5" s="29"/>
      <c r="M5" s="33"/>
      <c r="N5" s="33"/>
      <c r="O5" s="7"/>
      <c r="P5" s="7"/>
      <c r="Q5" s="56"/>
      <c r="R5" s="31"/>
      <c r="S5" s="57"/>
      <c r="T5" s="31"/>
      <c r="U5" s="7"/>
      <c r="V5" s="7"/>
    </row>
    <row r="6" spans="1:22" x14ac:dyDescent="0.25">
      <c r="A6" s="7" t="s">
        <v>45</v>
      </c>
      <c r="B6" s="7"/>
      <c r="C6" s="7"/>
      <c r="D6" s="7"/>
      <c r="E6" s="7"/>
      <c r="F6" s="31"/>
      <c r="G6" s="32"/>
      <c r="H6" s="32"/>
      <c r="I6" s="32"/>
      <c r="J6" s="29"/>
      <c r="K6" s="29"/>
      <c r="L6" s="29"/>
      <c r="M6" s="33"/>
      <c r="N6" s="33"/>
      <c r="O6" s="7"/>
      <c r="P6" s="7"/>
      <c r="Q6" s="56" t="str">
        <f>D4</f>
        <v>PIPE_37</v>
      </c>
      <c r="R6" s="31" t="s">
        <v>42</v>
      </c>
      <c r="S6" s="57">
        <f>D8</f>
        <v>0</v>
      </c>
      <c r="T6" s="31" t="s">
        <v>41</v>
      </c>
      <c r="U6" s="7"/>
      <c r="V6" s="7"/>
    </row>
    <row r="7" spans="1:22" x14ac:dyDescent="0.25">
      <c r="A7" s="7"/>
      <c r="B7" s="7"/>
      <c r="C7" s="7"/>
      <c r="D7" s="7"/>
      <c r="E7" s="7"/>
      <c r="F7" s="31"/>
      <c r="G7" s="32"/>
      <c r="H7" s="32"/>
      <c r="I7" s="32"/>
      <c r="J7" s="29"/>
      <c r="K7" s="29"/>
      <c r="L7" s="29"/>
      <c r="M7" s="33"/>
      <c r="N7" s="33"/>
      <c r="O7" s="7"/>
      <c r="P7" s="7"/>
      <c r="Q7" s="56"/>
      <c r="R7" s="31"/>
      <c r="S7" s="57"/>
      <c r="T7" s="31"/>
      <c r="U7" s="7"/>
      <c r="V7" s="7"/>
    </row>
    <row r="8" spans="1:22" x14ac:dyDescent="0.25">
      <c r="A8" s="7" t="s">
        <v>7</v>
      </c>
      <c r="B8" s="7" t="s">
        <v>7</v>
      </c>
      <c r="C8" s="7" t="s">
        <v>7</v>
      </c>
      <c r="D8" s="7"/>
      <c r="E8" s="7"/>
      <c r="F8" s="31">
        <v>0.5</v>
      </c>
      <c r="G8" s="32">
        <v>-90</v>
      </c>
      <c r="H8" s="32">
        <v>0</v>
      </c>
      <c r="I8" s="32">
        <v>0</v>
      </c>
      <c r="J8" s="29">
        <v>0</v>
      </c>
      <c r="K8" s="29">
        <v>0</v>
      </c>
      <c r="L8" s="29">
        <v>0</v>
      </c>
      <c r="M8" s="33">
        <v>100</v>
      </c>
      <c r="N8" s="33">
        <v>3.05</v>
      </c>
      <c r="O8" s="7">
        <v>1.5</v>
      </c>
      <c r="P8" s="7"/>
      <c r="Q8" s="56"/>
      <c r="R8" s="31"/>
      <c r="S8" s="57"/>
      <c r="T8" s="31"/>
      <c r="U8" s="7"/>
      <c r="V8" s="7"/>
    </row>
    <row r="9" spans="1:22" x14ac:dyDescent="0.25">
      <c r="A9" s="7"/>
      <c r="B9" s="7"/>
      <c r="C9" s="7"/>
      <c r="D9" s="7"/>
      <c r="E9" s="7"/>
      <c r="F9" s="31"/>
      <c r="G9" s="32"/>
      <c r="H9" s="32"/>
      <c r="I9" s="32"/>
      <c r="J9" s="29"/>
      <c r="K9" s="29"/>
      <c r="L9" s="29"/>
      <c r="M9" s="33"/>
      <c r="N9" s="33"/>
      <c r="O9" s="7"/>
      <c r="P9" s="7"/>
      <c r="Q9" s="56"/>
      <c r="R9" s="31"/>
      <c r="S9" s="57"/>
      <c r="T9" s="31"/>
      <c r="U9" s="7"/>
      <c r="V9" s="7"/>
    </row>
    <row r="10" spans="1:22" x14ac:dyDescent="0.25">
      <c r="A10" s="7"/>
      <c r="B10" s="7"/>
      <c r="C10" s="7"/>
      <c r="D10" s="7"/>
      <c r="E10" s="7"/>
      <c r="F10" s="31"/>
      <c r="G10" s="32"/>
      <c r="H10" s="32"/>
      <c r="I10" s="32"/>
      <c r="J10" s="29"/>
      <c r="K10" s="29"/>
      <c r="L10" s="29"/>
      <c r="M10" s="33"/>
      <c r="N10" s="33"/>
      <c r="O10" s="7"/>
      <c r="P10" s="7"/>
      <c r="Q10" s="56"/>
      <c r="R10" s="31"/>
      <c r="S10" s="57"/>
      <c r="T10" s="31"/>
      <c r="U10" s="7"/>
      <c r="V10" s="7"/>
    </row>
    <row r="11" spans="1:22" x14ac:dyDescent="0.25">
      <c r="A11" s="7"/>
      <c r="B11" s="7"/>
      <c r="C11" s="7"/>
      <c r="D11" s="7"/>
      <c r="E11" s="7"/>
      <c r="F11" s="31"/>
      <c r="G11" s="32"/>
      <c r="H11" s="32"/>
      <c r="I11" s="32"/>
      <c r="J11" s="29"/>
      <c r="K11" s="29"/>
      <c r="L11" s="29"/>
      <c r="M11" s="33"/>
      <c r="N11" s="33"/>
      <c r="O11" s="7"/>
      <c r="P11" s="7"/>
      <c r="Q11" s="56"/>
      <c r="R11" s="31"/>
      <c r="S11" s="57"/>
      <c r="T11" s="31"/>
      <c r="U11" s="7"/>
      <c r="V11" s="7"/>
    </row>
    <row r="12" spans="1:22" x14ac:dyDescent="0.25">
      <c r="A12" s="7"/>
      <c r="B12" s="7"/>
      <c r="C12" s="7"/>
      <c r="D12" s="7"/>
      <c r="E12" s="7"/>
      <c r="F12" s="31"/>
      <c r="G12" s="32"/>
      <c r="H12" s="32"/>
      <c r="I12" s="32"/>
      <c r="J12" s="29"/>
      <c r="K12" s="29"/>
      <c r="L12" s="29"/>
      <c r="M12" s="33"/>
      <c r="N12" s="33"/>
      <c r="O12" s="7"/>
      <c r="P12" s="7"/>
      <c r="Q12" s="56"/>
      <c r="R12" s="31"/>
      <c r="S12" s="57"/>
      <c r="T12" s="31"/>
      <c r="U12" s="7"/>
      <c r="V12" s="7"/>
    </row>
    <row r="13" spans="1:22" x14ac:dyDescent="0.25">
      <c r="A13" s="7"/>
      <c r="B13" s="7"/>
      <c r="C13" s="7"/>
      <c r="D13" s="7"/>
      <c r="E13" s="7"/>
      <c r="F13" s="31"/>
      <c r="G13" s="32"/>
      <c r="H13" s="32"/>
      <c r="I13" s="32"/>
      <c r="J13" s="29"/>
      <c r="K13" s="29"/>
      <c r="L13" s="29"/>
      <c r="M13" s="33"/>
      <c r="N13" s="33"/>
      <c r="O13" s="7"/>
      <c r="P13" s="7"/>
      <c r="Q13" s="56"/>
      <c r="R13" s="31"/>
      <c r="S13" s="57"/>
      <c r="T13" s="31"/>
      <c r="U13" s="7"/>
      <c r="V13" s="7"/>
    </row>
    <row r="14" spans="1:22" x14ac:dyDescent="0.25">
      <c r="A14" s="7"/>
      <c r="B14" s="7"/>
      <c r="C14" s="7"/>
      <c r="D14" s="7"/>
      <c r="E14" s="7"/>
      <c r="F14" s="31"/>
      <c r="G14" s="32"/>
      <c r="H14" s="32"/>
      <c r="I14" s="32"/>
      <c r="J14" s="29"/>
      <c r="K14" s="29"/>
      <c r="L14" s="29"/>
      <c r="M14" s="33"/>
      <c r="N14" s="33"/>
      <c r="O14" s="7"/>
      <c r="P14" s="7"/>
      <c r="Q14" s="56"/>
      <c r="R14" s="31"/>
      <c r="S14" s="57"/>
      <c r="T14" s="31"/>
      <c r="U14" s="7"/>
      <c r="V14" s="7"/>
    </row>
    <row r="15" spans="1:22" x14ac:dyDescent="0.25">
      <c r="A15" s="7"/>
      <c r="B15" s="7"/>
      <c r="C15" s="7"/>
      <c r="D15" s="7"/>
      <c r="E15" s="7"/>
      <c r="F15" s="31"/>
      <c r="G15" s="32"/>
      <c r="H15" s="32"/>
      <c r="I15" s="32"/>
      <c r="J15" s="29"/>
      <c r="K15" s="29"/>
      <c r="L15" s="29"/>
      <c r="M15" s="33"/>
      <c r="N15" s="33"/>
      <c r="O15" s="7"/>
      <c r="P15" s="7"/>
      <c r="Q15" s="56"/>
      <c r="R15" s="31"/>
      <c r="S15" s="57"/>
      <c r="T15" s="31"/>
      <c r="U15" s="7"/>
      <c r="V15" s="7"/>
    </row>
    <row r="16" spans="1:22" x14ac:dyDescent="0.25">
      <c r="A16" s="7"/>
      <c r="B16" s="7"/>
      <c r="C16" s="7"/>
      <c r="D16" s="7"/>
      <c r="E16" s="7"/>
      <c r="F16" s="31"/>
      <c r="G16" s="32"/>
      <c r="H16" s="32"/>
      <c r="I16" s="32"/>
      <c r="J16" s="29"/>
      <c r="K16" s="29"/>
      <c r="L16" s="29"/>
      <c r="M16" s="33"/>
      <c r="N16" s="33"/>
      <c r="O16" s="7"/>
      <c r="P16" s="7"/>
      <c r="Q16" s="56"/>
      <c r="R16" s="31"/>
      <c r="S16" s="57"/>
      <c r="T16" s="31"/>
      <c r="U16" s="7"/>
      <c r="V16" s="7"/>
    </row>
    <row r="17" spans="1:22" x14ac:dyDescent="0.25">
      <c r="A17" s="7"/>
      <c r="B17" s="7"/>
      <c r="C17" s="7"/>
      <c r="D17" s="7"/>
      <c r="E17" s="7"/>
      <c r="F17" s="31"/>
      <c r="G17" s="32"/>
      <c r="H17" s="32"/>
      <c r="I17" s="32"/>
      <c r="J17" s="29"/>
      <c r="K17" s="29"/>
      <c r="L17" s="29"/>
      <c r="M17" s="33"/>
      <c r="N17" s="33"/>
      <c r="O17" s="7"/>
      <c r="P17" s="7"/>
      <c r="Q17" s="56"/>
      <c r="R17" s="31"/>
      <c r="S17" s="57"/>
      <c r="T17" s="31"/>
      <c r="U17" s="7"/>
      <c r="V17" s="7"/>
    </row>
    <row r="18" spans="1:22" x14ac:dyDescent="0.25">
      <c r="A18" s="7"/>
      <c r="B18" s="7"/>
      <c r="C18" s="7"/>
      <c r="D18" s="7"/>
      <c r="E18" s="7"/>
      <c r="F18" s="31"/>
      <c r="G18" s="32"/>
      <c r="H18" s="32"/>
      <c r="I18" s="32"/>
      <c r="J18" s="29"/>
      <c r="K18" s="29"/>
      <c r="L18" s="29"/>
      <c r="M18" s="33"/>
      <c r="N18" s="33"/>
      <c r="O18" s="7"/>
      <c r="P18" s="7"/>
      <c r="Q18" s="56"/>
      <c r="R18" s="31"/>
      <c r="S18" s="57"/>
      <c r="T18" s="31"/>
      <c r="U18" s="7"/>
      <c r="V18" s="7"/>
    </row>
    <row r="19" spans="1:22" x14ac:dyDescent="0.25">
      <c r="A19" s="7"/>
      <c r="B19" s="7"/>
      <c r="C19" s="7"/>
      <c r="D19" s="7"/>
      <c r="E19" s="7"/>
      <c r="F19" s="31"/>
      <c r="G19" s="32"/>
      <c r="H19" s="32"/>
      <c r="I19" s="32"/>
      <c r="J19" s="29"/>
      <c r="K19" s="29"/>
      <c r="L19" s="29"/>
      <c r="M19" s="33"/>
      <c r="N19" s="33"/>
      <c r="O19" s="7"/>
      <c r="P19" s="7"/>
      <c r="Q19" s="56"/>
      <c r="R19" s="31"/>
      <c r="S19" s="57"/>
      <c r="T19" s="31"/>
      <c r="U19" s="7"/>
      <c r="V19" s="7"/>
    </row>
    <row r="20" spans="1:22" x14ac:dyDescent="0.25">
      <c r="A20" s="7"/>
      <c r="B20" s="7"/>
      <c r="C20" s="7"/>
      <c r="D20" s="7"/>
      <c r="E20" s="7"/>
      <c r="F20" s="31"/>
      <c r="G20" s="32"/>
      <c r="H20" s="32"/>
      <c r="I20" s="32"/>
      <c r="J20" s="29"/>
      <c r="K20" s="29"/>
      <c r="L20" s="29"/>
      <c r="M20" s="33"/>
      <c r="N20" s="33"/>
      <c r="O20" s="7"/>
      <c r="P20" s="7"/>
      <c r="Q20" s="56"/>
      <c r="R20" s="31"/>
      <c r="S20" s="57"/>
      <c r="T20" s="31"/>
      <c r="U20" s="7"/>
      <c r="V20" s="7"/>
    </row>
    <row r="21" spans="1:22" x14ac:dyDescent="0.25">
      <c r="A21" s="7"/>
      <c r="B21" s="7"/>
      <c r="C21" s="7"/>
      <c r="D21" s="7"/>
      <c r="E21" s="7"/>
      <c r="F21" s="31"/>
      <c r="G21" s="32"/>
      <c r="H21" s="32"/>
      <c r="I21" s="32"/>
      <c r="J21" s="29"/>
      <c r="K21" s="29"/>
      <c r="L21" s="29"/>
      <c r="M21" s="33"/>
      <c r="N21" s="33"/>
      <c r="O21" s="7"/>
      <c r="P21" s="7"/>
      <c r="Q21" s="56"/>
      <c r="R21" s="31"/>
      <c r="S21" s="57"/>
      <c r="T21" s="31"/>
      <c r="U21" s="7"/>
      <c r="V21" s="7"/>
    </row>
    <row r="22" spans="1:22" x14ac:dyDescent="0.25">
      <c r="A22" s="7"/>
      <c r="B22" s="7"/>
      <c r="C22" s="7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7"/>
      <c r="P22" s="7"/>
      <c r="Q22" s="56"/>
      <c r="R22" s="31"/>
      <c r="S22" s="57"/>
      <c r="T22" s="31"/>
      <c r="U22" s="7"/>
      <c r="V22" s="7"/>
    </row>
    <row r="23" spans="1:22" x14ac:dyDescent="0.25">
      <c r="A23" s="7"/>
      <c r="B23" s="7"/>
      <c r="C23" s="7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7"/>
      <c r="P23" s="7"/>
      <c r="Q23" s="56"/>
      <c r="R23" s="31"/>
      <c r="S23" s="57"/>
      <c r="T23" s="31"/>
      <c r="U23" s="7"/>
      <c r="V23" s="7"/>
    </row>
    <row r="24" spans="1:22" x14ac:dyDescent="0.25">
      <c r="A24" s="7"/>
      <c r="B24" s="7"/>
      <c r="C24" s="7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7"/>
      <c r="P24" s="7"/>
      <c r="Q24" s="56"/>
      <c r="R24" s="31"/>
      <c r="S24" s="57"/>
      <c r="T24" s="31"/>
      <c r="U24" s="7"/>
      <c r="V24" s="7"/>
    </row>
    <row r="25" spans="1:22" x14ac:dyDescent="0.25">
      <c r="A25" s="7"/>
      <c r="B25" s="7"/>
      <c r="C25" s="7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7"/>
      <c r="P25" s="7"/>
      <c r="Q25" s="56"/>
      <c r="R25" s="31"/>
      <c r="S25" s="57"/>
      <c r="T25" s="31"/>
      <c r="U25" s="7"/>
      <c r="V25" s="7"/>
    </row>
    <row r="26" spans="1:22" x14ac:dyDescent="0.25">
      <c r="A26" s="7"/>
      <c r="B26" s="7"/>
      <c r="C26" s="7"/>
      <c r="D26" s="7"/>
      <c r="E26" s="7"/>
      <c r="F26" s="31"/>
      <c r="G26" s="32"/>
      <c r="H26" s="32"/>
      <c r="I26" s="32"/>
      <c r="J26" s="29"/>
      <c r="K26" s="29"/>
      <c r="L26" s="29"/>
      <c r="M26" s="33"/>
      <c r="N26" s="33"/>
      <c r="O26" s="7"/>
      <c r="P26" s="7"/>
      <c r="Q26" s="7"/>
      <c r="R26" s="31"/>
      <c r="S26" s="57"/>
      <c r="T26" s="31"/>
      <c r="U26" s="7"/>
      <c r="V26" s="7"/>
    </row>
    <row r="27" spans="1:22" x14ac:dyDescent="0.25">
      <c r="A27" s="7"/>
      <c r="B27" s="7"/>
      <c r="C27" s="7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7"/>
      <c r="P27" s="7"/>
      <c r="Q27" s="7"/>
      <c r="R27" s="31"/>
      <c r="S27" s="7"/>
      <c r="T27" s="31"/>
      <c r="U27" s="7"/>
      <c r="V27" s="7"/>
    </row>
    <row r="28" spans="1:22" x14ac:dyDescent="0.25">
      <c r="A28" s="7"/>
      <c r="B28" s="7"/>
      <c r="C28" s="7" t="b">
        <f>ISTEXT(S6)</f>
        <v>0</v>
      </c>
      <c r="D28" s="7"/>
      <c r="E28" s="7"/>
      <c r="F28" s="31"/>
      <c r="G28" s="32"/>
      <c r="H28" s="32"/>
      <c r="I28" s="32"/>
      <c r="J28" s="29"/>
      <c r="K28" s="29"/>
      <c r="L28" s="29"/>
      <c r="M28" s="33"/>
      <c r="N28" s="33"/>
      <c r="O28" s="7"/>
      <c r="P28" s="7"/>
      <c r="Q28" s="7"/>
      <c r="R28" s="31"/>
      <c r="S28" s="7"/>
      <c r="T28" s="31"/>
      <c r="U28" s="7"/>
      <c r="V28" s="7"/>
    </row>
    <row r="29" spans="1:22" x14ac:dyDescent="0.25">
      <c r="A29" s="7"/>
      <c r="B29" s="7"/>
      <c r="C29" s="7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7"/>
      <c r="P29" s="7"/>
      <c r="Q29" s="7"/>
      <c r="R29" s="31"/>
      <c r="S29" s="7"/>
      <c r="T29" s="31"/>
      <c r="U29" s="7"/>
      <c r="V29" s="7"/>
    </row>
    <row r="30" spans="1:22" x14ac:dyDescent="0.25">
      <c r="A30" s="7"/>
      <c r="B30" s="7"/>
      <c r="C30" s="7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7"/>
      <c r="P30" s="7"/>
      <c r="Q30" s="7"/>
      <c r="R30" s="31"/>
      <c r="S30" s="7"/>
      <c r="T30" s="31"/>
      <c r="U30" s="7"/>
      <c r="V30" s="7"/>
    </row>
    <row r="31" spans="1:22" x14ac:dyDescent="0.25">
      <c r="A31" s="7"/>
      <c r="B31" s="7"/>
      <c r="C31" s="7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7"/>
      <c r="P31" s="7"/>
      <c r="Q31" s="7"/>
      <c r="R31" s="31"/>
      <c r="S31" s="7"/>
      <c r="T31" s="31"/>
      <c r="U31" s="7"/>
      <c r="V31" s="7"/>
    </row>
    <row r="32" spans="1:22" x14ac:dyDescent="0.25">
      <c r="A32" s="7"/>
      <c r="B32" s="7"/>
      <c r="C32" s="7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7"/>
      <c r="P32" s="7"/>
      <c r="Q32" s="7"/>
      <c r="R32" s="31"/>
      <c r="S32" s="7"/>
      <c r="T32" s="31"/>
      <c r="U32" s="7"/>
      <c r="V32" s="7"/>
    </row>
    <row r="33" spans="1:22" x14ac:dyDescent="0.25">
      <c r="A33" s="7"/>
      <c r="B33" s="7"/>
      <c r="C33" s="7"/>
      <c r="D33" s="7"/>
      <c r="E33" s="7"/>
      <c r="F33" s="31"/>
      <c r="G33" s="32"/>
      <c r="H33" s="32"/>
      <c r="I33" s="32"/>
      <c r="J33" s="29"/>
      <c r="K33" s="29"/>
      <c r="L33" s="29"/>
      <c r="M33" s="33"/>
      <c r="N33" s="33"/>
      <c r="O33" s="7"/>
      <c r="P33" s="7"/>
      <c r="Q33" s="7"/>
      <c r="R33" s="31"/>
      <c r="S33" s="7"/>
      <c r="T33" s="31"/>
      <c r="U33" s="7"/>
      <c r="V33" s="7"/>
    </row>
    <row r="34" spans="1:22" x14ac:dyDescent="0.25">
      <c r="A34" s="7"/>
      <c r="B34" s="7"/>
      <c r="C34" s="7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7"/>
      <c r="P34" s="7"/>
      <c r="Q34" s="7"/>
      <c r="R34" s="31"/>
      <c r="S34" s="7"/>
      <c r="T34" s="31"/>
      <c r="U34" s="7"/>
      <c r="V34" s="7"/>
    </row>
    <row r="35" spans="1:22" x14ac:dyDescent="0.25">
      <c r="A35" s="7"/>
      <c r="B35" s="7"/>
      <c r="C35" s="7"/>
      <c r="D35" s="7"/>
      <c r="E35" s="7"/>
      <c r="F35" s="31"/>
      <c r="G35" s="32"/>
      <c r="H35" s="32"/>
      <c r="I35" s="32"/>
      <c r="J35" s="29"/>
      <c r="K35" s="29"/>
      <c r="L35" s="29"/>
      <c r="M35" s="33"/>
      <c r="N35" s="33"/>
      <c r="O35" s="7"/>
      <c r="P35" s="7"/>
      <c r="Q35" s="7"/>
      <c r="R35" s="31"/>
      <c r="S35" s="7"/>
      <c r="T35" s="31"/>
      <c r="U35" s="7"/>
      <c r="V35" s="7"/>
    </row>
  </sheetData>
  <conditionalFormatting sqref="A1:P2 A35:P35">
    <cfRule type="expression" dxfId="28" priority="285">
      <formula>$A1="Volume"</formula>
    </cfRule>
    <cfRule type="expression" dxfId="27" priority="287">
      <formula>$A1="Pipe"</formula>
    </cfRule>
  </conditionalFormatting>
  <conditionalFormatting sqref="T1:V2 T35:V35">
    <cfRule type="expression" dxfId="26" priority="284">
      <formula>$A1="Volume"</formula>
    </cfRule>
    <cfRule type="expression" dxfId="25" priority="286">
      <formula>$A1="Pipe"</formula>
    </cfRule>
  </conditionalFormatting>
  <conditionalFormatting sqref="A1:V2 A35:V35">
    <cfRule type="expression" dxfId="24" priority="282">
      <formula>$A1="Section"</formula>
    </cfRule>
    <cfRule type="expression" dxfId="23" priority="283">
      <formula>$A1="Junction"</formula>
    </cfRule>
  </conditionalFormatting>
  <conditionalFormatting sqref="Q1:T2 Q35:T35">
    <cfRule type="expression" dxfId="22" priority="281">
      <formula>OR($A1="Pipe",$A1="Volume")</formula>
    </cfRule>
  </conditionalFormatting>
  <conditionalFormatting sqref="A3:P34 T3:V34">
    <cfRule type="expression" dxfId="21" priority="11">
      <formula>$A3="Pipe"</formula>
    </cfRule>
    <cfRule type="expression" dxfId="20" priority="10">
      <formula>$A3="Volume"</formula>
    </cfRule>
  </conditionalFormatting>
  <conditionalFormatting sqref="A3:V34">
    <cfRule type="expression" dxfId="19" priority="9">
      <formula>$A3="Junction"</formula>
    </cfRule>
    <cfRule type="expression" dxfId="18" priority="8">
      <formula>$A3="Section"</formula>
    </cfRule>
    <cfRule type="expression" dxfId="17" priority="2">
      <formula>OR($A3="Junction",$A3="Pipe",$A3="Volume",$A3="Section")</formula>
    </cfRule>
  </conditionalFormatting>
  <conditionalFormatting sqref="Q3:T34">
    <cfRule type="expression" dxfId="16" priority="7">
      <formula>OR($A3="Pipe",$A3="Volume")</formula>
    </cfRule>
  </conditionalFormatting>
  <conditionalFormatting sqref="S3:T34">
    <cfRule type="expression" dxfId="15" priority="6">
      <formula>AND($A3="Junction",$S3=$D5,$T3="A",ISTEXT($D5))</formula>
    </cfRule>
  </conditionalFormatting>
  <conditionalFormatting sqref="Q3:R34">
    <cfRule type="expression" dxfId="14" priority="5">
      <formula>AND($A3="Junction",$Q3=$D1,$R3="B")</formula>
    </cfRule>
  </conditionalFormatting>
  <conditionalFormatting sqref="R3:R34">
    <cfRule type="expression" dxfId="13" priority="4">
      <formula>AND($A3="Junction",ISNUMBER(R3))</formula>
    </cfRule>
  </conditionalFormatting>
  <conditionalFormatting sqref="T3:T34">
    <cfRule type="expression" dxfId="12" priority="3">
      <formula>AND($A3="Junction",ISNUMBER(T3))</formula>
    </cfRule>
  </conditionalFormatting>
  <conditionalFormatting sqref="E3:F34 I3:I34 L3:L34 N3:N34 P3:P34 R3:R34 T3:T34 V3:V34">
    <cfRule type="expression" dxfId="11" priority="1">
      <formula>OR($A3="Junction",$A3="Pipe",$A3="Volume")</formula>
    </cfRule>
  </conditionalFormatting>
  <pageMargins left="0.7" right="0.7" top="0.75" bottom="0.75" header="0.3" footer="0.3"/>
  <pageSetup paperSize="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3:V40"/>
  <sheetViews>
    <sheetView workbookViewId="0">
      <selection activeCell="J8" sqref="J8:K11"/>
    </sheetView>
  </sheetViews>
  <sheetFormatPr defaultRowHeight="15" x14ac:dyDescent="0.25"/>
  <sheetData>
    <row r="3" spans="1:22" x14ac:dyDescent="0.25">
      <c r="A3" s="7"/>
      <c r="B3" s="7"/>
      <c r="C3" s="7"/>
      <c r="D3" s="7"/>
      <c r="E3" s="7"/>
      <c r="F3" s="7"/>
      <c r="G3" s="7"/>
      <c r="H3" s="7"/>
      <c r="I3" s="7"/>
      <c r="J3" s="55"/>
      <c r="K3" s="55"/>
      <c r="L3" s="55"/>
      <c r="M3" s="7"/>
      <c r="N3" s="7"/>
      <c r="O3" s="7"/>
      <c r="P3" s="7"/>
      <c r="Q3" s="7"/>
      <c r="R3" s="7"/>
      <c r="S3" s="7"/>
      <c r="T3" s="7"/>
      <c r="U3" s="7"/>
      <c r="V3" s="7"/>
    </row>
    <row r="4" spans="1:22" x14ac:dyDescent="0.25">
      <c r="A4" s="7"/>
      <c r="B4" s="7"/>
      <c r="C4" s="7"/>
      <c r="D4" s="7"/>
      <c r="E4" s="7"/>
      <c r="F4" s="7"/>
      <c r="G4" s="7"/>
      <c r="H4" s="7"/>
      <c r="I4" s="7"/>
      <c r="J4" s="55"/>
      <c r="K4" s="55"/>
      <c r="L4" s="55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 x14ac:dyDescent="0.25">
      <c r="A5" s="7"/>
      <c r="B5" s="7"/>
      <c r="C5" s="7"/>
      <c r="D5" s="7"/>
      <c r="E5" s="7"/>
      <c r="F5" s="7"/>
      <c r="G5" s="7"/>
      <c r="H5" s="7"/>
      <c r="I5" s="7"/>
      <c r="J5" s="55"/>
      <c r="K5" s="55"/>
      <c r="L5" s="55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 x14ac:dyDescent="0.25">
      <c r="A6" s="7"/>
      <c r="B6" s="7"/>
      <c r="C6" s="7"/>
      <c r="D6" s="7"/>
      <c r="E6" s="7"/>
      <c r="F6" s="7"/>
      <c r="G6" s="7"/>
      <c r="H6" s="7"/>
      <c r="I6" s="7"/>
      <c r="J6" s="55"/>
      <c r="K6" s="55"/>
      <c r="L6" s="55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 x14ac:dyDescent="0.25">
      <c r="A7" s="7"/>
      <c r="B7" s="7"/>
      <c r="C7" s="7"/>
      <c r="D7" s="7"/>
      <c r="E7" s="7"/>
      <c r="F7" s="7"/>
      <c r="G7" s="7"/>
      <c r="H7" s="7"/>
      <c r="I7" s="7"/>
      <c r="J7" s="55"/>
      <c r="K7" s="55"/>
      <c r="L7" s="55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 x14ac:dyDescent="0.25">
      <c r="A8" s="7" t="s">
        <v>7</v>
      </c>
      <c r="B8" s="7"/>
      <c r="C8" s="7"/>
      <c r="D8" s="7"/>
      <c r="E8" s="7"/>
      <c r="F8" s="7"/>
      <c r="G8" s="7"/>
      <c r="H8" s="7"/>
      <c r="I8" s="7"/>
      <c r="J8" s="55"/>
      <c r="K8" s="55"/>
      <c r="L8" s="55"/>
      <c r="M8" s="7"/>
      <c r="N8" s="7"/>
      <c r="O8" s="7"/>
      <c r="P8" s="7"/>
      <c r="Q8" s="7"/>
      <c r="R8" s="7"/>
      <c r="S8" s="7"/>
      <c r="T8" s="7"/>
      <c r="U8" s="7"/>
      <c r="V8" s="7"/>
    </row>
    <row r="9" spans="1:22" x14ac:dyDescent="0.25">
      <c r="A9" s="7"/>
      <c r="B9" s="7"/>
      <c r="C9" s="7"/>
      <c r="D9" s="7"/>
      <c r="E9" s="7"/>
      <c r="F9" s="7"/>
      <c r="G9" s="7"/>
      <c r="H9" s="7"/>
      <c r="I9" s="7"/>
      <c r="J9" s="55"/>
      <c r="K9" s="55"/>
      <c r="L9" s="55"/>
      <c r="M9" s="7"/>
      <c r="N9" s="7"/>
      <c r="O9" s="7"/>
      <c r="P9" s="7"/>
      <c r="Q9" s="7"/>
      <c r="R9" s="7"/>
      <c r="S9" s="7"/>
      <c r="T9" s="7"/>
      <c r="U9" s="7"/>
      <c r="V9" s="7"/>
    </row>
    <row r="10" spans="1:22" x14ac:dyDescent="0.25">
      <c r="A10" s="7"/>
      <c r="B10" s="7"/>
      <c r="C10" s="7"/>
      <c r="D10" s="7"/>
      <c r="E10" s="7"/>
      <c r="F10" s="7"/>
      <c r="G10" s="7"/>
      <c r="H10" s="7"/>
      <c r="I10" s="7"/>
      <c r="J10" s="55"/>
      <c r="K10" s="55"/>
      <c r="L10" s="55"/>
      <c r="M10" s="7"/>
      <c r="N10" s="7"/>
      <c r="O10" s="7"/>
      <c r="P10" s="7"/>
      <c r="Q10" s="7"/>
      <c r="R10" s="7"/>
      <c r="S10" s="7"/>
      <c r="T10" s="7"/>
      <c r="U10" s="7"/>
      <c r="V10" s="7"/>
    </row>
    <row r="11" spans="1:22" x14ac:dyDescent="0.25">
      <c r="A11" s="7" t="s">
        <v>45</v>
      </c>
      <c r="B11" s="7"/>
      <c r="C11" s="7"/>
      <c r="D11" s="7"/>
      <c r="E11" s="7"/>
      <c r="F11" s="7"/>
      <c r="G11" s="7"/>
      <c r="H11" s="7"/>
      <c r="I11" s="7"/>
      <c r="J11" s="55"/>
      <c r="K11" s="55"/>
      <c r="L11" s="55"/>
      <c r="M11" s="7"/>
      <c r="N11" s="7"/>
      <c r="O11" s="7"/>
      <c r="P11" s="7"/>
      <c r="Q11" s="7"/>
      <c r="R11" s="7"/>
      <c r="S11" s="7"/>
      <c r="T11" s="7"/>
      <c r="U11" s="7"/>
      <c r="V11" s="7"/>
    </row>
    <row r="12" spans="1:22" x14ac:dyDescent="0.25">
      <c r="A12" s="7"/>
      <c r="B12" s="7"/>
      <c r="C12" s="7"/>
      <c r="D12" s="7"/>
      <c r="E12" s="7"/>
      <c r="F12" s="7"/>
      <c r="G12" s="7"/>
      <c r="H12" s="7"/>
      <c r="I12" s="7"/>
      <c r="J12" s="55"/>
      <c r="K12" s="55"/>
      <c r="L12" s="55"/>
      <c r="M12" s="7"/>
      <c r="N12" s="7"/>
      <c r="O12" s="7"/>
      <c r="P12" s="7"/>
      <c r="Q12" s="7"/>
      <c r="R12" s="7"/>
      <c r="S12" s="7"/>
      <c r="T12" s="7"/>
      <c r="U12" s="7"/>
      <c r="V12" s="7"/>
    </row>
    <row r="13" spans="1:22" x14ac:dyDescent="0.25">
      <c r="A13" s="7"/>
      <c r="B13" s="7"/>
      <c r="C13" s="7"/>
      <c r="D13" s="7"/>
      <c r="E13" s="7"/>
      <c r="F13" s="7"/>
      <c r="G13" s="7"/>
      <c r="H13" s="7"/>
      <c r="I13" s="7"/>
      <c r="J13" s="55"/>
      <c r="K13" s="55"/>
      <c r="L13" s="55"/>
      <c r="M13" s="7"/>
      <c r="N13" s="7"/>
      <c r="O13" s="7"/>
      <c r="P13" s="7"/>
      <c r="Q13" s="7"/>
      <c r="R13" s="7"/>
      <c r="S13" s="7"/>
      <c r="T13" s="7"/>
      <c r="U13" s="7"/>
      <c r="V13" s="7"/>
    </row>
    <row r="14" spans="1:22" x14ac:dyDescent="0.25">
      <c r="A14" s="7"/>
      <c r="B14" s="7"/>
      <c r="C14" s="7"/>
      <c r="D14" s="7"/>
      <c r="E14" s="7"/>
      <c r="F14" s="7"/>
      <c r="G14" s="7"/>
      <c r="H14" s="7"/>
      <c r="I14" s="7"/>
      <c r="J14" s="55"/>
      <c r="K14" s="55"/>
      <c r="L14" s="55"/>
      <c r="M14" s="7"/>
      <c r="N14" s="7"/>
      <c r="O14" s="7"/>
      <c r="P14" s="7"/>
      <c r="Q14" s="7"/>
      <c r="R14" s="7"/>
      <c r="S14" s="7"/>
      <c r="T14" s="7"/>
      <c r="U14" s="7"/>
      <c r="V14" s="7"/>
    </row>
    <row r="15" spans="1:22" x14ac:dyDescent="0.25">
      <c r="A15" s="7"/>
      <c r="B15" s="7"/>
      <c r="C15" s="7"/>
      <c r="D15" s="7"/>
      <c r="E15" s="7"/>
      <c r="F15" s="7"/>
      <c r="G15" s="7"/>
      <c r="H15" s="7"/>
      <c r="I15" s="7"/>
      <c r="J15" s="55"/>
      <c r="K15" s="55"/>
      <c r="L15" s="55"/>
      <c r="M15" s="7"/>
      <c r="N15" s="7"/>
      <c r="O15" s="7"/>
      <c r="P15" s="7"/>
      <c r="Q15" s="7"/>
      <c r="R15" s="7"/>
      <c r="S15" s="7"/>
      <c r="T15" s="7"/>
      <c r="U15" s="7"/>
      <c r="V15" s="7"/>
    </row>
    <row r="16" spans="1:22" x14ac:dyDescent="0.25">
      <c r="A16" s="7"/>
      <c r="B16" s="7"/>
      <c r="C16" s="7"/>
      <c r="D16" s="7"/>
      <c r="E16" s="7"/>
      <c r="F16" s="7"/>
      <c r="G16" s="7"/>
      <c r="H16" s="7"/>
      <c r="I16" s="7"/>
      <c r="J16" s="55"/>
      <c r="K16" s="55"/>
      <c r="L16" s="55"/>
      <c r="M16" s="7"/>
      <c r="N16" s="7"/>
      <c r="O16" s="7"/>
      <c r="P16" s="7"/>
      <c r="Q16" s="7"/>
      <c r="R16" s="7"/>
      <c r="S16" s="7"/>
      <c r="T16" s="7"/>
      <c r="U16" s="7"/>
      <c r="V16" s="7"/>
    </row>
    <row r="17" spans="1:22" x14ac:dyDescent="0.25">
      <c r="A17" s="7"/>
      <c r="B17" s="7"/>
      <c r="C17" s="7"/>
      <c r="D17" s="7"/>
      <c r="E17" s="7"/>
      <c r="F17" s="7"/>
      <c r="G17" s="7"/>
      <c r="H17" s="7"/>
      <c r="I17" s="7"/>
      <c r="J17" s="55"/>
      <c r="K17" s="55"/>
      <c r="L17" s="55"/>
      <c r="M17" s="7"/>
      <c r="N17" s="7"/>
      <c r="O17" s="7"/>
      <c r="P17" s="7"/>
      <c r="Q17" s="7"/>
      <c r="R17" s="7"/>
      <c r="S17" s="7"/>
      <c r="T17" s="7"/>
      <c r="U17" s="7"/>
      <c r="V17" s="7"/>
    </row>
    <row r="18" spans="1:22" x14ac:dyDescent="0.25">
      <c r="A18" s="7"/>
      <c r="B18" s="7"/>
      <c r="C18" s="7"/>
      <c r="D18" s="7"/>
      <c r="E18" s="7"/>
      <c r="F18" s="7"/>
      <c r="G18" s="7"/>
      <c r="H18" s="7"/>
      <c r="I18" s="7"/>
      <c r="J18" s="55"/>
      <c r="K18" s="55"/>
      <c r="L18" s="55"/>
      <c r="M18" s="7"/>
      <c r="N18" s="7"/>
      <c r="O18" s="7"/>
      <c r="P18" s="7"/>
      <c r="Q18" s="7"/>
      <c r="R18" s="7"/>
      <c r="S18" s="7"/>
      <c r="T18" s="7"/>
      <c r="U18" s="7"/>
      <c r="V18" s="7"/>
    </row>
    <row r="19" spans="1:22" x14ac:dyDescent="0.25">
      <c r="A19" s="7"/>
      <c r="B19" s="7"/>
      <c r="C19" s="7"/>
      <c r="D19" s="7"/>
      <c r="E19" s="7"/>
      <c r="F19" s="7"/>
      <c r="G19" s="7"/>
      <c r="H19" s="7"/>
      <c r="I19" s="7"/>
      <c r="J19" s="55"/>
      <c r="K19" s="55"/>
      <c r="L19" s="55"/>
      <c r="M19" s="7"/>
      <c r="N19" s="7"/>
      <c r="O19" s="7"/>
      <c r="P19" s="7"/>
      <c r="Q19" s="7"/>
      <c r="R19" s="7"/>
      <c r="S19" s="7"/>
      <c r="T19" s="7"/>
      <c r="U19" s="7"/>
      <c r="V19" s="7"/>
    </row>
    <row r="20" spans="1:22" x14ac:dyDescent="0.25">
      <c r="A20" s="7"/>
      <c r="B20" s="7"/>
      <c r="C20" s="7"/>
      <c r="D20" s="7"/>
      <c r="E20" s="7"/>
      <c r="F20" s="7"/>
      <c r="G20" s="7"/>
      <c r="H20" s="7"/>
      <c r="I20" s="7"/>
      <c r="J20" s="55"/>
      <c r="K20" s="55"/>
      <c r="L20" s="55"/>
      <c r="M20" s="7"/>
      <c r="N20" s="7"/>
      <c r="O20" s="7"/>
      <c r="P20" s="7"/>
      <c r="Q20" s="7"/>
      <c r="R20" s="7"/>
      <c r="S20" s="7"/>
      <c r="T20" s="7"/>
      <c r="U20" s="7"/>
      <c r="V20" s="7"/>
    </row>
    <row r="21" spans="1:22" x14ac:dyDescent="0.25">
      <c r="A21" s="7"/>
      <c r="B21" s="7"/>
      <c r="C21" s="7"/>
      <c r="D21" s="7"/>
      <c r="E21" s="7"/>
      <c r="F21" s="7"/>
      <c r="G21" s="7"/>
      <c r="H21" s="7"/>
      <c r="I21" s="7"/>
      <c r="J21" s="55"/>
      <c r="K21" s="55"/>
      <c r="L21" s="55"/>
      <c r="M21" s="7"/>
      <c r="N21" s="7"/>
      <c r="O21" s="7"/>
      <c r="P21" s="7"/>
      <c r="Q21" s="7"/>
      <c r="R21" s="7"/>
      <c r="S21" s="7"/>
      <c r="T21" s="7"/>
      <c r="U21" s="7"/>
      <c r="V21" s="7"/>
    </row>
    <row r="22" spans="1:22" x14ac:dyDescent="0.25">
      <c r="A22" s="7"/>
      <c r="B22" s="7"/>
      <c r="C22" s="7"/>
      <c r="D22" s="7"/>
      <c r="E22" s="7"/>
      <c r="F22" s="7"/>
      <c r="G22" s="7"/>
      <c r="H22" s="7"/>
      <c r="I22" s="7"/>
      <c r="J22" s="55"/>
      <c r="K22" s="55"/>
      <c r="L22" s="55"/>
      <c r="M22" s="7"/>
      <c r="N22" s="7"/>
      <c r="O22" s="7"/>
      <c r="P22" s="7"/>
      <c r="Q22" s="7"/>
      <c r="R22" s="7"/>
      <c r="S22" s="7"/>
      <c r="T22" s="7"/>
      <c r="U22" s="7"/>
      <c r="V22" s="7"/>
    </row>
    <row r="23" spans="1:22" x14ac:dyDescent="0.25">
      <c r="A23" s="7"/>
      <c r="B23" s="7"/>
      <c r="C23" s="7"/>
      <c r="D23" s="7"/>
      <c r="E23" s="7"/>
      <c r="F23" s="7"/>
      <c r="G23" s="7"/>
      <c r="H23" s="7"/>
      <c r="I23" s="7"/>
      <c r="J23" s="55"/>
      <c r="K23" s="55"/>
      <c r="L23" s="55"/>
      <c r="M23" s="7"/>
      <c r="N23" s="7"/>
      <c r="O23" s="7"/>
      <c r="P23" s="7"/>
      <c r="Q23" s="7"/>
      <c r="R23" s="7"/>
      <c r="S23" s="7"/>
      <c r="T23" s="7"/>
      <c r="U23" s="7"/>
      <c r="V23" s="7"/>
    </row>
    <row r="24" spans="1:22" x14ac:dyDescent="0.25">
      <c r="A24" s="7"/>
      <c r="B24" s="7"/>
      <c r="C24" s="7"/>
      <c r="D24" s="7"/>
      <c r="E24" s="7"/>
      <c r="F24" s="7"/>
      <c r="G24" s="7"/>
      <c r="H24" s="7"/>
      <c r="I24" s="7"/>
      <c r="J24" s="55"/>
      <c r="K24" s="55"/>
      <c r="L24" s="55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2" x14ac:dyDescent="0.25">
      <c r="A25" s="7"/>
      <c r="B25" s="7"/>
      <c r="C25" s="7"/>
      <c r="D25" s="7"/>
      <c r="E25" s="7"/>
      <c r="F25" s="7"/>
      <c r="G25" s="7"/>
      <c r="H25" s="7"/>
      <c r="I25" s="7"/>
      <c r="J25" s="55"/>
      <c r="K25" s="55"/>
      <c r="L25" s="55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2" x14ac:dyDescent="0.25">
      <c r="A26" s="7"/>
      <c r="B26" s="7"/>
      <c r="C26" s="7"/>
      <c r="D26" s="7"/>
      <c r="E26" s="7"/>
      <c r="F26" s="7"/>
      <c r="G26" s="7"/>
      <c r="H26" s="7"/>
      <c r="I26" s="7"/>
      <c r="J26" s="55"/>
      <c r="K26" s="55"/>
      <c r="L26" s="55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2" x14ac:dyDescent="0.25">
      <c r="A27" s="7"/>
      <c r="B27" s="7"/>
      <c r="C27" s="7"/>
      <c r="D27" s="7"/>
      <c r="E27" s="7"/>
      <c r="F27" s="7"/>
      <c r="G27" s="7"/>
      <c r="H27" s="7"/>
      <c r="I27" s="7"/>
      <c r="J27" s="55"/>
      <c r="K27" s="55"/>
      <c r="L27" s="55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2" x14ac:dyDescent="0.25">
      <c r="A28" s="7"/>
      <c r="B28" s="7"/>
      <c r="C28" s="7"/>
      <c r="D28" s="7"/>
      <c r="E28" s="7"/>
      <c r="F28" s="7"/>
      <c r="G28" s="7"/>
      <c r="H28" s="7"/>
      <c r="I28" s="7"/>
      <c r="J28" s="55"/>
      <c r="K28" s="55"/>
      <c r="L28" s="55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2" x14ac:dyDescent="0.25">
      <c r="A29" s="7"/>
      <c r="B29" s="7"/>
      <c r="C29" s="7"/>
      <c r="D29" s="7"/>
      <c r="E29" s="7"/>
      <c r="F29" s="7"/>
      <c r="G29" s="7"/>
      <c r="H29" s="7"/>
      <c r="I29" s="7"/>
      <c r="J29" s="55"/>
      <c r="K29" s="55"/>
      <c r="L29" s="55"/>
      <c r="M29" s="7"/>
      <c r="N29" s="7"/>
      <c r="O29" s="7"/>
      <c r="P29" s="7"/>
      <c r="Q29" s="7"/>
      <c r="R29" s="7"/>
      <c r="S29" s="7"/>
      <c r="T29" s="7"/>
      <c r="U29" s="7"/>
      <c r="V29" s="7"/>
    </row>
    <row r="30" spans="1:22" x14ac:dyDescent="0.25">
      <c r="A30" s="7"/>
      <c r="B30" s="7"/>
      <c r="C30" s="7"/>
      <c r="D30" s="7"/>
      <c r="E30" s="7"/>
      <c r="F30" s="7"/>
      <c r="G30" s="7"/>
      <c r="H30" s="7"/>
      <c r="I30" s="7"/>
      <c r="J30" s="55"/>
      <c r="K30" s="55"/>
      <c r="L30" s="55"/>
      <c r="M30" s="7"/>
      <c r="N30" s="7"/>
      <c r="O30" s="7"/>
      <c r="P30" s="7"/>
      <c r="Q30" s="7"/>
      <c r="R30" s="7"/>
      <c r="S30" s="7"/>
      <c r="T30" s="7"/>
      <c r="U30" s="7"/>
      <c r="V30" s="7"/>
    </row>
    <row r="31" spans="1:22" x14ac:dyDescent="0.25">
      <c r="A31" s="7"/>
      <c r="B31" s="7"/>
      <c r="C31" s="7"/>
      <c r="D31" s="7"/>
      <c r="E31" s="7"/>
      <c r="F31" s="7"/>
      <c r="G31" s="7"/>
      <c r="H31" s="7"/>
      <c r="I31" s="7"/>
      <c r="J31" s="55"/>
      <c r="K31" s="55"/>
      <c r="L31" s="55"/>
      <c r="M31" s="7"/>
      <c r="N31" s="7"/>
      <c r="O31" s="7"/>
      <c r="P31" s="7"/>
      <c r="Q31" s="7"/>
      <c r="R31" s="7"/>
      <c r="S31" s="7"/>
      <c r="T31" s="7"/>
      <c r="U31" s="7"/>
      <c r="V31" s="7"/>
    </row>
    <row r="32" spans="1:22" x14ac:dyDescent="0.25">
      <c r="A32" s="7"/>
      <c r="B32" s="7"/>
      <c r="C32" s="7"/>
      <c r="D32" s="7"/>
      <c r="E32" s="7"/>
      <c r="F32" s="7"/>
      <c r="G32" s="7"/>
      <c r="H32" s="7"/>
      <c r="I32" s="7"/>
      <c r="J32" s="55"/>
      <c r="K32" s="55"/>
      <c r="L32" s="55"/>
      <c r="M32" s="7"/>
      <c r="N32" s="7"/>
      <c r="O32" s="7"/>
      <c r="P32" s="7"/>
      <c r="Q32" s="7"/>
      <c r="R32" s="7"/>
      <c r="S32" s="7"/>
      <c r="T32" s="7"/>
      <c r="U32" s="7"/>
      <c r="V32" s="7"/>
    </row>
    <row r="33" spans="1:22" x14ac:dyDescent="0.25">
      <c r="A33" s="7"/>
      <c r="B33" s="7"/>
      <c r="C33" s="7"/>
      <c r="D33" s="7"/>
      <c r="E33" s="7"/>
      <c r="F33" s="7"/>
      <c r="G33" s="7"/>
      <c r="H33" s="7"/>
      <c r="I33" s="7"/>
      <c r="J33" s="55"/>
      <c r="K33" s="55"/>
      <c r="L33" s="55"/>
      <c r="M33" s="7"/>
      <c r="N33" s="7"/>
      <c r="O33" s="7"/>
      <c r="P33" s="7"/>
      <c r="Q33" s="7"/>
      <c r="R33" s="7"/>
      <c r="S33" s="7"/>
      <c r="T33" s="7"/>
      <c r="U33" s="7"/>
      <c r="V33" s="7"/>
    </row>
    <row r="34" spans="1:22" x14ac:dyDescent="0.25">
      <c r="A34" s="7"/>
      <c r="B34" s="7"/>
      <c r="C34" s="7"/>
      <c r="D34" s="7"/>
      <c r="E34" s="7"/>
      <c r="F34" s="7"/>
      <c r="G34" s="7"/>
      <c r="H34" s="7"/>
      <c r="I34" s="7"/>
      <c r="J34" s="55"/>
      <c r="K34" s="55"/>
      <c r="L34" s="55"/>
      <c r="M34" s="7"/>
      <c r="N34" s="7"/>
      <c r="O34" s="7"/>
      <c r="P34" s="7"/>
      <c r="Q34" s="7"/>
      <c r="R34" s="7"/>
      <c r="S34" s="7"/>
      <c r="T34" s="7"/>
      <c r="U34" s="7"/>
      <c r="V34" s="7"/>
    </row>
    <row r="35" spans="1:22" x14ac:dyDescent="0.25">
      <c r="A35" s="7"/>
      <c r="B35" s="7"/>
      <c r="C35" s="7"/>
      <c r="D35" s="7"/>
      <c r="E35" s="7"/>
      <c r="F35" s="7"/>
      <c r="G35" s="7"/>
      <c r="H35" s="7"/>
      <c r="I35" s="7"/>
      <c r="J35" s="55"/>
      <c r="K35" s="55"/>
      <c r="L35" s="55"/>
      <c r="M35" s="7"/>
      <c r="N35" s="7"/>
      <c r="O35" s="7"/>
      <c r="P35" s="7"/>
      <c r="Q35" s="7"/>
      <c r="R35" s="7"/>
      <c r="S35" s="7"/>
      <c r="T35" s="7"/>
      <c r="U35" s="7"/>
      <c r="V35" s="7"/>
    </row>
    <row r="36" spans="1:22" x14ac:dyDescent="0.25">
      <c r="A36" s="7"/>
      <c r="B36" s="7"/>
      <c r="C36" s="7"/>
      <c r="D36" s="7"/>
      <c r="E36" s="7"/>
      <c r="F36" s="7"/>
      <c r="G36" s="7"/>
      <c r="H36" s="7"/>
      <c r="I36" s="7"/>
      <c r="J36" s="55"/>
      <c r="K36" s="55"/>
      <c r="L36" s="55"/>
      <c r="M36" s="7"/>
      <c r="N36" s="7"/>
      <c r="O36" s="7"/>
      <c r="P36" s="7"/>
      <c r="Q36" s="7"/>
      <c r="R36" s="7"/>
      <c r="S36" s="7"/>
      <c r="T36" s="7"/>
      <c r="U36" s="7"/>
      <c r="V36" s="7"/>
    </row>
    <row r="37" spans="1:22" x14ac:dyDescent="0.25">
      <c r="A37" s="7"/>
      <c r="B37" s="7"/>
      <c r="C37" s="7"/>
      <c r="D37" s="7"/>
      <c r="E37" s="7"/>
      <c r="F37" s="7"/>
      <c r="G37" s="7"/>
      <c r="H37" s="7"/>
      <c r="I37" s="7"/>
      <c r="J37" s="55"/>
      <c r="K37" s="55"/>
      <c r="L37" s="55"/>
      <c r="M37" s="7"/>
      <c r="N37" s="7"/>
      <c r="O37" s="7"/>
      <c r="P37" s="7"/>
      <c r="Q37" s="7"/>
      <c r="R37" s="7"/>
      <c r="S37" s="7"/>
      <c r="T37" s="7"/>
      <c r="U37" s="7"/>
      <c r="V37" s="7"/>
    </row>
    <row r="38" spans="1:22" x14ac:dyDescent="0.25">
      <c r="A38" s="7"/>
      <c r="B38" s="7"/>
      <c r="C38" s="7"/>
      <c r="D38" s="7"/>
      <c r="E38" s="7"/>
      <c r="F38" s="7"/>
      <c r="G38" s="7"/>
      <c r="H38" s="7"/>
      <c r="I38" s="7"/>
      <c r="J38" s="55"/>
      <c r="K38" s="55"/>
      <c r="L38" s="55"/>
      <c r="M38" s="7"/>
      <c r="N38" s="7"/>
      <c r="O38" s="7"/>
      <c r="P38" s="7"/>
      <c r="Q38" s="7"/>
      <c r="R38" s="7"/>
      <c r="S38" s="7"/>
      <c r="T38" s="7"/>
      <c r="U38" s="7"/>
      <c r="V38" s="7"/>
    </row>
    <row r="39" spans="1:22" x14ac:dyDescent="0.25">
      <c r="A39" s="7"/>
      <c r="B39" s="7"/>
      <c r="C39" s="7"/>
      <c r="D39" s="7"/>
      <c r="E39" s="7"/>
      <c r="F39" s="7"/>
      <c r="G39" s="7"/>
      <c r="H39" s="7"/>
      <c r="I39" s="7"/>
      <c r="J39" s="55"/>
      <c r="K39" s="55"/>
      <c r="L39" s="55"/>
      <c r="M39" s="7"/>
      <c r="N39" s="7"/>
      <c r="O39" s="7"/>
      <c r="P39" s="7"/>
      <c r="Q39" s="7"/>
      <c r="R39" s="7"/>
      <c r="S39" s="7"/>
      <c r="T39" s="7"/>
      <c r="U39" s="7"/>
      <c r="V39" s="7"/>
    </row>
    <row r="40" spans="1:22" x14ac:dyDescent="0.25">
      <c r="A40" s="7"/>
      <c r="B40" s="7"/>
      <c r="C40" s="7"/>
      <c r="D40" s="7"/>
      <c r="E40" s="7"/>
      <c r="F40" s="7"/>
      <c r="G40" s="7"/>
      <c r="H40" s="7"/>
      <c r="I40" s="7"/>
      <c r="J40" s="55"/>
      <c r="K40" s="55"/>
      <c r="L40" s="55"/>
      <c r="M40" s="7"/>
      <c r="N40" s="7"/>
      <c r="O40" s="7"/>
      <c r="P40" s="7"/>
      <c r="Q40" s="7"/>
      <c r="R40" s="7"/>
      <c r="S40" s="7"/>
      <c r="T40" s="7"/>
      <c r="U40" s="7"/>
      <c r="V40" s="7"/>
    </row>
  </sheetData>
  <conditionalFormatting sqref="A3:P40 T3:V40">
    <cfRule type="expression" dxfId="10" priority="11">
      <formula>$A3="Pipe"</formula>
    </cfRule>
    <cfRule type="expression" dxfId="9" priority="10">
      <formula>$A3="Volume"</formula>
    </cfRule>
  </conditionalFormatting>
  <conditionalFormatting sqref="A3:V40">
    <cfRule type="expression" dxfId="8" priority="9">
      <formula>$A3="Junction"</formula>
    </cfRule>
    <cfRule type="expression" dxfId="7" priority="8">
      <formula>$A3="Section"</formula>
    </cfRule>
    <cfRule type="expression" dxfId="6" priority="2">
      <formula>OR($A3="Junction",$A3="Pipe",$A3="Volume",$A3="Section")</formula>
    </cfRule>
  </conditionalFormatting>
  <conditionalFormatting sqref="Q3:T40">
    <cfRule type="expression" dxfId="5" priority="7">
      <formula>OR($A3="Pipe",$A3="Volume")</formula>
    </cfRule>
  </conditionalFormatting>
  <conditionalFormatting sqref="S3:T40">
    <cfRule type="expression" dxfId="4" priority="6">
      <formula>AND($A3="Junction",$S3=$D5,$T3="A",ISTEXT($D5))</formula>
    </cfRule>
  </conditionalFormatting>
  <conditionalFormatting sqref="Q3:R40">
    <cfRule type="expression" dxfId="3" priority="5">
      <formula>AND($A3="Junction",$Q3=$D1,$R3="B")</formula>
    </cfRule>
  </conditionalFormatting>
  <conditionalFormatting sqref="R3:R40">
    <cfRule type="expression" dxfId="2" priority="4">
      <formula>AND($A3="Junction",ISNUMBER(R3))</formula>
    </cfRule>
  </conditionalFormatting>
  <conditionalFormatting sqref="T3:T40">
    <cfRule type="expression" dxfId="1" priority="3">
      <formula>AND($A3="Junction",ISNUMBER(T3))</formula>
    </cfRule>
  </conditionalFormatting>
  <conditionalFormatting sqref="E3:F40 I3:I40 L3:L40 N3:N40 P3:P40 R3:R40 T3:T40 V3:V40">
    <cfRule type="expression" dxfId="0" priority="1">
      <formula>OR($A3="Junction",$A3="Pipe",$A3="Volume")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8</vt:i4>
      </vt:variant>
    </vt:vector>
  </HeadingPairs>
  <TitlesOfParts>
    <vt:vector size="8" baseType="lpstr">
      <vt:lpstr>BDAHSG-01</vt:lpstr>
      <vt:lpstr>Simple</vt:lpstr>
      <vt:lpstr>Simple (2)</vt:lpstr>
      <vt:lpstr>Simple (3)</vt:lpstr>
      <vt:lpstr>Blad1</vt:lpstr>
      <vt:lpstr>Blad2</vt:lpstr>
      <vt:lpstr>Blad3</vt:lpstr>
      <vt:lpstr>Blad4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cp:lastPrinted>2019-09-01T18:23:14Z</cp:lastPrinted>
  <dcterms:created xsi:type="dcterms:W3CDTF">2019-07-12T20:23:23Z</dcterms:created>
  <dcterms:modified xsi:type="dcterms:W3CDTF">2019-09-03T21:17:37Z</dcterms:modified>
</cp:coreProperties>
</file>