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/>
  </bookViews>
  <sheets>
    <sheet name="BDAHSG-01" sheetId="9" r:id="rId1"/>
    <sheet name="Simple1" sheetId="10" r:id="rId2"/>
    <sheet name="Simple1_sned" sheetId="11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9" l="1"/>
  <c r="D7" i="9"/>
  <c r="D8" i="9"/>
  <c r="Q62" i="11" l="1"/>
  <c r="H31" i="11"/>
  <c r="D64" i="11" l="1"/>
  <c r="S62" i="11" s="1"/>
  <c r="D62" i="11"/>
  <c r="D58" i="11"/>
  <c r="D56" i="11"/>
  <c r="Q58" i="11" s="1"/>
  <c r="D55" i="11"/>
  <c r="S53" i="11" s="1"/>
  <c r="Q53" i="11"/>
  <c r="D53" i="11"/>
  <c r="D51" i="11"/>
  <c r="D50" i="11"/>
  <c r="S48" i="11"/>
  <c r="D48" i="11"/>
  <c r="D43" i="11"/>
  <c r="S41" i="11"/>
  <c r="Q41" i="11"/>
  <c r="D41" i="11"/>
  <c r="D39" i="11"/>
  <c r="D38" i="11"/>
  <c r="D37" i="11"/>
  <c r="S58" i="11" s="1"/>
  <c r="D35" i="11"/>
  <c r="D33" i="11"/>
  <c r="Q35" i="11" s="1"/>
  <c r="D32" i="11"/>
  <c r="D31" i="11"/>
  <c r="D30" i="11"/>
  <c r="S28" i="11"/>
  <c r="D28" i="11"/>
  <c r="D26" i="11"/>
  <c r="Q28" i="11" s="1"/>
  <c r="B13" i="11"/>
  <c r="D7" i="11"/>
  <c r="B3" i="11"/>
  <c r="B13" i="10"/>
  <c r="D58" i="10"/>
  <c r="D56" i="10"/>
  <c r="Q58" i="10" s="1"/>
  <c r="D55" i="10"/>
  <c r="S53" i="10" s="1"/>
  <c r="Q53" i="10"/>
  <c r="D53" i="10"/>
  <c r="D51" i="10"/>
  <c r="D50" i="10"/>
  <c r="S48" i="10"/>
  <c r="D48" i="10"/>
  <c r="D43" i="10"/>
  <c r="S41" i="10"/>
  <c r="Q41" i="10"/>
  <c r="D41" i="10"/>
  <c r="D39" i="10"/>
  <c r="D38" i="10"/>
  <c r="D37" i="10"/>
  <c r="S58" i="10" s="1"/>
  <c r="D35" i="10"/>
  <c r="D33" i="10"/>
  <c r="Q35" i="10" s="1"/>
  <c r="D32" i="10"/>
  <c r="D31" i="10"/>
  <c r="D30" i="10"/>
  <c r="S28" i="10" s="1"/>
  <c r="D28" i="10"/>
  <c r="D26" i="10"/>
  <c r="Q28" i="10" s="1"/>
  <c r="D7" i="10"/>
  <c r="B3" i="10"/>
  <c r="Q48" i="11" l="1"/>
  <c r="S35" i="11"/>
  <c r="Q48" i="10"/>
  <c r="S35" i="10"/>
  <c r="X26" i="9" l="1"/>
  <c r="Y26" i="9"/>
  <c r="Z26" i="9"/>
  <c r="X135" i="9"/>
  <c r="X136" i="9" s="1"/>
  <c r="X137" i="9" s="1"/>
  <c r="Z134" i="9"/>
  <c r="Z135" i="9" s="1"/>
  <c r="Y134" i="9"/>
  <c r="Y135" i="9" s="1"/>
  <c r="X134" i="9"/>
  <c r="Z124" i="9"/>
  <c r="Z125" i="9" s="1"/>
  <c r="Z126" i="9" s="1"/>
  <c r="Z127" i="9" s="1"/>
  <c r="Y124" i="9"/>
  <c r="Y125" i="9" s="1"/>
  <c r="Y126" i="9" s="1"/>
  <c r="Y127" i="9" s="1"/>
  <c r="Y128" i="9" s="1"/>
  <c r="Y129" i="9" s="1"/>
  <c r="Y130" i="9" s="1"/>
  <c r="Y131" i="9" s="1"/>
  <c r="X124" i="9"/>
  <c r="X125" i="9" s="1"/>
  <c r="X126" i="9" s="1"/>
  <c r="X127" i="9" s="1"/>
  <c r="X128" i="9" s="1"/>
  <c r="X129" i="9" s="1"/>
  <c r="X130" i="9" s="1"/>
  <c r="X131" i="9" s="1"/>
  <c r="X114" i="9"/>
  <c r="X115" i="9" s="1"/>
  <c r="X116" i="9" s="1"/>
  <c r="X117" i="9" s="1"/>
  <c r="X118" i="9" s="1"/>
  <c r="X119" i="9" s="1"/>
  <c r="X120" i="9" s="1"/>
  <c r="Z113" i="9"/>
  <c r="Z114" i="9" s="1"/>
  <c r="Y113" i="9"/>
  <c r="Y114" i="9" s="1"/>
  <c r="Y115" i="9" s="1"/>
  <c r="Y116" i="9" s="1"/>
  <c r="Y117" i="9" s="1"/>
  <c r="Y118" i="9" s="1"/>
  <c r="Y119" i="9" s="1"/>
  <c r="Y120" i="9" s="1"/>
  <c r="X113" i="9"/>
  <c r="Z97" i="9"/>
  <c r="Z96" i="9"/>
  <c r="Z95" i="9"/>
  <c r="Y95" i="9"/>
  <c r="Y96" i="9" s="1"/>
  <c r="Y97" i="9" s="1"/>
  <c r="X95" i="9"/>
  <c r="X96" i="9" s="1"/>
  <c r="Z86" i="9"/>
  <c r="Z87" i="9" s="1"/>
  <c r="Y86" i="9"/>
  <c r="Y87" i="9" s="1"/>
  <c r="X86" i="9"/>
  <c r="X87" i="9" s="1"/>
  <c r="Y66" i="9"/>
  <c r="Y67" i="9" s="1"/>
  <c r="Y68" i="9" s="1"/>
  <c r="Y69" i="9" s="1"/>
  <c r="Y70" i="9" s="1"/>
  <c r="Y71" i="9" s="1"/>
  <c r="Y72" i="9" s="1"/>
  <c r="Y73" i="9" s="1"/>
  <c r="Y74" i="9" s="1"/>
  <c r="Y75" i="9" s="1"/>
  <c r="Y76" i="9" s="1"/>
  <c r="Y77" i="9" s="1"/>
  <c r="Z65" i="9"/>
  <c r="Z66" i="9" s="1"/>
  <c r="Z67" i="9" s="1"/>
  <c r="Z68" i="9" s="1"/>
  <c r="Z69" i="9" s="1"/>
  <c r="Z70" i="9" s="1"/>
  <c r="Y65" i="9"/>
  <c r="X65" i="9"/>
  <c r="X66" i="9" s="1"/>
  <c r="X67" i="9" s="1"/>
  <c r="X68" i="9" s="1"/>
  <c r="X69" i="9" s="1"/>
  <c r="X70" i="9" s="1"/>
  <c r="X71" i="9" s="1"/>
  <c r="X72" i="9" s="1"/>
  <c r="X73" i="9" s="1"/>
  <c r="X74" i="9" s="1"/>
  <c r="X75" i="9" s="1"/>
  <c r="X76" i="9" s="1"/>
  <c r="X77" i="9" s="1"/>
  <c r="F76" i="9"/>
  <c r="D76" i="9"/>
  <c r="S74" i="9" s="1"/>
  <c r="D74" i="9"/>
  <c r="F72" i="9"/>
  <c r="D72" i="9"/>
  <c r="Q74" i="9" s="1"/>
  <c r="F71" i="9"/>
  <c r="D71" i="9"/>
  <c r="D70" i="9"/>
  <c r="D69" i="9"/>
  <c r="D68" i="9"/>
  <c r="D67" i="9"/>
  <c r="S65" i="9" s="1"/>
  <c r="D65" i="9"/>
  <c r="G136" i="9"/>
  <c r="D136" i="9"/>
  <c r="S134" i="9" s="1"/>
  <c r="D134" i="9"/>
  <c r="D130" i="9"/>
  <c r="D129" i="9"/>
  <c r="L128" i="9"/>
  <c r="D128" i="9"/>
  <c r="D127" i="9"/>
  <c r="D126" i="9"/>
  <c r="S124" i="9" s="1"/>
  <c r="D124" i="9"/>
  <c r="D119" i="9"/>
  <c r="D118" i="9"/>
  <c r="D117" i="9"/>
  <c r="D116" i="9"/>
  <c r="F115" i="9"/>
  <c r="D115" i="9"/>
  <c r="S113" i="9" s="1"/>
  <c r="D113" i="9"/>
  <c r="D108" i="9"/>
  <c r="D106" i="9"/>
  <c r="Q108" i="9" s="1"/>
  <c r="D105" i="9"/>
  <c r="F104" i="9"/>
  <c r="D104" i="9"/>
  <c r="S102" i="9" s="1"/>
  <c r="D102" i="9"/>
  <c r="F100" i="9"/>
  <c r="D100" i="9"/>
  <c r="Q102" i="9" s="1"/>
  <c r="F99" i="9"/>
  <c r="D99" i="9"/>
  <c r="F98" i="9"/>
  <c r="D98" i="9"/>
  <c r="F97" i="9"/>
  <c r="D97" i="9"/>
  <c r="S95" i="9" s="1"/>
  <c r="R95" i="9"/>
  <c r="D95" i="9"/>
  <c r="M91" i="9"/>
  <c r="O91" i="9" s="1"/>
  <c r="D91" i="9"/>
  <c r="Q113" i="9" s="1"/>
  <c r="M86" i="9"/>
  <c r="O86" i="9" s="1"/>
  <c r="D86" i="9"/>
  <c r="Q124" i="9" s="1"/>
  <c r="F60" i="9"/>
  <c r="D60" i="9"/>
  <c r="F59" i="9"/>
  <c r="D59" i="9"/>
  <c r="S57" i="9" s="1"/>
  <c r="D57" i="9"/>
  <c r="F55" i="9"/>
  <c r="D55" i="9"/>
  <c r="Q57" i="9" s="1"/>
  <c r="D53" i="9"/>
  <c r="F51" i="9"/>
  <c r="D51" i="9"/>
  <c r="Q53" i="9" s="1"/>
  <c r="F50" i="9"/>
  <c r="D50" i="9"/>
  <c r="S48" i="9" s="1"/>
  <c r="D48" i="9"/>
  <c r="D39" i="9"/>
  <c r="D37" i="9"/>
  <c r="Q39" i="9" s="1"/>
  <c r="D36" i="9"/>
  <c r="D35" i="9"/>
  <c r="D34" i="9"/>
  <c r="F33" i="9"/>
  <c r="D33" i="9"/>
  <c r="S31" i="9" s="1"/>
  <c r="D31" i="9"/>
  <c r="F29" i="9"/>
  <c r="D29" i="9"/>
  <c r="Q31" i="9" s="1"/>
  <c r="D28" i="9"/>
  <c r="F27" i="9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D27" i="9"/>
  <c r="H98" i="9"/>
  <c r="X47" i="9" l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90" i="9"/>
  <c r="X91" i="9" s="1"/>
  <c r="X92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Z71" i="9"/>
  <c r="Z72" i="9" s="1"/>
  <c r="Z73" i="9" s="1"/>
  <c r="Z74" i="9" s="1"/>
  <c r="Z75" i="9" s="1"/>
  <c r="Z76" i="9" s="1"/>
  <c r="Z77" i="9" s="1"/>
  <c r="Y136" i="9"/>
  <c r="Y137" i="9" s="1"/>
  <c r="Z98" i="9"/>
  <c r="Z99" i="9" s="1"/>
  <c r="Z100" i="9" s="1"/>
  <c r="Z101" i="9" s="1"/>
  <c r="Z102" i="9" s="1"/>
  <c r="Z103" i="9" s="1"/>
  <c r="Z104" i="9" s="1"/>
  <c r="Z105" i="9" s="1"/>
  <c r="Z106" i="9" s="1"/>
  <c r="Z107" i="9" s="1"/>
  <c r="Z108" i="9" s="1"/>
  <c r="Z109" i="9" s="1"/>
  <c r="Z27" i="9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X97" i="9"/>
  <c r="Z115" i="9"/>
  <c r="Z116" i="9" s="1"/>
  <c r="Z117" i="9" s="1"/>
  <c r="Z118" i="9" s="1"/>
  <c r="Z119" i="9" s="1"/>
  <c r="Z120" i="9" s="1"/>
  <c r="Z136" i="9"/>
  <c r="Z137" i="9" s="1"/>
  <c r="Z128" i="9"/>
  <c r="Z129" i="9" s="1"/>
  <c r="Z130" i="9" s="1"/>
  <c r="Z131" i="9" s="1"/>
  <c r="X98" i="9"/>
  <c r="X99" i="9" s="1"/>
  <c r="X100" i="9" s="1"/>
  <c r="X101" i="9" s="1"/>
  <c r="X102" i="9" s="1"/>
  <c r="X103" i="9" s="1"/>
  <c r="X104" i="9" s="1"/>
  <c r="X105" i="9" s="1"/>
  <c r="X106" i="9" s="1"/>
  <c r="X107" i="9" s="1"/>
  <c r="X108" i="9" s="1"/>
  <c r="X109" i="9" s="1"/>
  <c r="Y98" i="9"/>
  <c r="Y99" i="9" s="1"/>
  <c r="Y100" i="9" s="1"/>
  <c r="Y101" i="9" s="1"/>
  <c r="Y102" i="9" s="1"/>
  <c r="Y103" i="9" s="1"/>
  <c r="Y104" i="9" s="1"/>
  <c r="Y105" i="9" s="1"/>
  <c r="Y106" i="9" s="1"/>
  <c r="Y107" i="9" s="1"/>
  <c r="Y108" i="9" s="1"/>
  <c r="Y109" i="9" s="1"/>
  <c r="Q65" i="9"/>
  <c r="S39" i="9"/>
  <c r="Q48" i="9"/>
  <c r="Q134" i="9"/>
  <c r="S53" i="9"/>
  <c r="S108" i="9"/>
  <c r="Q95" i="9"/>
  <c r="B3" i="9"/>
  <c r="Z90" i="9" l="1"/>
  <c r="Z91" i="9" s="1"/>
  <c r="Z92" i="9" s="1"/>
  <c r="Z47" i="9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90" i="9"/>
  <c r="Y91" i="9" s="1"/>
  <c r="Y92" i="9" s="1"/>
</calcChain>
</file>

<file path=xl/sharedStrings.xml><?xml version="1.0" encoding="utf-8"?>
<sst xmlns="http://schemas.openxmlformats.org/spreadsheetml/2006/main" count="505" uniqueCount="82">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</sst>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57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133350</xdr:colOff>
          <xdr:row>1</xdr:row>
          <xdr:rowOff>123825</xdr:rowOff>
        </xdr:from>
        <xdr:to>
          <xdr:col>25</xdr:col>
          <xdr:colOff>352425</xdr:colOff>
          <xdr:row>3</xdr:row>
          <xdr:rowOff>47625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142875</xdr:rowOff>
        </xdr:from>
        <xdr:to>
          <xdr:col>11</xdr:col>
          <xdr:colOff>600075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1</xdr:row>
          <xdr:rowOff>142875</xdr:rowOff>
        </xdr:from>
        <xdr:to>
          <xdr:col>13</xdr:col>
          <xdr:colOff>400050</xdr:colOff>
          <xdr:row>3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142875</xdr:rowOff>
        </xdr:from>
        <xdr:to>
          <xdr:col>15</xdr:col>
          <xdr:colOff>304800</xdr:colOff>
          <xdr:row>3</xdr:row>
          <xdr:rowOff>66675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142875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Temp/XlsPipePlot-different_frameworks/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37"/>
  <sheetViews>
    <sheetView tabSelected="1" zoomScale="85" zoomScaleNormal="85" workbookViewId="0">
      <pane ySplit="4" topLeftCell="A5" activePane="bottomLeft" state="frozenSplit"/>
      <selection pane="bottomLeft" activeCell="D24" sqref="D24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.75" x14ac:dyDescent="0.3">
      <c r="A5" s="15" t="s">
        <v>31</v>
      </c>
      <c r="D5" s="34" t="s">
        <v>46</v>
      </c>
      <c r="O5"/>
      <c r="P5"/>
    </row>
    <row r="6" spans="1:26" ht="14.45" customHeight="1" x14ac:dyDescent="0.25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x14ac:dyDescent="0.25">
      <c r="A7" t="s">
        <v>42</v>
      </c>
      <c r="D7" s="5" t="str">
        <f>HYPERLINK(SUBSTITUTE(D6,"XlsPipePlot.exe","stdlib\"))</f>
        <v>"..\stdlib\"</v>
      </c>
      <c r="F7" t="s">
        <v>81</v>
      </c>
      <c r="O7"/>
      <c r="P7"/>
    </row>
    <row r="8" spans="1:26" ht="14.45" x14ac:dyDescent="0.3">
      <c r="A8" s="41" t="s">
        <v>33</v>
      </c>
      <c r="B8" s="41"/>
      <c r="C8" s="41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D27</f>
        <v>PIPE_27</v>
      </c>
      <c r="C13" s="40" t="s">
        <v>43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6" ht="14.45" x14ac:dyDescent="0.3">
      <c r="A17" s="21"/>
      <c r="B17" s="22"/>
      <c r="C17" s="23"/>
      <c r="D17" s="24"/>
      <c r="E17" s="25"/>
      <c r="F17" s="26"/>
      <c r="O17"/>
      <c r="P17"/>
    </row>
    <row r="18" spans="1:26" ht="14.45" x14ac:dyDescent="0.3">
      <c r="A18" s="27"/>
      <c r="B18" s="27"/>
      <c r="C18" s="27"/>
      <c r="D18" s="28"/>
      <c r="E18" s="28"/>
      <c r="F18" s="28"/>
      <c r="O18"/>
      <c r="P18"/>
    </row>
    <row r="19" spans="1:26" ht="14.45" x14ac:dyDescent="0.3">
      <c r="O19"/>
      <c r="P19"/>
    </row>
    <row r="20" spans="1:26" ht="14.45" x14ac:dyDescent="0.3">
      <c r="O20"/>
      <c r="P20"/>
    </row>
    <row r="21" spans="1:26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6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6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6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6" ht="14.45" x14ac:dyDescent="0.3">
      <c r="A25" s="7"/>
      <c r="B25" s="7"/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6" ht="14.45" x14ac:dyDescent="0.3">
      <c r="A26" s="7" t="s">
        <v>25</v>
      </c>
      <c r="B26" s="7" t="s">
        <v>69</v>
      </c>
      <c r="C26" s="30"/>
      <c r="D26" s="7"/>
      <c r="E26" s="7"/>
      <c r="F26" s="31"/>
      <c r="G26" s="32"/>
      <c r="H26" s="32"/>
      <c r="I26" s="32"/>
      <c r="J26" s="29"/>
      <c r="K26" s="29"/>
      <c r="L26" s="29"/>
      <c r="M26" s="33"/>
      <c r="N26" s="33"/>
      <c r="O26" s="36"/>
      <c r="P26" s="36"/>
      <c r="Q26" s="7"/>
      <c r="R26" s="31"/>
      <c r="S26" s="7"/>
      <c r="T26" s="31"/>
      <c r="U26" s="7"/>
      <c r="V26" s="7"/>
      <c r="X26" s="39">
        <f t="shared" ref="X26:Y26" si="0">D13</f>
        <v>0</v>
      </c>
      <c r="Y26" s="39">
        <f t="shared" si="0"/>
        <v>0</v>
      </c>
      <c r="Z26" s="39">
        <f>F13</f>
        <v>107.24</v>
      </c>
    </row>
    <row r="27" spans="1:26" ht="14.45" x14ac:dyDescent="0.3">
      <c r="A27" s="7" t="s">
        <v>7</v>
      </c>
      <c r="B27" s="7" t="s">
        <v>7</v>
      </c>
      <c r="C27" s="30" t="s">
        <v>7</v>
      </c>
      <c r="D27" s="7" t="str">
        <f t="shared" ref="D27:D37" si="1">CONCATENATE("PIPE_",ROW())</f>
        <v>PIPE_27</v>
      </c>
      <c r="E27" s="7"/>
      <c r="F27" s="31">
        <f>0.229+0.73</f>
        <v>0.95899999999999996</v>
      </c>
      <c r="G27" s="32">
        <v>0</v>
      </c>
      <c r="H27" s="32">
        <v>180</v>
      </c>
      <c r="I27" s="32">
        <v>0</v>
      </c>
      <c r="J27" s="29">
        <v>0</v>
      </c>
      <c r="K27" s="29">
        <v>0</v>
      </c>
      <c r="L27" s="29">
        <v>0</v>
      </c>
      <c r="M27" s="33">
        <v>168.3</v>
      </c>
      <c r="N27" s="33">
        <v>7.11</v>
      </c>
      <c r="O27" s="36">
        <v>1.36</v>
      </c>
      <c r="P27" s="36"/>
      <c r="Q27" s="7"/>
      <c r="R27" s="31"/>
      <c r="S27" s="7"/>
      <c r="T27" s="31"/>
      <c r="U27" s="7"/>
      <c r="V27" s="7"/>
      <c r="X27" s="39">
        <f t="shared" ref="X27:X40" si="2">IF(OR(A27="volume",A27="pipe",A27="junction"),X26+F27*COS(G27*PI()/180)*COS(H27*PI()/180)+J27,X26)</f>
        <v>-0.95899999999999996</v>
      </c>
      <c r="Y27" s="39">
        <f t="shared" ref="Y27:Y40" si="3">IF(OR(A27="volume",A27="pipe",A27="junction"),Y26+F27*COS(G27*PI()/180)*SIN(H27*PI()/180)+K27,Y26)</f>
        <v>1.1749173682573664E-16</v>
      </c>
      <c r="Z27" s="39">
        <f t="shared" ref="Z27:Z40" si="4">IF(OR(A27="volume",A27="pipe",A27="junction"),Z26+F27*SIN(G27*PI()/180)+L27,Z26)</f>
        <v>107.24</v>
      </c>
    </row>
    <row r="28" spans="1:26" ht="14.45" x14ac:dyDescent="0.3">
      <c r="A28" s="7" t="s">
        <v>7</v>
      </c>
      <c r="B28" s="7" t="s">
        <v>7</v>
      </c>
      <c r="C28" s="30" t="s">
        <v>7</v>
      </c>
      <c r="D28" s="7" t="str">
        <f t="shared" si="1"/>
        <v>PIPE_28</v>
      </c>
      <c r="E28" s="7"/>
      <c r="F28" s="31">
        <v>0.9</v>
      </c>
      <c r="G28" s="32">
        <v>0</v>
      </c>
      <c r="H28" s="32">
        <v>180</v>
      </c>
      <c r="I28" s="32">
        <v>0</v>
      </c>
      <c r="J28" s="29">
        <v>0</v>
      </c>
      <c r="K28" s="29">
        <v>0</v>
      </c>
      <c r="L28" s="29">
        <v>0</v>
      </c>
      <c r="M28" s="33">
        <v>168.3</v>
      </c>
      <c r="N28" s="33">
        <v>7.11</v>
      </c>
      <c r="O28" s="36">
        <v>1.28</v>
      </c>
      <c r="P28" s="36"/>
      <c r="Q28" s="7"/>
      <c r="R28" s="31"/>
      <c r="S28" s="7"/>
      <c r="T28" s="31"/>
      <c r="U28" s="7"/>
      <c r="V28" s="7"/>
      <c r="X28" s="39">
        <f t="shared" si="2"/>
        <v>-1.859</v>
      </c>
      <c r="Y28" s="39">
        <f t="shared" si="3"/>
        <v>2.2775509776751247E-16</v>
      </c>
      <c r="Z28" s="39">
        <f t="shared" si="4"/>
        <v>107.24</v>
      </c>
    </row>
    <row r="29" spans="1:26" ht="14.45" x14ac:dyDescent="0.3">
      <c r="A29" s="7" t="s">
        <v>7</v>
      </c>
      <c r="B29" s="7" t="s">
        <v>7</v>
      </c>
      <c r="C29" s="30" t="s">
        <v>7</v>
      </c>
      <c r="D29" s="7" t="str">
        <f t="shared" si="1"/>
        <v>PIPE_29</v>
      </c>
      <c r="E29" s="7"/>
      <c r="F29" s="31">
        <f>0.229+1.475+1.475+0.1</f>
        <v>3.2790000000000004</v>
      </c>
      <c r="G29" s="32">
        <v>-90</v>
      </c>
      <c r="H29" s="32">
        <v>0</v>
      </c>
      <c r="I29" s="32">
        <v>0</v>
      </c>
      <c r="J29" s="29">
        <v>0</v>
      </c>
      <c r="K29" s="29">
        <v>0</v>
      </c>
      <c r="L29" s="29">
        <v>0</v>
      </c>
      <c r="M29" s="33">
        <v>168.3</v>
      </c>
      <c r="N29" s="33">
        <v>7.11</v>
      </c>
      <c r="O29" s="36">
        <v>1.28</v>
      </c>
      <c r="P29" s="36"/>
      <c r="Q29" s="7"/>
      <c r="R29" s="31"/>
      <c r="S29" s="7"/>
      <c r="T29" s="31"/>
      <c r="U29" s="7"/>
      <c r="V29" s="7"/>
      <c r="X29" s="39">
        <f t="shared" si="2"/>
        <v>-1.8589999999999998</v>
      </c>
      <c r="Y29" s="39">
        <f t="shared" si="3"/>
        <v>2.2775509776751247E-16</v>
      </c>
      <c r="Z29" s="39">
        <f t="shared" si="4"/>
        <v>103.961</v>
      </c>
    </row>
    <row r="30" spans="1:26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6"/>
      <c r="P30" s="36"/>
      <c r="Q30" s="7"/>
      <c r="R30" s="31"/>
      <c r="S30" s="7"/>
      <c r="T30" s="31"/>
      <c r="U30" s="7"/>
      <c r="V30" s="7"/>
      <c r="X30" s="39">
        <f t="shared" si="2"/>
        <v>-1.8589999999999998</v>
      </c>
      <c r="Y30" s="39">
        <f t="shared" si="3"/>
        <v>2.2775509776751247E-16</v>
      </c>
      <c r="Z30" s="39">
        <f t="shared" si="4"/>
        <v>103.961</v>
      </c>
    </row>
    <row r="31" spans="1:26" ht="14.45" x14ac:dyDescent="0.3">
      <c r="A31" s="7" t="s">
        <v>47</v>
      </c>
      <c r="B31" s="7" t="s">
        <v>9</v>
      </c>
      <c r="C31" s="30" t="s">
        <v>52</v>
      </c>
      <c r="D31" s="7" t="str">
        <f>CONCATENATE("COMP_",ROW())</f>
        <v>COMP_31</v>
      </c>
      <c r="E31" s="7" t="s">
        <v>53</v>
      </c>
      <c r="F31" s="31">
        <v>0.08</v>
      </c>
      <c r="G31" s="32">
        <v>-90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168.3</v>
      </c>
      <c r="N31" s="33">
        <v>7.11</v>
      </c>
      <c r="O31" s="36"/>
      <c r="P31" s="36"/>
      <c r="Q31" s="7" t="str">
        <f ca="1">OFFSET($A$1,ROW()-3,3)</f>
        <v>PIPE_29</v>
      </c>
      <c r="R31" s="31" t="s">
        <v>44</v>
      </c>
      <c r="S31" s="7" t="str">
        <f ca="1">OFFSET($A$1,ROW()+1,3)</f>
        <v>PIPE_33</v>
      </c>
      <c r="T31" s="31" t="s">
        <v>43</v>
      </c>
      <c r="U31" s="7"/>
      <c r="V31" s="7"/>
      <c r="X31" s="39">
        <f t="shared" si="2"/>
        <v>-1.8589999999999998</v>
      </c>
      <c r="Y31" s="39">
        <f t="shared" si="3"/>
        <v>2.2775509776751247E-16</v>
      </c>
      <c r="Z31" s="39">
        <f t="shared" si="4"/>
        <v>103.881</v>
      </c>
    </row>
    <row r="32" spans="1:26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  <c r="X32" s="39">
        <f t="shared" si="2"/>
        <v>-1.8589999999999998</v>
      </c>
      <c r="Y32" s="39">
        <f t="shared" si="3"/>
        <v>2.2775509776751247E-16</v>
      </c>
      <c r="Z32" s="39">
        <f t="shared" si="4"/>
        <v>103.881</v>
      </c>
    </row>
    <row r="33" spans="1:26" ht="14.45" x14ac:dyDescent="0.3">
      <c r="A33" s="7" t="s">
        <v>7</v>
      </c>
      <c r="B33" s="7" t="s">
        <v>7</v>
      </c>
      <c r="C33" s="30" t="s">
        <v>7</v>
      </c>
      <c r="D33" s="7" t="str">
        <f t="shared" si="1"/>
        <v>PIPE_33</v>
      </c>
      <c r="E33" s="7"/>
      <c r="F33" s="31">
        <f>0.1+3.65+0.229</f>
        <v>3.9790000000000001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168.3</v>
      </c>
      <c r="N33" s="33">
        <v>7.11</v>
      </c>
      <c r="O33" s="36">
        <v>1.28</v>
      </c>
      <c r="P33" s="36"/>
      <c r="Q33" s="7"/>
      <c r="R33" s="31"/>
      <c r="S33" s="7"/>
      <c r="T33" s="31"/>
      <c r="U33" s="7"/>
      <c r="V33" s="7"/>
      <c r="X33" s="39">
        <f t="shared" si="2"/>
        <v>-1.8589999999999995</v>
      </c>
      <c r="Y33" s="39">
        <f t="shared" si="3"/>
        <v>2.2775509776751247E-16</v>
      </c>
      <c r="Z33" s="39">
        <f t="shared" si="4"/>
        <v>99.902000000000001</v>
      </c>
    </row>
    <row r="34" spans="1:26" ht="14.45" x14ac:dyDescent="0.3">
      <c r="A34" s="7" t="s">
        <v>7</v>
      </c>
      <c r="B34" s="7" t="s">
        <v>7</v>
      </c>
      <c r="C34" s="30" t="s">
        <v>7</v>
      </c>
      <c r="D34" s="7" t="str">
        <f t="shared" si="1"/>
        <v>PIPE_34</v>
      </c>
      <c r="E34" s="7"/>
      <c r="F34" s="31">
        <v>0.75</v>
      </c>
      <c r="G34" s="32">
        <v>0</v>
      </c>
      <c r="H34" s="32">
        <v>270</v>
      </c>
      <c r="I34" s="32">
        <v>0</v>
      </c>
      <c r="J34" s="29">
        <v>0</v>
      </c>
      <c r="K34" s="29">
        <v>0</v>
      </c>
      <c r="L34" s="29">
        <v>0</v>
      </c>
      <c r="M34" s="33">
        <v>168.3</v>
      </c>
      <c r="N34" s="33">
        <v>7.11</v>
      </c>
      <c r="O34" s="36">
        <v>1.28</v>
      </c>
      <c r="P34" s="36"/>
      <c r="Q34" s="7"/>
      <c r="R34" s="31"/>
      <c r="S34" s="7"/>
      <c r="T34" s="31"/>
      <c r="U34" s="7"/>
      <c r="V34" s="7"/>
      <c r="X34" s="39">
        <f t="shared" si="2"/>
        <v>-1.8589999999999998</v>
      </c>
      <c r="Y34" s="39">
        <f t="shared" si="3"/>
        <v>-0.74999999999999978</v>
      </c>
      <c r="Z34" s="39">
        <f t="shared" si="4"/>
        <v>99.902000000000001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si="1"/>
        <v>PIPE_35</v>
      </c>
      <c r="E35" s="7"/>
      <c r="F35" s="31">
        <v>4.5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1.28</v>
      </c>
      <c r="P35" s="36"/>
      <c r="Q35" s="7"/>
      <c r="R35" s="31"/>
      <c r="S35" s="7"/>
      <c r="T35" s="31"/>
      <c r="U35" s="7"/>
      <c r="V35" s="7"/>
      <c r="X35" s="39">
        <f t="shared" si="2"/>
        <v>-6.359</v>
      </c>
      <c r="Y35" s="39">
        <f t="shared" si="3"/>
        <v>-0.74999999999999922</v>
      </c>
      <c r="Z35" s="39">
        <f t="shared" si="4"/>
        <v>99.902000000000001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2</v>
      </c>
      <c r="G36" s="32">
        <v>-90</v>
      </c>
      <c r="H36" s="32">
        <v>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-6.359</v>
      </c>
      <c r="Y36" s="39">
        <f t="shared" si="3"/>
        <v>-0.74999999999999922</v>
      </c>
      <c r="Z36" s="39">
        <f t="shared" si="4"/>
        <v>97.902000000000001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v>0.629</v>
      </c>
      <c r="G37" s="32">
        <v>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-5.73</v>
      </c>
      <c r="Y37" s="39">
        <f t="shared" si="3"/>
        <v>-0.74999999999999922</v>
      </c>
      <c r="Z37" s="39">
        <f t="shared" si="4"/>
        <v>97.902000000000001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-5.73</v>
      </c>
      <c r="Y38" s="39">
        <f t="shared" si="3"/>
        <v>-0.74999999999999922</v>
      </c>
      <c r="Z38" s="39">
        <f t="shared" si="4"/>
        <v>97.902000000000001</v>
      </c>
    </row>
    <row r="39" spans="1:26" ht="14.45" x14ac:dyDescent="0.3">
      <c r="A39" s="7" t="s">
        <v>47</v>
      </c>
      <c r="B39" s="7" t="s">
        <v>10</v>
      </c>
      <c r="C39" s="30" t="s">
        <v>54</v>
      </c>
      <c r="D39" s="7" t="str">
        <f>CONCATENATE("COMP_",ROW())</f>
        <v>COMP_39</v>
      </c>
      <c r="E39" s="7"/>
      <c r="F39" s="31">
        <v>0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125</v>
      </c>
      <c r="N39" s="33">
        <v>2.02</v>
      </c>
      <c r="O39" s="36"/>
      <c r="P39" s="36"/>
      <c r="Q39" s="7" t="str">
        <f ca="1">OFFSET($A$1,ROW()-3,3)</f>
        <v>PIPE_37</v>
      </c>
      <c r="R39" s="31" t="s">
        <v>44</v>
      </c>
      <c r="S39" s="7" t="str">
        <f>D91</f>
        <v>VOL_91</v>
      </c>
      <c r="T39" s="31" t="s">
        <v>44</v>
      </c>
      <c r="U39" s="7"/>
      <c r="V39" s="7"/>
      <c r="X39" s="39">
        <f t="shared" si="2"/>
        <v>-5.73</v>
      </c>
      <c r="Y39" s="39">
        <f t="shared" si="3"/>
        <v>-0.74999999999999922</v>
      </c>
      <c r="Z39" s="39">
        <f t="shared" si="4"/>
        <v>97.902000000000001</v>
      </c>
    </row>
    <row r="40" spans="1:26" ht="14.45" x14ac:dyDescent="0.3">
      <c r="A40" s="7" t="s">
        <v>65</v>
      </c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-5.73</v>
      </c>
      <c r="Y40" s="39">
        <f t="shared" si="3"/>
        <v>-0.74999999999999922</v>
      </c>
      <c r="Z40" s="39">
        <f t="shared" si="4"/>
        <v>97.902000000000001</v>
      </c>
    </row>
    <row r="41" spans="1:26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6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6" ht="14.45" x14ac:dyDescent="0.3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6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6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6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6" ht="14.45" x14ac:dyDescent="0.3">
      <c r="A47" s="7" t="s">
        <v>25</v>
      </c>
      <c r="B47" s="7" t="s">
        <v>66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  <c r="X47" s="39">
        <f>X40-R48</f>
        <v>-6.9740000000000002</v>
      </c>
      <c r="Y47" s="39">
        <f>Y40</f>
        <v>-0.74999999999999922</v>
      </c>
      <c r="Z47" s="39">
        <f>Z40</f>
        <v>97.902000000000001</v>
      </c>
    </row>
    <row r="48" spans="1:26" ht="14.45" x14ac:dyDescent="0.3">
      <c r="A48" s="7" t="s">
        <v>47</v>
      </c>
      <c r="B48" s="7" t="s">
        <v>10</v>
      </c>
      <c r="C48" s="30" t="s">
        <v>54</v>
      </c>
      <c r="D48" s="7" t="str">
        <f>CONCATENATE("COMP_",ROW())</f>
        <v>COMP_48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125</v>
      </c>
      <c r="N48" s="33">
        <v>2.02</v>
      </c>
      <c r="O48" s="36"/>
      <c r="P48" s="36"/>
      <c r="Q48" s="7" t="str">
        <f>D91</f>
        <v>VOL_91</v>
      </c>
      <c r="R48" s="31">
        <v>1.244</v>
      </c>
      <c r="S48" s="7" t="str">
        <f ca="1">OFFSET($A$1,ROW()+1,3)</f>
        <v>PIPE_50</v>
      </c>
      <c r="T48" s="31" t="s">
        <v>43</v>
      </c>
      <c r="U48" s="7"/>
      <c r="V48" s="7"/>
      <c r="X48" s="39">
        <f t="shared" ref="X48:X61" si="5">IF(OR(A48="volume",A48="pipe",A48="junction"),X47+F48*COS(G48*PI()/180)*COS(H48*PI()/180)+J48,X47)</f>
        <v>-6.9740000000000002</v>
      </c>
      <c r="Y48" s="39">
        <f t="shared" ref="Y48:Y61" si="6">IF(OR(A48="volume",A48="pipe",A48="junction"),Y47+F48*COS(G48*PI()/180)*SIN(H48*PI()/180)+K48,Y47)</f>
        <v>-0.74999999999999922</v>
      </c>
      <c r="Z48" s="39">
        <f t="shared" ref="Z48:Z61" si="7">IF(OR(A48="volume",A48="pipe",A48="junction"),Z47+F48*SIN(G48*PI()/180)+L48,Z47)</f>
        <v>97.902000000000001</v>
      </c>
    </row>
    <row r="49" spans="1:26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  <c r="X49" s="39">
        <f t="shared" si="5"/>
        <v>-6.9740000000000002</v>
      </c>
      <c r="Y49" s="39">
        <f t="shared" si="6"/>
        <v>-0.74999999999999922</v>
      </c>
      <c r="Z49" s="39">
        <f t="shared" si="7"/>
        <v>97.902000000000001</v>
      </c>
    </row>
    <row r="50" spans="1:26" ht="14.45" x14ac:dyDescent="0.3">
      <c r="A50" s="7" t="s">
        <v>7</v>
      </c>
      <c r="B50" s="7" t="s">
        <v>7</v>
      </c>
      <c r="C50" s="30" t="s">
        <v>7</v>
      </c>
      <c r="D50" s="7" t="str">
        <f t="shared" ref="D50:D60" si="8">CONCATENATE("PIPE_",ROW())</f>
        <v>PIPE_50</v>
      </c>
      <c r="E50" s="7"/>
      <c r="F50" s="31">
        <f>0.504/2+0.229</f>
        <v>0.48099999999999998</v>
      </c>
      <c r="G50" s="32">
        <v>0</v>
      </c>
      <c r="H50" s="32">
        <v>90</v>
      </c>
      <c r="I50" s="32">
        <v>0</v>
      </c>
      <c r="J50" s="29">
        <v>0</v>
      </c>
      <c r="K50" s="29">
        <v>0</v>
      </c>
      <c r="L50" s="29">
        <v>0</v>
      </c>
      <c r="M50" s="33">
        <v>168.3</v>
      </c>
      <c r="N50" s="33">
        <v>7.11</v>
      </c>
      <c r="O50" s="36">
        <v>1.36</v>
      </c>
      <c r="P50" s="36"/>
      <c r="Q50" s="7"/>
      <c r="R50" s="31"/>
      <c r="S50" s="7"/>
      <c r="T50" s="31"/>
      <c r="U50" s="7"/>
      <c r="V50" s="7"/>
      <c r="X50" s="39">
        <f t="shared" si="5"/>
        <v>-6.9740000000000002</v>
      </c>
      <c r="Y50" s="39">
        <f t="shared" si="6"/>
        <v>-0.26899999999999924</v>
      </c>
      <c r="Z50" s="39">
        <f t="shared" si="7"/>
        <v>97.902000000000001</v>
      </c>
    </row>
    <row r="51" spans="1:26" ht="14.45" x14ac:dyDescent="0.3">
      <c r="A51" s="7" t="s">
        <v>7</v>
      </c>
      <c r="B51" s="7" t="s">
        <v>7</v>
      </c>
      <c r="C51" s="30" t="s">
        <v>7</v>
      </c>
      <c r="D51" s="7" t="str">
        <f t="shared" si="8"/>
        <v>PIPE_51</v>
      </c>
      <c r="E51" s="7"/>
      <c r="F51" s="31">
        <f>0.229+2*0.143+3.325+0.1-0.08/2</f>
        <v>3.9000000000000004</v>
      </c>
      <c r="G51" s="32">
        <v>90</v>
      </c>
      <c r="H51" s="32">
        <v>0</v>
      </c>
      <c r="I51" s="32">
        <v>0</v>
      </c>
      <c r="J51" s="29">
        <v>0</v>
      </c>
      <c r="K51" s="29">
        <v>0</v>
      </c>
      <c r="L51" s="29">
        <v>0</v>
      </c>
      <c r="M51" s="33">
        <v>168.3</v>
      </c>
      <c r="N51" s="33">
        <v>7.11</v>
      </c>
      <c r="O51" s="36">
        <v>1.36</v>
      </c>
      <c r="P51" s="36"/>
      <c r="Q51" s="7"/>
      <c r="R51" s="31"/>
      <c r="S51" s="7"/>
      <c r="T51" s="31"/>
      <c r="U51" s="7"/>
      <c r="V51" s="7" t="s">
        <v>55</v>
      </c>
      <c r="X51" s="39">
        <f t="shared" si="5"/>
        <v>-6.9740000000000002</v>
      </c>
      <c r="Y51" s="39">
        <f t="shared" si="6"/>
        <v>-0.26899999999999924</v>
      </c>
      <c r="Z51" s="39">
        <f t="shared" si="7"/>
        <v>101.80200000000001</v>
      </c>
    </row>
    <row r="52" spans="1:26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  <c r="X52" s="39">
        <f t="shared" si="5"/>
        <v>-6.9740000000000002</v>
      </c>
      <c r="Y52" s="39">
        <f t="shared" si="6"/>
        <v>-0.26899999999999924</v>
      </c>
      <c r="Z52" s="39">
        <f t="shared" si="7"/>
        <v>101.80200000000001</v>
      </c>
    </row>
    <row r="53" spans="1:26" ht="14.45" x14ac:dyDescent="0.3">
      <c r="A53" s="7" t="s">
        <v>47</v>
      </c>
      <c r="B53" s="7" t="s">
        <v>9</v>
      </c>
      <c r="C53" s="30" t="s">
        <v>56</v>
      </c>
      <c r="D53" s="7" t="str">
        <f>CONCATENATE("COMP_",ROW())</f>
        <v>COMP_53</v>
      </c>
      <c r="E53" s="7" t="s">
        <v>53</v>
      </c>
      <c r="F53" s="31">
        <v>0.08</v>
      </c>
      <c r="G53" s="32">
        <v>90</v>
      </c>
      <c r="H53" s="32">
        <v>0</v>
      </c>
      <c r="I53" s="32">
        <v>0</v>
      </c>
      <c r="J53" s="29">
        <v>0</v>
      </c>
      <c r="K53" s="29">
        <v>0</v>
      </c>
      <c r="L53" s="29">
        <v>0</v>
      </c>
      <c r="M53" s="33">
        <v>168.3</v>
      </c>
      <c r="N53" s="33">
        <v>7.11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  <c r="X53" s="39">
        <f t="shared" si="5"/>
        <v>-6.9740000000000002</v>
      </c>
      <c r="Y53" s="39">
        <f t="shared" si="6"/>
        <v>-0.26899999999999924</v>
      </c>
      <c r="Z53" s="39">
        <f t="shared" si="7"/>
        <v>101.88200000000001</v>
      </c>
    </row>
    <row r="54" spans="1:26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  <c r="X54" s="39">
        <f t="shared" si="5"/>
        <v>-6.9740000000000002</v>
      </c>
      <c r="Y54" s="39">
        <f t="shared" si="6"/>
        <v>-0.26899999999999924</v>
      </c>
      <c r="Z54" s="39">
        <f t="shared" si="7"/>
        <v>101.88200000000001</v>
      </c>
    </row>
    <row r="55" spans="1:26" ht="14.45" x14ac:dyDescent="0.3">
      <c r="A55" s="7" t="s">
        <v>7</v>
      </c>
      <c r="B55" s="7" t="s">
        <v>7</v>
      </c>
      <c r="C55" s="30" t="s">
        <v>7</v>
      </c>
      <c r="D55" s="7" t="str">
        <f t="shared" si="8"/>
        <v>PIPE_55</v>
      </c>
      <c r="E55" s="7"/>
      <c r="F55" s="31">
        <f>0.1-0.08/2+1.84</f>
        <v>1.9000000000000001</v>
      </c>
      <c r="G55" s="32">
        <v>90</v>
      </c>
      <c r="H55" s="32">
        <v>0</v>
      </c>
      <c r="I55" s="32">
        <v>0</v>
      </c>
      <c r="J55" s="29">
        <v>0</v>
      </c>
      <c r="K55" s="29">
        <v>0</v>
      </c>
      <c r="L55" s="29">
        <v>0</v>
      </c>
      <c r="M55" s="33">
        <v>168.3</v>
      </c>
      <c r="N55" s="33">
        <v>7.11</v>
      </c>
      <c r="O55" s="36">
        <v>1.28</v>
      </c>
      <c r="P55" s="36"/>
      <c r="Q55" s="7"/>
      <c r="R55" s="31"/>
      <c r="S55" s="7"/>
      <c r="T55" s="31"/>
      <c r="U55" s="7"/>
      <c r="V55" s="7"/>
      <c r="X55" s="39">
        <f t="shared" si="5"/>
        <v>-6.9740000000000002</v>
      </c>
      <c r="Y55" s="39">
        <f t="shared" si="6"/>
        <v>-0.26899999999999924</v>
      </c>
      <c r="Z55" s="39">
        <f t="shared" si="7"/>
        <v>103.78200000000001</v>
      </c>
    </row>
    <row r="56" spans="1:26" ht="14.45" x14ac:dyDescent="0.3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  <c r="X56" s="39">
        <f t="shared" si="5"/>
        <v>-6.9740000000000002</v>
      </c>
      <c r="Y56" s="39">
        <f t="shared" si="6"/>
        <v>-0.26899999999999924</v>
      </c>
      <c r="Z56" s="39">
        <f t="shared" si="7"/>
        <v>103.78200000000001</v>
      </c>
    </row>
    <row r="57" spans="1:26" ht="14.45" x14ac:dyDescent="0.3">
      <c r="A57" s="7" t="s">
        <v>47</v>
      </c>
      <c r="B57" s="7" t="s">
        <v>9</v>
      </c>
      <c r="C57" s="30" t="s">
        <v>57</v>
      </c>
      <c r="D57" s="7" t="str">
        <f>CONCATENATE("COMP_",ROW())</f>
        <v>COMP_57</v>
      </c>
      <c r="E57" s="7" t="s">
        <v>53</v>
      </c>
      <c r="F57" s="31">
        <v>7.5999999999999998E-2</v>
      </c>
      <c r="G57" s="32">
        <v>90</v>
      </c>
      <c r="H57" s="32">
        <v>0</v>
      </c>
      <c r="I57" s="32">
        <v>0</v>
      </c>
      <c r="J57" s="29">
        <v>0</v>
      </c>
      <c r="K57" s="29">
        <v>0</v>
      </c>
      <c r="L57" s="29">
        <v>0</v>
      </c>
      <c r="M57" s="33">
        <v>168.3</v>
      </c>
      <c r="N57" s="33">
        <v>7.11</v>
      </c>
      <c r="O57" s="36"/>
      <c r="P57" s="36"/>
      <c r="Q57" s="7" t="str">
        <f ca="1">OFFSET($A$1,ROW()-3,3)</f>
        <v>PIPE_55</v>
      </c>
      <c r="R57" s="31" t="s">
        <v>44</v>
      </c>
      <c r="S57" s="7" t="str">
        <f ca="1">OFFSET($A$1,ROW()+1,3)</f>
        <v>PIPE_59</v>
      </c>
      <c r="T57" s="31" t="s">
        <v>43</v>
      </c>
      <c r="U57" s="7"/>
      <c r="V57" s="7"/>
      <c r="X57" s="39">
        <f t="shared" si="5"/>
        <v>-6.9740000000000002</v>
      </c>
      <c r="Y57" s="39">
        <f t="shared" si="6"/>
        <v>-0.26899999999999924</v>
      </c>
      <c r="Z57" s="39">
        <f t="shared" si="7"/>
        <v>103.858</v>
      </c>
    </row>
    <row r="58" spans="1:26" ht="14.45" x14ac:dyDescent="0.3">
      <c r="A58" s="7"/>
      <c r="B58" s="7"/>
      <c r="C58" s="30"/>
      <c r="D58" s="7"/>
      <c r="E58" s="7"/>
      <c r="F58" s="31"/>
      <c r="G58" s="32"/>
      <c r="H58" s="32"/>
      <c r="I58" s="32"/>
      <c r="J58" s="29"/>
      <c r="K58" s="29"/>
      <c r="L58" s="29"/>
      <c r="M58" s="33"/>
      <c r="N58" s="33"/>
      <c r="O58" s="36"/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103.858</v>
      </c>
    </row>
    <row r="59" spans="1:26" ht="14.45" x14ac:dyDescent="0.3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2.361+0.229</f>
        <v>2.5900000000000003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1.28</v>
      </c>
      <c r="P59" s="36"/>
      <c r="Q59" s="7"/>
      <c r="R59" s="31"/>
      <c r="S59" s="7"/>
      <c r="T59" s="31"/>
      <c r="U59" s="7"/>
      <c r="V59" s="7"/>
      <c r="X59" s="39">
        <f t="shared" si="5"/>
        <v>-6.9740000000000002</v>
      </c>
      <c r="Y59" s="39">
        <f t="shared" si="6"/>
        <v>-0.26899999999999924</v>
      </c>
      <c r="Z59" s="39">
        <f t="shared" si="7"/>
        <v>106.44800000000001</v>
      </c>
    </row>
    <row r="60" spans="1:26" ht="14.45" x14ac:dyDescent="0.3">
      <c r="A60" s="7" t="s">
        <v>7</v>
      </c>
      <c r="B60" s="7" t="s">
        <v>7</v>
      </c>
      <c r="C60" s="30" t="s">
        <v>7</v>
      </c>
      <c r="D60" s="7" t="str">
        <f t="shared" si="8"/>
        <v>PIPE_60</v>
      </c>
      <c r="E60" s="7"/>
      <c r="F60" s="31">
        <f>0.659+0.194</f>
        <v>0.85299999999999998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168.3</v>
      </c>
      <c r="N60" s="33">
        <v>7.11</v>
      </c>
      <c r="O60" s="36">
        <v>1.28</v>
      </c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-1.1219999999999992</v>
      </c>
      <c r="Z60" s="39">
        <f t="shared" si="7"/>
        <v>106.44800000000001</v>
      </c>
    </row>
    <row r="61" spans="1:26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  <c r="X61" s="39">
        <f t="shared" si="5"/>
        <v>-6.9740000000000002</v>
      </c>
      <c r="Y61" s="39">
        <f t="shared" si="6"/>
        <v>-1.1219999999999992</v>
      </c>
      <c r="Z61" s="39">
        <f t="shared" si="7"/>
        <v>106.44800000000001</v>
      </c>
    </row>
    <row r="62" spans="1:26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6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6" x14ac:dyDescent="0.25">
      <c r="A64" s="7" t="s">
        <v>25</v>
      </c>
      <c r="B64" s="7" t="s">
        <v>67</v>
      </c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6" x14ac:dyDescent="0.25">
      <c r="A65" s="7" t="s">
        <v>47</v>
      </c>
      <c r="B65" s="7" t="s">
        <v>10</v>
      </c>
      <c r="C65" s="30" t="s">
        <v>20</v>
      </c>
      <c r="D65" s="7" t="str">
        <f>CONCATENATE("COMP_",ROW())</f>
        <v>COMP_65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>D51</f>
        <v>PIPE_51</v>
      </c>
      <c r="R65" s="31">
        <v>0.372</v>
      </c>
      <c r="S65" s="7" t="str">
        <f ca="1">OFFSET($A$1,ROW()+1,3)</f>
        <v>PIPE_67</v>
      </c>
      <c r="T65" s="31" t="s">
        <v>43</v>
      </c>
      <c r="U65" s="7"/>
      <c r="V65" s="7"/>
      <c r="X65" s="39">
        <f t="shared" ref="X65:X77" si="9">IF(OR(A65="volume",A65="pipe",A65="junction"),X64+F65*COS(G65*PI()/180)*COS(H65*PI()/180)+J65,X64)</f>
        <v>0</v>
      </c>
      <c r="Y65" s="39">
        <f t="shared" ref="Y65:Y77" si="10">IF(OR(A65="volume",A65="pipe",A65="junction"),Y64+F65*COS(G65*PI()/180)*SIN(H65*PI()/180)+K65,Y64)</f>
        <v>0</v>
      </c>
      <c r="Z65" s="39">
        <f t="shared" ref="Z65:Z77" si="11">IF(OR(A65="volume",A65="pipe",A65="junction"),Z64+F65*SIN(G65*PI()/180)+L65,Z64)</f>
        <v>0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9"/>
        <v>0</v>
      </c>
      <c r="Y66" s="39">
        <f t="shared" si="10"/>
        <v>0</v>
      </c>
      <c r="Z66" s="39">
        <f t="shared" si="11"/>
        <v>0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ref="D67:D72" si="12">CONCATENATE("PIPE_",ROW())</f>
        <v>PIPE_67</v>
      </c>
      <c r="E67" s="7"/>
      <c r="F67" s="31">
        <v>0.17499999999999999</v>
      </c>
      <c r="G67" s="32">
        <v>0</v>
      </c>
      <c r="H67" s="32">
        <v>45</v>
      </c>
      <c r="I67" s="32">
        <v>0</v>
      </c>
      <c r="J67" s="29">
        <v>0</v>
      </c>
      <c r="K67" s="29">
        <v>0</v>
      </c>
      <c r="L67" s="29">
        <v>0</v>
      </c>
      <c r="M67" s="33">
        <v>88.9</v>
      </c>
      <c r="N67" s="33">
        <v>5.49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9"/>
        <v>0.12374368670764582</v>
      </c>
      <c r="Y67" s="39">
        <f t="shared" si="10"/>
        <v>0.12374368670764579</v>
      </c>
      <c r="Z67" s="39">
        <f t="shared" si="11"/>
        <v>0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12"/>
        <v>PIPE_68</v>
      </c>
      <c r="E68" s="7"/>
      <c r="F68" s="31">
        <v>0.47499999999999998</v>
      </c>
      <c r="G68" s="32">
        <v>0</v>
      </c>
      <c r="H68" s="32">
        <v>0</v>
      </c>
      <c r="I68" s="32">
        <v>0</v>
      </c>
      <c r="J68" s="29">
        <v>0</v>
      </c>
      <c r="K68" s="29">
        <v>0</v>
      </c>
      <c r="L68" s="29">
        <v>0</v>
      </c>
      <c r="M68" s="33">
        <v>88.9</v>
      </c>
      <c r="N68" s="33">
        <v>5.49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9"/>
        <v>0.59874368670764577</v>
      </c>
      <c r="Y68" s="39">
        <f t="shared" si="10"/>
        <v>0.12374368670764579</v>
      </c>
      <c r="Z68" s="39">
        <f t="shared" si="11"/>
        <v>0</v>
      </c>
    </row>
    <row r="69" spans="1:26" x14ac:dyDescent="0.25">
      <c r="A69" s="7" t="s">
        <v>7</v>
      </c>
      <c r="B69" s="7" t="s">
        <v>7</v>
      </c>
      <c r="C69" s="30" t="s">
        <v>7</v>
      </c>
      <c r="D69" s="7" t="str">
        <f t="shared" si="12"/>
        <v>PIPE_69</v>
      </c>
      <c r="E69" s="7"/>
      <c r="F69" s="31">
        <v>0.44800000000000001</v>
      </c>
      <c r="G69" s="32">
        <v>0</v>
      </c>
      <c r="H69" s="32">
        <v>90</v>
      </c>
      <c r="I69" s="32">
        <v>0</v>
      </c>
      <c r="J69" s="29">
        <v>0</v>
      </c>
      <c r="K69" s="29">
        <v>0</v>
      </c>
      <c r="L69" s="29">
        <v>0</v>
      </c>
      <c r="M69" s="33">
        <v>88.9</v>
      </c>
      <c r="N69" s="33">
        <v>5.49</v>
      </c>
      <c r="O69" s="36">
        <v>1.28</v>
      </c>
      <c r="P69" s="36"/>
      <c r="Q69" s="7"/>
      <c r="R69" s="31"/>
      <c r="S69" s="7"/>
      <c r="T69" s="31"/>
      <c r="U69" s="7"/>
      <c r="V69" s="7"/>
      <c r="X69" s="39">
        <f t="shared" si="9"/>
        <v>0.59874368670764577</v>
      </c>
      <c r="Y69" s="39">
        <f t="shared" si="10"/>
        <v>0.57174368670764575</v>
      </c>
      <c r="Z69" s="39">
        <f t="shared" si="11"/>
        <v>0</v>
      </c>
    </row>
    <row r="70" spans="1:26" x14ac:dyDescent="0.25">
      <c r="A70" s="7" t="s">
        <v>7</v>
      </c>
      <c r="B70" s="7" t="s">
        <v>7</v>
      </c>
      <c r="C70" s="30" t="s">
        <v>7</v>
      </c>
      <c r="D70" s="7" t="str">
        <f t="shared" si="12"/>
        <v>PIPE_70</v>
      </c>
      <c r="E70" s="7"/>
      <c r="F70" s="31">
        <v>0.114</v>
      </c>
      <c r="G70" s="32">
        <v>90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88.9</v>
      </c>
      <c r="N70" s="33">
        <v>5.49</v>
      </c>
      <c r="O70" s="36">
        <v>1.28</v>
      </c>
      <c r="P70" s="36"/>
      <c r="Q70" s="7"/>
      <c r="R70" s="31"/>
      <c r="S70" s="7"/>
      <c r="T70" s="31"/>
      <c r="U70" s="7"/>
      <c r="V70" s="7"/>
      <c r="X70" s="39">
        <f t="shared" si="9"/>
        <v>0.59874368670764577</v>
      </c>
      <c r="Y70" s="39">
        <f t="shared" si="10"/>
        <v>0.57174368670764575</v>
      </c>
      <c r="Z70" s="39">
        <f t="shared" si="11"/>
        <v>0.114</v>
      </c>
    </row>
    <row r="71" spans="1:26" x14ac:dyDescent="0.25">
      <c r="A71" s="7" t="s">
        <v>7</v>
      </c>
      <c r="B71" s="7" t="s">
        <v>7</v>
      </c>
      <c r="C71" s="30" t="s">
        <v>7</v>
      </c>
      <c r="D71" s="7" t="str">
        <f t="shared" si="12"/>
        <v>PIPE_71</v>
      </c>
      <c r="E71" s="7"/>
      <c r="F71" s="31">
        <f>0.063+0.08</f>
        <v>0.14300000000000002</v>
      </c>
      <c r="G71" s="32">
        <v>90</v>
      </c>
      <c r="H71" s="32">
        <v>0</v>
      </c>
      <c r="I71" s="32">
        <v>0</v>
      </c>
      <c r="J71" s="29">
        <v>0</v>
      </c>
      <c r="K71" s="29">
        <v>0</v>
      </c>
      <c r="L71" s="29">
        <v>0</v>
      </c>
      <c r="M71" s="33">
        <v>60.32</v>
      </c>
      <c r="N71" s="33">
        <v>3.91</v>
      </c>
      <c r="O71" s="36">
        <v>1.28</v>
      </c>
      <c r="P71" s="36"/>
      <c r="Q71" s="7"/>
      <c r="R71" s="31"/>
      <c r="S71" s="7"/>
      <c r="T71" s="31"/>
      <c r="U71" s="7"/>
      <c r="V71" s="7"/>
      <c r="X71" s="39">
        <f t="shared" si="9"/>
        <v>0.59874368670764577</v>
      </c>
      <c r="Y71" s="39">
        <f t="shared" si="10"/>
        <v>0.57174368670764575</v>
      </c>
      <c r="Z71" s="39">
        <f t="shared" si="11"/>
        <v>0.25700000000000001</v>
      </c>
    </row>
    <row r="72" spans="1:26" x14ac:dyDescent="0.25">
      <c r="A72" s="7" t="s">
        <v>7</v>
      </c>
      <c r="B72" s="7" t="s">
        <v>7</v>
      </c>
      <c r="C72" s="30" t="s">
        <v>7</v>
      </c>
      <c r="D72" s="7" t="str">
        <f t="shared" si="12"/>
        <v>PIPE_72</v>
      </c>
      <c r="E72" s="7"/>
      <c r="F72" s="31">
        <f>0.063+0.1+0.071</f>
        <v>0.23399999999999999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48.26</v>
      </c>
      <c r="N72" s="33">
        <v>3.68</v>
      </c>
      <c r="O72" s="36">
        <v>1.28</v>
      </c>
      <c r="P72" s="36"/>
      <c r="Q72" s="7"/>
      <c r="R72" s="31"/>
      <c r="S72" s="7"/>
      <c r="T72" s="31"/>
      <c r="U72" s="7"/>
      <c r="V72" s="7"/>
      <c r="X72" s="39">
        <f t="shared" si="9"/>
        <v>0.59874368670764577</v>
      </c>
      <c r="Y72" s="39">
        <f t="shared" si="10"/>
        <v>0.57174368670764575</v>
      </c>
      <c r="Z72" s="39">
        <f t="shared" si="11"/>
        <v>0.49099999999999999</v>
      </c>
    </row>
    <row r="73" spans="1:26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  <c r="X73" s="39">
        <f t="shared" si="9"/>
        <v>0.59874368670764577</v>
      </c>
      <c r="Y73" s="39">
        <f t="shared" si="10"/>
        <v>0.57174368670764575</v>
      </c>
      <c r="Z73" s="39">
        <f t="shared" si="11"/>
        <v>0.49099999999999999</v>
      </c>
    </row>
    <row r="74" spans="1:26" x14ac:dyDescent="0.25">
      <c r="A74" s="7" t="s">
        <v>47</v>
      </c>
      <c r="B74" s="7" t="s">
        <v>9</v>
      </c>
      <c r="C74" s="30" t="s">
        <v>64</v>
      </c>
      <c r="D74" s="7" t="str">
        <f>CONCATENATE("COMP_",ROW())</f>
        <v>COMP_74</v>
      </c>
      <c r="E74" s="7"/>
      <c r="F74" s="31">
        <v>0</v>
      </c>
      <c r="G74" s="32">
        <v>0</v>
      </c>
      <c r="H74" s="32">
        <v>0</v>
      </c>
      <c r="I74" s="32">
        <v>0</v>
      </c>
      <c r="J74" s="29">
        <v>0</v>
      </c>
      <c r="K74" s="29">
        <v>0</v>
      </c>
      <c r="L74" s="29">
        <v>0</v>
      </c>
      <c r="M74" s="33">
        <v>125</v>
      </c>
      <c r="N74" s="33">
        <v>2.02</v>
      </c>
      <c r="O74" s="36"/>
      <c r="P74" s="36"/>
      <c r="Q74" s="7" t="str">
        <f ca="1">OFFSET($A$1,ROW()-3,3)</f>
        <v>PIPE_72</v>
      </c>
      <c r="R74" s="31" t="s">
        <v>44</v>
      </c>
      <c r="S74" s="7" t="str">
        <f ca="1">OFFSET($A$1,ROW()+1,3)</f>
        <v>PIPE_76</v>
      </c>
      <c r="T74" s="31" t="s">
        <v>43</v>
      </c>
      <c r="U74" s="7"/>
      <c r="V74" s="7"/>
      <c r="X74" s="39">
        <f t="shared" si="9"/>
        <v>0.59874368670764577</v>
      </c>
      <c r="Y74" s="39">
        <f t="shared" si="10"/>
        <v>0.57174368670764575</v>
      </c>
      <c r="Z74" s="39">
        <f t="shared" si="11"/>
        <v>0.49099999999999999</v>
      </c>
    </row>
    <row r="75" spans="1:26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  <c r="X75" s="39">
        <f t="shared" si="9"/>
        <v>0.59874368670764577</v>
      </c>
      <c r="Y75" s="39">
        <f t="shared" si="10"/>
        <v>0.57174368670764575</v>
      </c>
      <c r="Z75" s="39">
        <f t="shared" si="11"/>
        <v>0.49099999999999999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f>0.1+0.445+0.1</f>
        <v>0.64500000000000002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60</v>
      </c>
      <c r="N76" s="33">
        <v>3.05</v>
      </c>
      <c r="O76" s="36">
        <v>1.5</v>
      </c>
      <c r="P76" s="36"/>
      <c r="Q76" s="7"/>
      <c r="R76" s="31"/>
      <c r="S76" s="7"/>
      <c r="T76" s="31"/>
      <c r="U76" s="7"/>
      <c r="V76" s="7"/>
      <c r="X76" s="39">
        <f t="shared" si="9"/>
        <v>1.2437436867076457</v>
      </c>
      <c r="Y76" s="39">
        <f t="shared" si="10"/>
        <v>0.57174368670764575</v>
      </c>
      <c r="Z76" s="39">
        <f t="shared" si="11"/>
        <v>0.49099999999999999</v>
      </c>
    </row>
    <row r="77" spans="1:26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  <c r="X77" s="39">
        <f t="shared" si="9"/>
        <v>1.2437436867076457</v>
      </c>
      <c r="Y77" s="39">
        <f t="shared" si="10"/>
        <v>0.57174368670764575</v>
      </c>
      <c r="Z77" s="39">
        <f t="shared" si="11"/>
        <v>0.49099999999999999</v>
      </c>
    </row>
    <row r="78" spans="1:26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6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6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6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6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6" x14ac:dyDescent="0.25">
      <c r="A85" s="7" t="s">
        <v>25</v>
      </c>
      <c r="B85" s="7" t="s">
        <v>58</v>
      </c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6" x14ac:dyDescent="0.25">
      <c r="A86" s="7" t="s">
        <v>30</v>
      </c>
      <c r="B86" s="7" t="s">
        <v>21</v>
      </c>
      <c r="C86" s="30" t="s">
        <v>59</v>
      </c>
      <c r="D86" s="7" t="str">
        <f>CONCATENATE("VOL_",ROW())</f>
        <v>VOL_86</v>
      </c>
      <c r="E86" s="7"/>
      <c r="F86" s="31">
        <v>4.8</v>
      </c>
      <c r="G86" s="32">
        <v>0</v>
      </c>
      <c r="H86" s="32">
        <v>180</v>
      </c>
      <c r="I86" s="32">
        <v>0</v>
      </c>
      <c r="J86" s="29">
        <v>0</v>
      </c>
      <c r="K86" s="29">
        <v>0</v>
      </c>
      <c r="L86" s="29">
        <v>0</v>
      </c>
      <c r="M86" s="33">
        <f>(15+7/8)*25.4</f>
        <v>403.22499999999997</v>
      </c>
      <c r="N86" s="33">
        <v>12</v>
      </c>
      <c r="O86" s="36">
        <f>M86/2000</f>
        <v>0.20161249999999997</v>
      </c>
      <c r="P86" s="36"/>
      <c r="Q86" s="7"/>
      <c r="R86" s="31"/>
      <c r="S86" s="7"/>
      <c r="T86" s="31"/>
      <c r="U86" s="7"/>
      <c r="V86" s="7"/>
      <c r="X86" s="39">
        <f>IF(OR(A86="volume",A86="pipe",A86="junction"),X85+F86*COS(G86*PI()/180)*COS(H86*PI()/180)+J86,X85)</f>
        <v>-4.8</v>
      </c>
      <c r="Y86" s="39">
        <f>IF(OR(A86="volume",A86="pipe",A86="junction"),Y85+F86*COS(G86*PI()/180)*SIN(H86*PI()/180)+K86,Y85)</f>
        <v>5.8807125835613761E-16</v>
      </c>
      <c r="Z86" s="39">
        <f>IF(OR(A86="volume",A86="pipe",A86="junction"),Z85+F86*SIN(G86*PI()/180)+L86,Z85)</f>
        <v>0</v>
      </c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  <c r="X87" s="39">
        <f>IF(OR(A87="volume",A87="pipe",A87="junction"),X86+F87*COS(G87*PI()/180)*COS(H87*PI()/180)+J87,X86)</f>
        <v>-4.8</v>
      </c>
      <c r="Y87" s="39">
        <f>IF(OR(A87="volume",A87="pipe",A87="junction"),Y86+F87*COS(G87*PI()/180)*SIN(H87*PI()/180)+K87,Y86)</f>
        <v>5.8807125835613761E-16</v>
      </c>
      <c r="Z87" s="39">
        <f>IF(OR(A87="volume",A87="pipe",A87="junction"),Z86+F87*SIN(G87*PI()/180)+L87,Z86)</f>
        <v>0</v>
      </c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 t="s">
        <v>25</v>
      </c>
      <c r="B90" s="7" t="s">
        <v>60</v>
      </c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  <c r="X90" s="39">
        <f>X40</f>
        <v>-5.73</v>
      </c>
      <c r="Y90" s="39">
        <f t="shared" ref="Y90:Z90" si="13">Y40</f>
        <v>-0.74999999999999922</v>
      </c>
      <c r="Z90" s="39">
        <f t="shared" si="13"/>
        <v>97.902000000000001</v>
      </c>
    </row>
    <row r="91" spans="1:26" x14ac:dyDescent="0.25">
      <c r="A91" s="7" t="s">
        <v>30</v>
      </c>
      <c r="B91" s="7" t="s">
        <v>21</v>
      </c>
      <c r="C91" s="30" t="s">
        <v>61</v>
      </c>
      <c r="D91" s="7" t="str">
        <f>CONCATENATE("VOL_",ROW())</f>
        <v>VOL_91</v>
      </c>
      <c r="E91" s="7"/>
      <c r="F91" s="31">
        <v>4.8</v>
      </c>
      <c r="G91" s="32">
        <v>0</v>
      </c>
      <c r="H91" s="32">
        <v>180</v>
      </c>
      <c r="I91" s="32">
        <v>0</v>
      </c>
      <c r="J91" s="29">
        <v>0</v>
      </c>
      <c r="K91" s="29">
        <v>0</v>
      </c>
      <c r="L91" s="29">
        <v>0</v>
      </c>
      <c r="M91" s="33">
        <f>(19+7/8)*25.4</f>
        <v>504.82499999999999</v>
      </c>
      <c r="N91" s="33">
        <v>12</v>
      </c>
      <c r="O91" s="36">
        <f>M91/2000</f>
        <v>0.25241249999999998</v>
      </c>
      <c r="P91" s="36"/>
      <c r="Q91" s="7"/>
      <c r="R91" s="31"/>
      <c r="S91" s="7"/>
      <c r="T91" s="31"/>
      <c r="U91" s="7"/>
      <c r="V91" s="7"/>
      <c r="X91" s="39">
        <f>IF(OR(A91="volume",A91="pipe",A91="junction"),X90+F91*COS(G91*PI()/180)*COS(H91*PI()/180)+J91,X90)</f>
        <v>-10.530000000000001</v>
      </c>
      <c r="Y91" s="39">
        <f>IF(OR(A91="volume",A91="pipe",A91="junction"),Y90+F91*COS(G91*PI()/180)*SIN(H91*PI()/180)+K91,Y90)</f>
        <v>-0.74999999999999867</v>
      </c>
      <c r="Z91" s="39">
        <f>IF(OR(A91="volume",A91="pipe",A91="junction"),Z90+F91*SIN(G91*PI()/180)+L91,Z90)</f>
        <v>97.902000000000001</v>
      </c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  <c r="X92" s="39">
        <f>IF(OR(A92="volume",A92="pipe",A92="junction"),X91+F92*COS(G92*PI()/180)*COS(H92*PI()/180)+J92,X91)</f>
        <v>-10.530000000000001</v>
      </c>
      <c r="Y92" s="39">
        <f>IF(OR(A92="volume",A92="pipe",A92="junction"),Y91+F92*COS(G92*PI()/180)*SIN(H92*PI()/180)+K92,Y91)</f>
        <v>-0.74999999999999867</v>
      </c>
      <c r="Z92" s="39">
        <f>IF(OR(A92="volume",A92="pipe",A92="junction"),Z91+F92*SIN(G92*PI()/180)+L92,Z91)</f>
        <v>97.902000000000001</v>
      </c>
    </row>
    <row r="93" spans="1:26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25</v>
      </c>
      <c r="B94" s="7" t="s">
        <v>68</v>
      </c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6" x14ac:dyDescent="0.25">
      <c r="A95" s="7" t="s">
        <v>47</v>
      </c>
      <c r="B95" s="7" t="s">
        <v>10</v>
      </c>
      <c r="C95" s="30" t="s">
        <v>20</v>
      </c>
      <c r="D95" s="7" t="str">
        <f>CONCATENATE("COMP_",ROW())</f>
        <v>COMP_95</v>
      </c>
      <c r="E95" s="7"/>
      <c r="F95" s="31">
        <v>0</v>
      </c>
      <c r="G95" s="32">
        <v>0</v>
      </c>
      <c r="H95" s="32">
        <v>0</v>
      </c>
      <c r="I95" s="32">
        <v>0</v>
      </c>
      <c r="J95" s="29">
        <v>0</v>
      </c>
      <c r="K95" s="29">
        <v>0</v>
      </c>
      <c r="L95" s="29">
        <v>0</v>
      </c>
      <c r="M95" s="33">
        <v>88.9</v>
      </c>
      <c r="N95" s="33">
        <v>11.12</v>
      </c>
      <c r="O95" s="36"/>
      <c r="P95" s="36"/>
      <c r="Q95" s="7" t="str">
        <f>D86</f>
        <v>VOL_86</v>
      </c>
      <c r="R95" s="31">
        <f>0.741618+0.4</f>
        <v>1.141618</v>
      </c>
      <c r="S95" s="7" t="str">
        <f ca="1">OFFSET($A$1,ROW()+1,3)</f>
        <v>PIPE_97</v>
      </c>
      <c r="T95" s="31" t="s">
        <v>43</v>
      </c>
      <c r="U95" s="7"/>
      <c r="V95" s="7"/>
      <c r="X95" s="39">
        <f t="shared" ref="X95:X109" si="14">IF(OR(A95="volume",A95="pipe",A95="junction"),X94+F95*COS(G95*PI()/180)*COS(H95*PI()/180)+J95,X94)</f>
        <v>0</v>
      </c>
      <c r="Y95" s="39">
        <f t="shared" ref="Y95:Y109" si="15">IF(OR(A95="volume",A95="pipe",A95="junction"),Y94+F95*COS(G95*PI()/180)*SIN(H95*PI()/180)+K95,Y94)</f>
        <v>0</v>
      </c>
      <c r="Z95" s="39">
        <f t="shared" ref="Z95:Z109" si="16"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  <c r="X96" s="39">
        <f t="shared" si="14"/>
        <v>0</v>
      </c>
      <c r="Y96" s="39">
        <f t="shared" si="15"/>
        <v>0</v>
      </c>
      <c r="Z96" s="39">
        <f t="shared" si="16"/>
        <v>0</v>
      </c>
    </row>
    <row r="97" spans="1:26" x14ac:dyDescent="0.25">
      <c r="A97" s="7" t="s">
        <v>7</v>
      </c>
      <c r="B97" s="7" t="s">
        <v>7</v>
      </c>
      <c r="C97" s="30" t="s">
        <v>7</v>
      </c>
      <c r="D97" s="7" t="str">
        <f t="shared" ref="D97:D100" si="17">CONCATENATE("PIPE_",ROW())</f>
        <v>PIPE_97</v>
      </c>
      <c r="E97" s="7"/>
      <c r="F97" s="31">
        <f>(1*304.8+(4+3/8)*25.4)*0.001</f>
        <v>0.41592500000000004</v>
      </c>
      <c r="G97" s="32">
        <v>90</v>
      </c>
      <c r="H97" s="32">
        <v>0</v>
      </c>
      <c r="I97" s="32">
        <v>0</v>
      </c>
      <c r="J97" s="29">
        <v>0</v>
      </c>
      <c r="K97" s="29">
        <v>0</v>
      </c>
      <c r="L97" s="29">
        <v>0</v>
      </c>
      <c r="M97" s="33">
        <v>88.9</v>
      </c>
      <c r="N97" s="33">
        <v>11.12</v>
      </c>
      <c r="O97" s="36">
        <v>1.5</v>
      </c>
      <c r="P97" s="36"/>
      <c r="Q97" s="7"/>
      <c r="R97" s="31"/>
      <c r="S97" s="7"/>
      <c r="T97" s="31"/>
      <c r="U97" s="7" t="s">
        <v>62</v>
      </c>
      <c r="V97" s="7"/>
      <c r="X97" s="39">
        <f t="shared" si="14"/>
        <v>2.5478493555393392E-17</v>
      </c>
      <c r="Y97" s="39">
        <f t="shared" si="15"/>
        <v>0</v>
      </c>
      <c r="Z97" s="39">
        <f t="shared" si="16"/>
        <v>0.41592500000000004</v>
      </c>
    </row>
    <row r="98" spans="1:26" x14ac:dyDescent="0.25">
      <c r="A98" s="7" t="s">
        <v>7</v>
      </c>
      <c r="B98" s="7" t="s">
        <v>7</v>
      </c>
      <c r="C98" s="30" t="s">
        <v>7</v>
      </c>
      <c r="D98" s="7" t="str">
        <f t="shared" si="17"/>
        <v>PIPE_98</v>
      </c>
      <c r="E98" s="7"/>
      <c r="F98" s="31">
        <f>(2*4.5+7+3/32)*0.0254</f>
        <v>0.40878124999999998</v>
      </c>
      <c r="G98" s="32">
        <v>0</v>
      </c>
      <c r="H98" s="32">
        <f>270-GetAngle_DyDz(6.5*25.4,305+3*25.4)</f>
        <v>246.58227506973051</v>
      </c>
      <c r="I98" s="32">
        <v>0</v>
      </c>
      <c r="J98" s="29">
        <v>0</v>
      </c>
      <c r="K98" s="29">
        <v>0</v>
      </c>
      <c r="L98" s="29">
        <v>0</v>
      </c>
      <c r="M98" s="33">
        <v>88.9</v>
      </c>
      <c r="N98" s="33">
        <v>11.12</v>
      </c>
      <c r="O98" s="36">
        <v>1.5</v>
      </c>
      <c r="P98" s="36"/>
      <c r="Q98" s="7"/>
      <c r="R98" s="31"/>
      <c r="S98" s="7"/>
      <c r="T98" s="31"/>
      <c r="U98" s="7" t="s">
        <v>62</v>
      </c>
      <c r="V98" s="7"/>
      <c r="X98" s="39">
        <f t="shared" si="14"/>
        <v>-0.16246266256606498</v>
      </c>
      <c r="Y98" s="39">
        <f t="shared" si="15"/>
        <v>-0.37511064184252013</v>
      </c>
      <c r="Z98" s="39">
        <f t="shared" si="16"/>
        <v>0.41592500000000004</v>
      </c>
    </row>
    <row r="99" spans="1:26" x14ac:dyDescent="0.25">
      <c r="A99" s="7" t="s">
        <v>7</v>
      </c>
      <c r="B99" s="7" t="s">
        <v>7</v>
      </c>
      <c r="C99" s="30" t="s">
        <v>7</v>
      </c>
      <c r="D99" s="7" t="str">
        <f t="shared" si="17"/>
        <v>PIPE_99</v>
      </c>
      <c r="E99" s="7"/>
      <c r="F99" s="31">
        <f>0.9559+0.838</f>
        <v>1.7938999999999998</v>
      </c>
      <c r="G99" s="32">
        <v>-90</v>
      </c>
      <c r="H99" s="32">
        <v>0</v>
      </c>
      <c r="I99" s="32">
        <v>0</v>
      </c>
      <c r="J99" s="29">
        <v>0</v>
      </c>
      <c r="K99" s="29">
        <v>0</v>
      </c>
      <c r="L99" s="29">
        <v>0</v>
      </c>
      <c r="M99" s="33">
        <v>88.9</v>
      </c>
      <c r="N99" s="33">
        <v>11.12</v>
      </c>
      <c r="O99" s="36">
        <v>1.5</v>
      </c>
      <c r="P99" s="36"/>
      <c r="Q99" s="7"/>
      <c r="R99" s="31"/>
      <c r="S99" s="7"/>
      <c r="T99" s="31"/>
      <c r="U99" s="7" t="s">
        <v>62</v>
      </c>
      <c r="V99" s="7"/>
      <c r="X99" s="39">
        <f t="shared" si="14"/>
        <v>-0.16246266256606487</v>
      </c>
      <c r="Y99" s="39">
        <f t="shared" si="15"/>
        <v>-0.37511064184252013</v>
      </c>
      <c r="Z99" s="39">
        <f t="shared" si="16"/>
        <v>-1.3779749999999997</v>
      </c>
    </row>
    <row r="100" spans="1:26" x14ac:dyDescent="0.25">
      <c r="A100" s="7" t="s">
        <v>7</v>
      </c>
      <c r="B100" s="7" t="s">
        <v>7</v>
      </c>
      <c r="C100" s="30" t="s">
        <v>7</v>
      </c>
      <c r="D100" s="7" t="str">
        <f t="shared" si="17"/>
        <v>PIPE_100</v>
      </c>
      <c r="E100" s="7"/>
      <c r="F100" s="31">
        <f>(2*304.8+(2+3/32)*25.4)*0.001</f>
        <v>0.66278124999999999</v>
      </c>
      <c r="G100" s="32">
        <v>0</v>
      </c>
      <c r="H100" s="32">
        <v>0</v>
      </c>
      <c r="I100" s="32">
        <v>0</v>
      </c>
      <c r="J100" s="29">
        <v>0</v>
      </c>
      <c r="K100" s="29">
        <v>0</v>
      </c>
      <c r="L100" s="29">
        <v>0</v>
      </c>
      <c r="M100" s="33">
        <v>88.9</v>
      </c>
      <c r="N100" s="33">
        <v>11.12</v>
      </c>
      <c r="O100" s="36">
        <v>1.5</v>
      </c>
      <c r="P100" s="36"/>
      <c r="Q100" s="7"/>
      <c r="R100" s="31"/>
      <c r="S100" s="7"/>
      <c r="T100" s="31"/>
      <c r="U100" s="7" t="s">
        <v>62</v>
      </c>
      <c r="V100" s="7"/>
      <c r="X100" s="39">
        <f t="shared" si="14"/>
        <v>0.50031858743393509</v>
      </c>
      <c r="Y100" s="39">
        <f t="shared" si="15"/>
        <v>-0.37511064184252013</v>
      </c>
      <c r="Z100" s="39">
        <f t="shared" si="16"/>
        <v>-1.3779749999999997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  <c r="X101" s="39">
        <f t="shared" si="14"/>
        <v>0.50031858743393509</v>
      </c>
      <c r="Y101" s="39">
        <f t="shared" si="15"/>
        <v>-0.37511064184252013</v>
      </c>
      <c r="Z101" s="39">
        <f t="shared" si="16"/>
        <v>-1.3779749999999997</v>
      </c>
    </row>
    <row r="102" spans="1:26" x14ac:dyDescent="0.25">
      <c r="A102" s="7" t="s">
        <v>47</v>
      </c>
      <c r="B102" s="7" t="s">
        <v>10</v>
      </c>
      <c r="C102" s="30" t="s">
        <v>63</v>
      </c>
      <c r="D102" s="7" t="str">
        <f>CONCATENATE("COMP_",ROW())</f>
        <v>COMP_102</v>
      </c>
      <c r="E102" s="7"/>
      <c r="F102" s="31">
        <v>0</v>
      </c>
      <c r="G102" s="32">
        <v>0</v>
      </c>
      <c r="H102" s="32">
        <v>0</v>
      </c>
      <c r="I102" s="32">
        <v>0</v>
      </c>
      <c r="J102" s="29">
        <v>0</v>
      </c>
      <c r="K102" s="29">
        <v>0</v>
      </c>
      <c r="L102" s="29">
        <v>0</v>
      </c>
      <c r="M102" s="33">
        <v>88.9</v>
      </c>
      <c r="N102" s="33">
        <v>11.12</v>
      </c>
      <c r="O102" s="36"/>
      <c r="P102" s="36"/>
      <c r="Q102" s="7" t="str">
        <f ca="1">OFFSET($A$1,ROW()-3,3)</f>
        <v>PIPE_100</v>
      </c>
      <c r="R102" s="31" t="s">
        <v>44</v>
      </c>
      <c r="S102" s="7" t="str">
        <f ca="1">OFFSET($A$1,ROW()+1,3)</f>
        <v>PIPE_104</v>
      </c>
      <c r="T102" s="31" t="s">
        <v>43</v>
      </c>
      <c r="U102" s="7"/>
      <c r="V102" s="7"/>
      <c r="X102" s="39">
        <f t="shared" si="14"/>
        <v>0.50031858743393509</v>
      </c>
      <c r="Y102" s="39">
        <f t="shared" si="15"/>
        <v>-0.37511064184252013</v>
      </c>
      <c r="Z102" s="39">
        <f t="shared" si="16"/>
        <v>-1.3779749999999997</v>
      </c>
    </row>
    <row r="103" spans="1:26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  <c r="X103" s="39">
        <f t="shared" si="14"/>
        <v>0.50031858743393509</v>
      </c>
      <c r="Y103" s="39">
        <f t="shared" si="15"/>
        <v>-0.37511064184252013</v>
      </c>
      <c r="Z103" s="39">
        <f t="shared" si="16"/>
        <v>-1.3779749999999997</v>
      </c>
    </row>
    <row r="104" spans="1:26" x14ac:dyDescent="0.25">
      <c r="A104" s="7" t="s">
        <v>7</v>
      </c>
      <c r="B104" s="7" t="s">
        <v>7</v>
      </c>
      <c r="C104" s="30" t="s">
        <v>7</v>
      </c>
      <c r="D104" s="7" t="str">
        <f t="shared" ref="D104:D106" si="18">CONCATENATE("PIPE_",ROW())</f>
        <v>PIPE_104</v>
      </c>
      <c r="E104" s="7"/>
      <c r="F104" s="31">
        <f>(9+1/2)*25.4*0.001</f>
        <v>0.24129999999999999</v>
      </c>
      <c r="G104" s="32">
        <v>0</v>
      </c>
      <c r="H104" s="32">
        <v>0</v>
      </c>
      <c r="I104" s="32">
        <v>0</v>
      </c>
      <c r="J104" s="29">
        <v>0</v>
      </c>
      <c r="K104" s="29">
        <v>0</v>
      </c>
      <c r="L104" s="29">
        <v>0</v>
      </c>
      <c r="M104" s="33">
        <v>88.9</v>
      </c>
      <c r="N104" s="33">
        <v>11.12</v>
      </c>
      <c r="O104" s="36">
        <v>1.5</v>
      </c>
      <c r="P104" s="36"/>
      <c r="Q104" s="7"/>
      <c r="R104" s="31"/>
      <c r="S104" s="7"/>
      <c r="T104" s="31"/>
      <c r="U104" s="7" t="s">
        <v>62</v>
      </c>
      <c r="V104" s="7"/>
      <c r="X104" s="39">
        <f t="shared" si="14"/>
        <v>0.74161858743393505</v>
      </c>
      <c r="Y104" s="39">
        <f t="shared" si="15"/>
        <v>-0.37511064184252013</v>
      </c>
      <c r="Z104" s="39">
        <f t="shared" si="16"/>
        <v>-1.3779749999999997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si="18"/>
        <v>PIPE_105</v>
      </c>
      <c r="E105" s="7"/>
      <c r="F105" s="31">
        <v>0.54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62</v>
      </c>
      <c r="V105" s="7"/>
      <c r="X105" s="39">
        <f t="shared" si="14"/>
        <v>0.74161858743393505</v>
      </c>
      <c r="Y105" s="39">
        <f t="shared" si="15"/>
        <v>-0.37511064184252013</v>
      </c>
      <c r="Z105" s="39">
        <f t="shared" si="16"/>
        <v>-0.83797499999999969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8"/>
        <v>PIPE_106</v>
      </c>
      <c r="E106" s="7"/>
      <c r="F106" s="31">
        <v>0.37511</v>
      </c>
      <c r="G106" s="32">
        <v>0</v>
      </c>
      <c r="H106" s="32">
        <v>90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62</v>
      </c>
      <c r="V106" s="7"/>
      <c r="X106" s="39">
        <f t="shared" si="14"/>
        <v>0.74161858743393505</v>
      </c>
      <c r="Y106" s="39">
        <f t="shared" si="15"/>
        <v>-6.4184252013266274E-7</v>
      </c>
      <c r="Z106" s="39">
        <f t="shared" si="16"/>
        <v>-0.83797499999999969</v>
      </c>
    </row>
    <row r="107" spans="1:26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  <c r="X107" s="39">
        <f t="shared" si="14"/>
        <v>0.74161858743393505</v>
      </c>
      <c r="Y107" s="39">
        <f t="shared" si="15"/>
        <v>-6.4184252013266274E-7</v>
      </c>
      <c r="Z107" s="39">
        <f t="shared" si="16"/>
        <v>-0.83797499999999969</v>
      </c>
    </row>
    <row r="108" spans="1:26" x14ac:dyDescent="0.25">
      <c r="A108" s="7" t="s">
        <v>47</v>
      </c>
      <c r="B108" s="7" t="s">
        <v>10</v>
      </c>
      <c r="C108" s="30" t="s">
        <v>20</v>
      </c>
      <c r="D108" s="7" t="str">
        <f>CONCATENATE("COMP_",ROW())</f>
        <v>COMP_108</v>
      </c>
      <c r="E108" s="7"/>
      <c r="F108" s="31">
        <v>0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/>
      <c r="P108" s="36"/>
      <c r="Q108" s="7" t="str">
        <f ca="1">OFFSET($A$1,ROW()-3,3)</f>
        <v>PIPE_106</v>
      </c>
      <c r="R108" s="31" t="s">
        <v>44</v>
      </c>
      <c r="S108" s="7" t="str">
        <f>D91</f>
        <v>VOL_91</v>
      </c>
      <c r="T108" s="31">
        <v>0.4</v>
      </c>
      <c r="U108" s="7"/>
      <c r="V108" s="7"/>
      <c r="X108" s="39">
        <f t="shared" si="14"/>
        <v>0.74161858743393505</v>
      </c>
      <c r="Y108" s="39">
        <f t="shared" si="15"/>
        <v>-6.4184252013266274E-7</v>
      </c>
      <c r="Z108" s="39">
        <f t="shared" si="16"/>
        <v>-0.83797499999999969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0.74161858743393505</v>
      </c>
      <c r="Y109" s="39">
        <f t="shared" si="15"/>
        <v>-6.4184252013266274E-7</v>
      </c>
      <c r="Z109" s="39">
        <f t="shared" si="16"/>
        <v>-0.83797499999999969</v>
      </c>
    </row>
    <row r="110" spans="1:26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6" x14ac:dyDescent="0.25">
      <c r="A112" s="7" t="s">
        <v>25</v>
      </c>
      <c r="B112" s="7" t="s">
        <v>72</v>
      </c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6" x14ac:dyDescent="0.25">
      <c r="A113" s="7" t="s">
        <v>47</v>
      </c>
      <c r="B113" s="7" t="s">
        <v>10</v>
      </c>
      <c r="C113" s="30" t="s">
        <v>20</v>
      </c>
      <c r="D113" s="7" t="str">
        <f>CONCATENATE("COMP_",ROW())</f>
        <v>COMP_113</v>
      </c>
      <c r="E113" s="7"/>
      <c r="F113" s="31">
        <v>0</v>
      </c>
      <c r="G113" s="32">
        <v>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/>
      <c r="P113" s="36"/>
      <c r="Q113" s="7" t="str">
        <f>D91</f>
        <v>VOL_91</v>
      </c>
      <c r="R113" s="31">
        <v>0.4</v>
      </c>
      <c r="S113" s="7" t="str">
        <f ca="1">OFFSET($A$1,ROW()+1,3)</f>
        <v>PIPE_115</v>
      </c>
      <c r="T113" s="31" t="s">
        <v>43</v>
      </c>
      <c r="U113" s="7"/>
      <c r="V113" s="7"/>
      <c r="X113" s="39">
        <f t="shared" ref="X113:X120" si="19">IF(OR(A113="volume",A113="pipe",A113="junction"),X112+F113*COS(G113*PI()/180)*COS(H113*PI()/180)+J113,X112)</f>
        <v>0</v>
      </c>
      <c r="Y113" s="39">
        <f t="shared" ref="Y113:Y120" si="20">IF(OR(A113="volume",A113="pipe",A113="junction"),Y112+F113*COS(G113*PI()/180)*SIN(H113*PI()/180)+K113,Y112)</f>
        <v>0</v>
      </c>
      <c r="Z113" s="39">
        <f t="shared" ref="Z113:Z120" si="21">IF(OR(A113="volume",A113="pipe",A113="junction"),Z112+F113*SIN(G113*PI()/180)+L113,Z112)</f>
        <v>0</v>
      </c>
    </row>
    <row r="114" spans="1:26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  <c r="X114" s="39">
        <f t="shared" si="19"/>
        <v>0</v>
      </c>
      <c r="Y114" s="39">
        <f t="shared" si="20"/>
        <v>0</v>
      </c>
      <c r="Z114" s="39">
        <f t="shared" si="21"/>
        <v>0</v>
      </c>
    </row>
    <row r="115" spans="1:26" x14ac:dyDescent="0.25">
      <c r="A115" s="7" t="s">
        <v>7</v>
      </c>
      <c r="B115" s="7" t="s">
        <v>7</v>
      </c>
      <c r="C115" s="30" t="s">
        <v>7</v>
      </c>
      <c r="D115" s="7" t="str">
        <f t="shared" ref="D115:D119" si="22">CONCATENATE("PIPE_",ROW())</f>
        <v>PIPE_115</v>
      </c>
      <c r="E115" s="7"/>
      <c r="F115" s="31">
        <f>0.38/COS(45*PI()/180)</f>
        <v>0.5374011537017761</v>
      </c>
      <c r="G115" s="32">
        <v>45</v>
      </c>
      <c r="H115" s="32">
        <v>270</v>
      </c>
      <c r="I115" s="32">
        <v>0</v>
      </c>
      <c r="J115" s="29">
        <v>0</v>
      </c>
      <c r="K115" s="29">
        <v>0</v>
      </c>
      <c r="L115" s="29">
        <v>0</v>
      </c>
      <c r="M115" s="33">
        <v>88.9</v>
      </c>
      <c r="N115" s="33">
        <v>11.12</v>
      </c>
      <c r="O115" s="36">
        <v>1.5</v>
      </c>
      <c r="P115" s="36"/>
      <c r="Q115" s="7"/>
      <c r="R115" s="31"/>
      <c r="S115" s="7"/>
      <c r="T115" s="31"/>
      <c r="U115" s="7" t="s">
        <v>62</v>
      </c>
      <c r="V115" s="7"/>
      <c r="X115" s="39">
        <f t="shared" si="19"/>
        <v>-6.9833461929791343E-17</v>
      </c>
      <c r="Y115" s="39">
        <f t="shared" si="20"/>
        <v>-0.38</v>
      </c>
      <c r="Z115" s="39">
        <f t="shared" si="21"/>
        <v>0.37999999999999995</v>
      </c>
    </row>
    <row r="116" spans="1:26" x14ac:dyDescent="0.25">
      <c r="A116" s="7" t="s">
        <v>7</v>
      </c>
      <c r="B116" s="7" t="s">
        <v>7</v>
      </c>
      <c r="C116" s="30" t="s">
        <v>7</v>
      </c>
      <c r="D116" s="7" t="str">
        <f t="shared" si="22"/>
        <v>PIPE_116</v>
      </c>
      <c r="E116" s="7"/>
      <c r="F116" s="31">
        <v>0.4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>
        <v>1.5</v>
      </c>
      <c r="P116" s="36"/>
      <c r="Q116" s="7"/>
      <c r="R116" s="31"/>
      <c r="S116" s="7"/>
      <c r="T116" s="31"/>
      <c r="U116" s="7" t="s">
        <v>62</v>
      </c>
      <c r="V116" s="7"/>
      <c r="X116" s="39">
        <f t="shared" si="19"/>
        <v>0.39999999999999997</v>
      </c>
      <c r="Y116" s="39">
        <f t="shared" si="20"/>
        <v>-0.38</v>
      </c>
      <c r="Z116" s="39">
        <f t="shared" si="21"/>
        <v>0.37999999999999995</v>
      </c>
    </row>
    <row r="117" spans="1:26" x14ac:dyDescent="0.25">
      <c r="A117" s="7" t="s">
        <v>7</v>
      </c>
      <c r="B117" s="7" t="s">
        <v>7</v>
      </c>
      <c r="C117" s="30" t="s">
        <v>7</v>
      </c>
      <c r="D117" s="7" t="str">
        <f t="shared" si="22"/>
        <v>PIPE_117</v>
      </c>
      <c r="E117" s="7"/>
      <c r="F117" s="31">
        <v>0.86</v>
      </c>
      <c r="G117" s="32">
        <v>90</v>
      </c>
      <c r="H117" s="32">
        <v>0</v>
      </c>
      <c r="I117" s="32">
        <v>0</v>
      </c>
      <c r="J117" s="29">
        <v>0</v>
      </c>
      <c r="K117" s="29">
        <v>0</v>
      </c>
      <c r="L117" s="29">
        <v>0</v>
      </c>
      <c r="M117" s="33">
        <v>88.9</v>
      </c>
      <c r="N117" s="33">
        <v>11.12</v>
      </c>
      <c r="O117" s="36">
        <v>1.5</v>
      </c>
      <c r="P117" s="36"/>
      <c r="Q117" s="7"/>
      <c r="R117" s="31"/>
      <c r="S117" s="7"/>
      <c r="T117" s="31"/>
      <c r="U117" s="7" t="s">
        <v>62</v>
      </c>
      <c r="V117" s="7"/>
      <c r="X117" s="39">
        <f t="shared" si="19"/>
        <v>0.4</v>
      </c>
      <c r="Y117" s="39">
        <f t="shared" si="20"/>
        <v>-0.38</v>
      </c>
      <c r="Z117" s="39">
        <f t="shared" si="21"/>
        <v>1.24</v>
      </c>
    </row>
    <row r="118" spans="1:26" x14ac:dyDescent="0.25">
      <c r="A118" s="7" t="s">
        <v>7</v>
      </c>
      <c r="B118" s="7" t="s">
        <v>7</v>
      </c>
      <c r="C118" s="30" t="s">
        <v>7</v>
      </c>
      <c r="D118" s="7" t="str">
        <f t="shared" si="22"/>
        <v>PIPE_118</v>
      </c>
      <c r="E118" s="7"/>
      <c r="F118" s="31">
        <v>0</v>
      </c>
      <c r="G118" s="32">
        <v>0</v>
      </c>
      <c r="H118" s="32">
        <v>0</v>
      </c>
      <c r="I118" s="32">
        <v>0</v>
      </c>
      <c r="J118" s="29">
        <v>-0.4</v>
      </c>
      <c r="K118" s="29">
        <v>-0.2</v>
      </c>
      <c r="L118" s="29">
        <v>0</v>
      </c>
      <c r="M118" s="33">
        <v>88.9</v>
      </c>
      <c r="N118" s="33">
        <v>11.12</v>
      </c>
      <c r="O118" s="36">
        <v>1.5</v>
      </c>
      <c r="P118" s="36"/>
      <c r="Q118" s="7"/>
      <c r="R118" s="31"/>
      <c r="S118" s="7"/>
      <c r="T118" s="31"/>
      <c r="U118" s="7" t="s">
        <v>62</v>
      </c>
      <c r="V118" s="7"/>
      <c r="X118" s="39">
        <f t="shared" si="19"/>
        <v>0</v>
      </c>
      <c r="Y118" s="39">
        <f t="shared" si="20"/>
        <v>-0.58000000000000007</v>
      </c>
      <c r="Z118" s="39">
        <f t="shared" si="21"/>
        <v>1.24</v>
      </c>
    </row>
    <row r="119" spans="1:26" x14ac:dyDescent="0.25">
      <c r="A119" s="7" t="s">
        <v>7</v>
      </c>
      <c r="B119" s="7" t="s">
        <v>7</v>
      </c>
      <c r="C119" s="30" t="s">
        <v>7</v>
      </c>
      <c r="D119" s="7" t="str">
        <f t="shared" si="22"/>
        <v>PIPE_119</v>
      </c>
      <c r="E119" s="7"/>
      <c r="F119" s="31">
        <v>0</v>
      </c>
      <c r="G119" s="32">
        <v>0</v>
      </c>
      <c r="H119" s="32">
        <v>90</v>
      </c>
      <c r="I119" s="32">
        <v>0</v>
      </c>
      <c r="J119" s="29">
        <v>0</v>
      </c>
      <c r="K119" s="29">
        <v>-0.18099999999999999</v>
      </c>
      <c r="L119" s="29">
        <v>-0.41499999999999998</v>
      </c>
      <c r="M119" s="33">
        <v>88.9</v>
      </c>
      <c r="N119" s="33">
        <v>11.12</v>
      </c>
      <c r="O119" s="36">
        <v>1.5</v>
      </c>
      <c r="P119" s="36"/>
      <c r="Q119" s="7"/>
      <c r="R119" s="31"/>
      <c r="S119" s="7"/>
      <c r="T119" s="31"/>
      <c r="U119" s="7" t="s">
        <v>62</v>
      </c>
      <c r="V119" s="7"/>
      <c r="X119" s="39">
        <f t="shared" si="19"/>
        <v>0</v>
      </c>
      <c r="Y119" s="39">
        <f t="shared" si="20"/>
        <v>-0.76100000000000012</v>
      </c>
      <c r="Z119" s="39">
        <f t="shared" si="21"/>
        <v>0.82499999999999996</v>
      </c>
    </row>
    <row r="120" spans="1:26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  <c r="X120" s="39">
        <f t="shared" si="19"/>
        <v>0</v>
      </c>
      <c r="Y120" s="39">
        <f t="shared" si="20"/>
        <v>-0.76100000000000012</v>
      </c>
      <c r="Z120" s="39">
        <f t="shared" si="21"/>
        <v>0.82499999999999996</v>
      </c>
    </row>
    <row r="121" spans="1:26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6" x14ac:dyDescent="0.25">
      <c r="A123" s="7" t="s">
        <v>25</v>
      </c>
      <c r="B123" s="7" t="s">
        <v>70</v>
      </c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6" x14ac:dyDescent="0.25">
      <c r="A124" s="7" t="s">
        <v>47</v>
      </c>
      <c r="B124" s="7" t="s">
        <v>10</v>
      </c>
      <c r="C124" s="30" t="s">
        <v>20</v>
      </c>
      <c r="D124" s="7" t="str">
        <f>CONCATENATE("COMP_",ROW())</f>
        <v>COMP_124</v>
      </c>
      <c r="E124" s="7"/>
      <c r="F124" s="31">
        <v>0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/>
      <c r="P124" s="36"/>
      <c r="Q124" s="7" t="str">
        <f>D86</f>
        <v>VOL_86</v>
      </c>
      <c r="R124" s="31">
        <v>0.4</v>
      </c>
      <c r="S124" s="7" t="str">
        <f ca="1">OFFSET($A$1,ROW()+1,3)</f>
        <v>PIPE_126</v>
      </c>
      <c r="T124" s="31" t="s">
        <v>43</v>
      </c>
      <c r="U124" s="7"/>
      <c r="V124" s="7"/>
      <c r="X124" s="39">
        <f t="shared" ref="X124:X131" si="23">IF(OR(A124="volume",A124="pipe",A124="junction"),X123+F124*COS(G124*PI()/180)*COS(H124*PI()/180)+J124,X123)</f>
        <v>0</v>
      </c>
      <c r="Y124" s="39">
        <f t="shared" ref="Y124:Y131" si="24">IF(OR(A124="volume",A124="pipe",A124="junction"),Y123+F124*COS(G124*PI()/180)*SIN(H124*PI()/180)+K124,Y123)</f>
        <v>0</v>
      </c>
      <c r="Z124" s="39">
        <f t="shared" ref="Z124:Z131" si="25">IF(OR(A124="volume",A124="pipe",A124="junction"),Z123+F124*SIN(G124*PI()/180)+L124,Z123)</f>
        <v>0</v>
      </c>
    </row>
    <row r="125" spans="1:26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  <c r="X125" s="39">
        <f t="shared" si="23"/>
        <v>0</v>
      </c>
      <c r="Y125" s="39">
        <f t="shared" si="24"/>
        <v>0</v>
      </c>
      <c r="Z125" s="39">
        <f t="shared" si="25"/>
        <v>0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ref="D126:D130" si="26">CONCATENATE("PIPE_",ROW())</f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0</v>
      </c>
      <c r="K126" s="29">
        <v>-0.18099999999999999</v>
      </c>
      <c r="L126" s="29">
        <v>0.41499999999999998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62</v>
      </c>
      <c r="V126" s="7"/>
      <c r="X126" s="39">
        <f t="shared" si="23"/>
        <v>0</v>
      </c>
      <c r="Y126" s="39">
        <f t="shared" si="24"/>
        <v>-0.18099999999999999</v>
      </c>
      <c r="Z126" s="39">
        <f t="shared" si="25"/>
        <v>0.41499999999999998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6"/>
        <v>PIPE_127</v>
      </c>
      <c r="E127" s="7"/>
      <c r="F127" s="31">
        <v>0</v>
      </c>
      <c r="G127" s="32">
        <v>0</v>
      </c>
      <c r="H127" s="32">
        <v>0</v>
      </c>
      <c r="I127" s="32">
        <v>0</v>
      </c>
      <c r="J127" s="29">
        <v>0.4</v>
      </c>
      <c r="K127" s="29">
        <v>-0.2</v>
      </c>
      <c r="L127" s="29">
        <v>0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62</v>
      </c>
      <c r="V127" s="7"/>
      <c r="X127" s="39">
        <f t="shared" si="23"/>
        <v>0.4</v>
      </c>
      <c r="Y127" s="39">
        <f t="shared" si="24"/>
        <v>-0.38100000000000001</v>
      </c>
      <c r="Z127" s="39">
        <f t="shared" si="25"/>
        <v>0.41499999999999998</v>
      </c>
    </row>
    <row r="128" spans="1:26" x14ac:dyDescent="0.25">
      <c r="A128" s="7" t="s">
        <v>7</v>
      </c>
      <c r="B128" s="7" t="s">
        <v>7</v>
      </c>
      <c r="C128" s="30" t="s">
        <v>7</v>
      </c>
      <c r="D128" s="7" t="str">
        <f t="shared" si="26"/>
        <v>PIPE_128</v>
      </c>
      <c r="E128" s="7"/>
      <c r="F128" s="31">
        <v>0</v>
      </c>
      <c r="G128" s="32">
        <v>0</v>
      </c>
      <c r="H128" s="32">
        <v>0</v>
      </c>
      <c r="I128" s="32">
        <v>0</v>
      </c>
      <c r="J128" s="29">
        <v>0</v>
      </c>
      <c r="K128" s="29">
        <v>0</v>
      </c>
      <c r="L128" s="29">
        <f>-0.415-0.838</f>
        <v>-1.2529999999999999</v>
      </c>
      <c r="M128" s="33">
        <v>88.9</v>
      </c>
      <c r="N128" s="33">
        <v>11.12</v>
      </c>
      <c r="O128" s="36">
        <v>1.5</v>
      </c>
      <c r="P128" s="36"/>
      <c r="Q128" s="7"/>
      <c r="R128" s="31"/>
      <c r="S128" s="7"/>
      <c r="T128" s="31"/>
      <c r="U128" s="7" t="s">
        <v>62</v>
      </c>
      <c r="V128" s="7"/>
      <c r="X128" s="39">
        <f t="shared" si="23"/>
        <v>0.4</v>
      </c>
      <c r="Y128" s="39">
        <f t="shared" si="24"/>
        <v>-0.38100000000000001</v>
      </c>
      <c r="Z128" s="39">
        <f t="shared" si="25"/>
        <v>-0.83799999999999986</v>
      </c>
    </row>
    <row r="129" spans="1:26" x14ac:dyDescent="0.25">
      <c r="A129" s="7" t="s">
        <v>7</v>
      </c>
      <c r="B129" s="7" t="s">
        <v>7</v>
      </c>
      <c r="C129" s="30" t="s">
        <v>7</v>
      </c>
      <c r="D129" s="7" t="str">
        <f t="shared" si="26"/>
        <v>PIPE_129</v>
      </c>
      <c r="E129" s="7"/>
      <c r="F129" s="31">
        <v>0</v>
      </c>
      <c r="G129" s="32">
        <v>0</v>
      </c>
      <c r="H129" s="32">
        <v>0</v>
      </c>
      <c r="I129" s="32">
        <v>0</v>
      </c>
      <c r="J129" s="29">
        <v>-0.4</v>
      </c>
      <c r="K129" s="29">
        <v>0</v>
      </c>
      <c r="L129" s="29">
        <v>0</v>
      </c>
      <c r="M129" s="33">
        <v>88.9</v>
      </c>
      <c r="N129" s="33">
        <v>11.12</v>
      </c>
      <c r="O129" s="36">
        <v>1.5</v>
      </c>
      <c r="P129" s="36"/>
      <c r="Q129" s="7"/>
      <c r="R129" s="31"/>
      <c r="S129" s="7"/>
      <c r="T129" s="31"/>
      <c r="U129" s="7" t="s">
        <v>62</v>
      </c>
      <c r="V129" s="7"/>
      <c r="X129" s="39">
        <f t="shared" si="23"/>
        <v>0</v>
      </c>
      <c r="Y129" s="39">
        <f t="shared" si="24"/>
        <v>-0.38100000000000001</v>
      </c>
      <c r="Z129" s="39">
        <f t="shared" si="25"/>
        <v>-0.83799999999999986</v>
      </c>
    </row>
    <row r="130" spans="1:26" x14ac:dyDescent="0.25">
      <c r="A130" s="7" t="s">
        <v>7</v>
      </c>
      <c r="B130" s="7" t="s">
        <v>7</v>
      </c>
      <c r="C130" s="30" t="s">
        <v>7</v>
      </c>
      <c r="D130" s="7" t="str">
        <f t="shared" si="26"/>
        <v>PIPE_130</v>
      </c>
      <c r="E130" s="7"/>
      <c r="F130" s="31">
        <v>0</v>
      </c>
      <c r="G130" s="32">
        <v>0</v>
      </c>
      <c r="H130" s="32">
        <v>0</v>
      </c>
      <c r="I130" s="32">
        <v>0</v>
      </c>
      <c r="J130" s="29">
        <v>0</v>
      </c>
      <c r="K130" s="29">
        <v>0.38100000000000001</v>
      </c>
      <c r="L130" s="29">
        <v>0</v>
      </c>
      <c r="M130" s="33">
        <v>88.9</v>
      </c>
      <c r="N130" s="33">
        <v>11.12</v>
      </c>
      <c r="O130" s="36">
        <v>1.5</v>
      </c>
      <c r="P130" s="36"/>
      <c r="Q130" s="7"/>
      <c r="R130" s="31"/>
      <c r="S130" s="7"/>
      <c r="T130" s="31"/>
      <c r="U130" s="7" t="s">
        <v>62</v>
      </c>
      <c r="V130" s="7"/>
      <c r="X130" s="39">
        <f t="shared" si="23"/>
        <v>0</v>
      </c>
      <c r="Y130" s="39">
        <f t="shared" si="24"/>
        <v>0</v>
      </c>
      <c r="Z130" s="39">
        <f t="shared" si="25"/>
        <v>-0.83799999999999986</v>
      </c>
    </row>
    <row r="131" spans="1:26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  <c r="X131" s="39">
        <f t="shared" si="23"/>
        <v>0</v>
      </c>
      <c r="Y131" s="39">
        <f t="shared" si="24"/>
        <v>0</v>
      </c>
      <c r="Z131" s="39">
        <f t="shared" si="25"/>
        <v>-0.83799999999999986</v>
      </c>
    </row>
    <row r="132" spans="1:26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6" x14ac:dyDescent="0.25">
      <c r="A133" s="7" t="s">
        <v>25</v>
      </c>
      <c r="B133" s="7" t="s">
        <v>71</v>
      </c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6" x14ac:dyDescent="0.25">
      <c r="A134" s="7" t="s">
        <v>47</v>
      </c>
      <c r="B134" s="7" t="s">
        <v>10</v>
      </c>
      <c r="C134" s="30" t="s">
        <v>20</v>
      </c>
      <c r="D134" s="7" t="str">
        <f>CONCATENATE("COMP_",ROW())</f>
        <v>COMP_134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0</v>
      </c>
      <c r="L134" s="29">
        <v>0</v>
      </c>
      <c r="M134" s="33">
        <v>88.9</v>
      </c>
      <c r="N134" s="33">
        <v>11.12</v>
      </c>
      <c r="O134" s="36"/>
      <c r="P134" s="36"/>
      <c r="Q134" s="7" t="str">
        <f>D91</f>
        <v>VOL_91</v>
      </c>
      <c r="R134" s="31">
        <v>0.4</v>
      </c>
      <c r="S134" s="7" t="str">
        <f ca="1">OFFSET($A$1,ROW()+1,3)</f>
        <v>PIPE_136</v>
      </c>
      <c r="T134" s="31" t="s">
        <v>43</v>
      </c>
      <c r="U134" s="7"/>
      <c r="V134" s="7"/>
      <c r="X134" s="39">
        <f>IF(OR(A134="volume",A134="pipe",A134="junction"),X133+F134*COS(G134*PI()/180)*COS(H134*PI()/180)+J134,X133)</f>
        <v>0</v>
      </c>
      <c r="Y134" s="39">
        <f>IF(OR(A134="volume",A134="pipe",A134="junction"),Y133+F134*COS(G134*PI()/180)*SIN(H134*PI()/180)+K134,Y133)</f>
        <v>0</v>
      </c>
      <c r="Z134" s="39">
        <f>IF(OR(A134="volume",A134="pipe",A134="junction"),Z133+F134*SIN(G134*PI()/180)+L134,Z133)</f>
        <v>0</v>
      </c>
    </row>
    <row r="135" spans="1:26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  <c r="X135" s="39">
        <f>IF(OR(A135="volume",A135="pipe",A135="junction"),X134+F135*COS(G135*PI()/180)*COS(H135*PI()/180)+J135,X134)</f>
        <v>0</v>
      </c>
      <c r="Y135" s="39">
        <f>IF(OR(A135="volume",A135="pipe",A135="junction"),Y134+F135*COS(G135*PI()/180)*SIN(H135*PI()/180)+K135,Y134)</f>
        <v>0</v>
      </c>
      <c r="Z135" s="39">
        <f>IF(OR(A135="volume",A135="pipe",A135="junction"),Z134+F135*SIN(G135*PI()/180)+L135,Z134)</f>
        <v>0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ref="D136" si="27">CONCATENATE("PIPE_",ROW())</f>
        <v>PIPE_136</v>
      </c>
      <c r="E136" s="7"/>
      <c r="F136" s="31">
        <v>0.56999999999999995</v>
      </c>
      <c r="G136" s="32">
        <f>-(90-35)</f>
        <v>-55</v>
      </c>
      <c r="H136" s="32">
        <v>90</v>
      </c>
      <c r="I136" s="32">
        <v>0</v>
      </c>
      <c r="J136" s="29">
        <v>0</v>
      </c>
      <c r="K136" s="29">
        <v>0</v>
      </c>
      <c r="L136" s="29">
        <v>0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62</v>
      </c>
      <c r="V136" s="7"/>
      <c r="X136" s="39">
        <f>IF(OR(A136="volume",A136="pipe",A136="junction"),X135+F136*COS(G136*PI()/180)*COS(H136*PI()/180)+J136,X135)</f>
        <v>2.0027414115873083E-17</v>
      </c>
      <c r="Y136" s="39">
        <f>IF(OR(A136="volume",A136="pipe",A136="junction"),Y135+F136*COS(G136*PI()/180)*SIN(H136*PI()/180)+K136,Y135)</f>
        <v>0.3269385687200963</v>
      </c>
      <c r="Z136" s="39">
        <f>IF(OR(A136="volume",A136="pipe",A136="junction"),Z135+F136*SIN(G136*PI()/180)+L136,Z135)</f>
        <v>-0.4669166652447253</v>
      </c>
    </row>
    <row r="137" spans="1:26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  <c r="X137" s="39">
        <f>IF(OR(A137="volume",A137="pipe",A137="junction"),X136+F137*COS(G137*PI()/180)*COS(H137*PI()/180)+J137,X136)</f>
        <v>2.0027414115873083E-17</v>
      </c>
      <c r="Y137" s="39">
        <f>IF(OR(A137="volume",A137="pipe",A137="junction"),Y136+F137*COS(G137*PI()/180)*SIN(H137*PI()/180)+K137,Y136)</f>
        <v>0.3269385687200963</v>
      </c>
      <c r="Z137" s="39">
        <f>IF(OR(A137="volume",A137="pipe",A137="junction"),Z136+F137*SIN(G137*PI()/180)+L137,Z136)</f>
        <v>-0.4669166652447253</v>
      </c>
    </row>
    <row r="138" spans="1:26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6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56" priority="39" stopIfTrue="1">
      <formula>$A16="Pipe"</formula>
    </cfRule>
  </conditionalFormatting>
  <conditionalFormatting sqref="Q183:Q337 S183:S337 J183:J337 U183:U337 A183:A337 O183:O337 M183:M337">
    <cfRule type="expression" dxfId="55" priority="36">
      <formula>OR($A183="Pipe",$A183="Component",$A183="Volume")</formula>
    </cfRule>
  </conditionalFormatting>
  <conditionalFormatting sqref="T183:T337 R183:R337 E183:E337 L183:L337 P183:P337 V183:V337 N183:N337 I183:I337">
    <cfRule type="expression" dxfId="54" priority="37">
      <formula>OR($A183="Pipe",$A183="Component",$A183="Volume")</formula>
    </cfRule>
  </conditionalFormatting>
  <conditionalFormatting sqref="K183:K337 B183:D337 G183:H337">
    <cfRule type="expression" dxfId="53" priority="35">
      <formula>OR($A183="Pipe",$A183="Component",$A183="Volume")</formula>
    </cfRule>
  </conditionalFormatting>
  <conditionalFormatting sqref="U183:V337 A183:P337">
    <cfRule type="expression" dxfId="52" priority="34">
      <formula>$A183="Pipe"</formula>
    </cfRule>
  </conditionalFormatting>
  <conditionalFormatting sqref="Q183:T337">
    <cfRule type="expression" dxfId="51" priority="33">
      <formula>OR($A183="Volume",$A183="Pipe")</formula>
    </cfRule>
  </conditionalFormatting>
  <conditionalFormatting sqref="A183:V337">
    <cfRule type="expression" dxfId="50" priority="32">
      <formula>$A183="Component"</formula>
    </cfRule>
  </conditionalFormatting>
  <conditionalFormatting sqref="U183:V337 A183:P337">
    <cfRule type="expression" dxfId="49" priority="31">
      <formula>$A183="Volume"</formula>
    </cfRule>
  </conditionalFormatting>
  <conditionalFormatting sqref="J183:L337">
    <cfRule type="cellIs" dxfId="48" priority="30" operator="notEqual">
      <formula>0</formula>
    </cfRule>
  </conditionalFormatting>
  <conditionalFormatting sqref="F183:F337">
    <cfRule type="expression" dxfId="47" priority="38">
      <formula>OR($A183="Pipe",$A183="Component",$A183="Volume")</formula>
    </cfRule>
  </conditionalFormatting>
  <conditionalFormatting sqref="T22:V182 A22:P182">
    <cfRule type="expression" dxfId="46" priority="27">
      <formula>$A22="Volume"</formula>
    </cfRule>
    <cfRule type="expression" dxfId="45" priority="29">
      <formula>$A22="Pipe"</formula>
    </cfRule>
  </conditionalFormatting>
  <conditionalFormatting sqref="A22:V182">
    <cfRule type="expression" dxfId="44" priority="25">
      <formula>$A22="Junction"</formula>
    </cfRule>
  </conditionalFormatting>
  <conditionalFormatting sqref="Q22:T182">
    <cfRule type="expression" dxfId="43" priority="24">
      <formula>OR($A22="Pipe",$A22="Volume")</formula>
    </cfRule>
  </conditionalFormatting>
  <conditionalFormatting sqref="J22:L182">
    <cfRule type="expression" dxfId="42" priority="23">
      <formula>AND(OR($A22="Junction",$A22="Pipe",$A22="Volume"),J22&lt;&gt;0)</formula>
    </cfRule>
  </conditionalFormatting>
  <conditionalFormatting sqref="R22:R182 T22:T182">
    <cfRule type="expression" dxfId="41" priority="22">
      <formula>AND($A22="Junction",ISNUMBER(R22))</formula>
    </cfRule>
  </conditionalFormatting>
  <conditionalFormatting sqref="B22:D182 F22:F182 H22:H182 K22:K182">
    <cfRule type="expression" dxfId="40" priority="20">
      <formula>OR($A22="Junction",$A22="Pipe",$A22="Volume")</formula>
    </cfRule>
  </conditionalFormatting>
  <conditionalFormatting sqref="G22:G182 J22:J182 M22:M182 Q22:Q182 S22:S182 U22:U182 A22:A182 O22:O182">
    <cfRule type="expression" dxfId="39" priority="16">
      <formula>OR($A22="Junction",$A22="Pipe",$A22="Volume")</formula>
    </cfRule>
  </conditionalFormatting>
  <conditionalFormatting sqref="E22:E182 I22:I182 L22:L182 N22:N182 P22:P182 R22:R182 T22:T182 V22:V182">
    <cfRule type="expression" dxfId="38" priority="8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Z337"/>
  <sheetViews>
    <sheetView zoomScale="70" zoomScaleNormal="70" workbookViewId="0">
      <pane ySplit="4" topLeftCell="A5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1" t="s">
        <v>33</v>
      </c>
      <c r="B8" s="41"/>
      <c r="C8" s="41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/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v>0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ht="14.45" x14ac:dyDescent="0.3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ht="14.45" x14ac:dyDescent="0.3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ht="14.45" x14ac:dyDescent="0.3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ht="14.45" x14ac:dyDescent="0.3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ht="14.45" x14ac:dyDescent="0.3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ht="14.45" x14ac:dyDescent="0.3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ht="14.45" x14ac:dyDescent="0.3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ht="14.45" x14ac:dyDescent="0.3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ht="14.45" x14ac:dyDescent="0.3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</row>
    <row r="63" spans="1:22" ht="14.45" x14ac:dyDescent="0.3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ht="14.45" x14ac:dyDescent="0.3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37" priority="19" stopIfTrue="1">
      <formula>$A16="Pipe"</formula>
    </cfRule>
  </conditionalFormatting>
  <conditionalFormatting sqref="Q183:Q337 S183:S337 J183:J337 U183:U337 A183:A337 O183:O337 M183:M337">
    <cfRule type="expression" dxfId="36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35" priority="17">
      <formula>OR($A183="Pipe",$A183="Component",$A183="Volume")</formula>
    </cfRule>
  </conditionalFormatting>
  <conditionalFormatting sqref="K183:K337 B183:D337 G183:H337">
    <cfRule type="expression" dxfId="34" priority="15">
      <formula>OR($A183="Pipe",$A183="Component",$A183="Volume")</formula>
    </cfRule>
  </conditionalFormatting>
  <conditionalFormatting sqref="U183:V337 A183:P337">
    <cfRule type="expression" dxfId="33" priority="14">
      <formula>$A183="Pipe"</formula>
    </cfRule>
  </conditionalFormatting>
  <conditionalFormatting sqref="Q183:T337">
    <cfRule type="expression" dxfId="32" priority="13">
      <formula>OR($A183="Volume",$A183="Pipe")</formula>
    </cfRule>
  </conditionalFormatting>
  <conditionalFormatting sqref="A183:V337">
    <cfRule type="expression" dxfId="31" priority="12">
      <formula>$A183="Component"</formula>
    </cfRule>
  </conditionalFormatting>
  <conditionalFormatting sqref="U183:V337 A183:P337">
    <cfRule type="expression" dxfId="30" priority="11">
      <formula>$A183="Volume"</formula>
    </cfRule>
  </conditionalFormatting>
  <conditionalFormatting sqref="J183:L337">
    <cfRule type="cellIs" dxfId="29" priority="10" operator="notEqual">
      <formula>0</formula>
    </cfRule>
  </conditionalFormatting>
  <conditionalFormatting sqref="F183:F337">
    <cfRule type="expression" dxfId="28" priority="18">
      <formula>OR($A183="Pipe",$A183="Component",$A183="Volume")</formula>
    </cfRule>
  </conditionalFormatting>
  <conditionalFormatting sqref="T22:V182 A22:P182">
    <cfRule type="expression" dxfId="27" priority="8">
      <formula>$A22="Volume"</formula>
    </cfRule>
    <cfRule type="expression" dxfId="26" priority="9">
      <formula>$A22="Pipe"</formula>
    </cfRule>
  </conditionalFormatting>
  <conditionalFormatting sqref="A22:V182">
    <cfRule type="expression" dxfId="25" priority="7">
      <formula>$A22="Junction"</formula>
    </cfRule>
  </conditionalFormatting>
  <conditionalFormatting sqref="Q22:T182">
    <cfRule type="expression" dxfId="24" priority="6">
      <formula>OR($A22="Pipe",$A22="Volume")</formula>
    </cfRule>
  </conditionalFormatting>
  <conditionalFormatting sqref="J22:L182">
    <cfRule type="expression" dxfId="23" priority="5">
      <formula>AND(OR($A22="Junction",$A22="Pipe",$A22="Volume"),J22&lt;&gt;0)</formula>
    </cfRule>
  </conditionalFormatting>
  <conditionalFormatting sqref="R22:R182 T22:T182">
    <cfRule type="expression" dxfId="22" priority="4">
      <formula>AND($A22="Junction",ISNUMBER(R22))</formula>
    </cfRule>
  </conditionalFormatting>
  <conditionalFormatting sqref="B22:D182 F22:F182 H22:H182 K22:K182">
    <cfRule type="expression" dxfId="21" priority="3">
      <formula>OR($A22="Junction",$A22="Pipe",$A22="Volume")</formula>
    </cfRule>
  </conditionalFormatting>
  <conditionalFormatting sqref="G22:G182 J22:J182 M22:M182 Q22:Q182 S22:S182 U22:U182 A22:A182 O22:O182">
    <cfRule type="expression" dxfId="20" priority="2">
      <formula>OR($A22="Junction",$A22="Pipe",$A22="Volume")</formula>
    </cfRule>
  </conditionalFormatting>
  <conditionalFormatting sqref="E22:E182 I22:I182 L22:L182 N22:N182 P22:P182 R22:R182 T22:T182 V22:V182">
    <cfRule type="expression" dxfId="19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Button 5">
              <controlPr defaultSize="0" print="0" autoFill="0" autoPict="0" macro="[0]!AddLoopCheck">
                <anchor>
                  <from>
                    <xdr:col>23</xdr:col>
                    <xdr:colOff>133350</xdr:colOff>
                    <xdr:row>1</xdr:row>
                    <xdr:rowOff>123825</xdr:rowOff>
                  </from>
                  <to>
                    <xdr:col>25</xdr:col>
                    <xdr:colOff>352425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Z337"/>
  <sheetViews>
    <sheetView zoomScale="85" zoomScaleNormal="85" workbookViewId="0">
      <pane ySplit="4" topLeftCell="A5" activePane="bottomLeft" state="frozenSplit"/>
      <selection pane="bottomLeft" activeCell="D6" sqref="D6:G6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2.1406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29</v>
      </c>
      <c r="B1" s="10" t="s">
        <v>0</v>
      </c>
      <c r="C1" s="10" t="s">
        <v>1</v>
      </c>
      <c r="D1" s="10" t="s">
        <v>16</v>
      </c>
      <c r="E1" s="10" t="s">
        <v>27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28</v>
      </c>
      <c r="V1" s="10" t="s">
        <v>26</v>
      </c>
      <c r="W1" s="10"/>
      <c r="X1" s="37" t="s">
        <v>49</v>
      </c>
      <c r="Y1" s="37" t="s">
        <v>50</v>
      </c>
      <c r="Z1" s="37" t="s">
        <v>51</v>
      </c>
    </row>
    <row r="2" spans="1:26" s="12" customFormat="1" ht="14.45" x14ac:dyDescent="0.3">
      <c r="A2" s="12" t="s">
        <v>23</v>
      </c>
      <c r="B2" s="12" t="s">
        <v>45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31</v>
      </c>
      <c r="D5" s="34" t="s">
        <v>46</v>
      </c>
      <c r="O5"/>
      <c r="P5"/>
    </row>
    <row r="6" spans="1:26" ht="14.45" x14ac:dyDescent="0.3">
      <c r="A6" s="41" t="s">
        <v>32</v>
      </c>
      <c r="B6" s="41"/>
      <c r="C6" s="41"/>
      <c r="D6" s="42" t="s">
        <v>80</v>
      </c>
      <c r="E6" s="42"/>
      <c r="F6" s="42"/>
      <c r="G6" s="42"/>
      <c r="O6"/>
      <c r="P6"/>
    </row>
    <row r="7" spans="1:26" ht="14.45" x14ac:dyDescent="0.3">
      <c r="A7" t="s">
        <v>42</v>
      </c>
      <c r="D7" s="5" t="str">
        <f>HYPERLINK(SUBSTITUTE(D6,"XlsPipePlot.exe","Components\"))</f>
        <v>"..\Components\"</v>
      </c>
      <c r="O7"/>
      <c r="P7"/>
    </row>
    <row r="8" spans="1:26" ht="14.45" x14ac:dyDescent="0.3">
      <c r="A8" s="41" t="s">
        <v>33</v>
      </c>
      <c r="B8" s="41"/>
      <c r="C8" s="41"/>
      <c r="D8" s="5" t="s">
        <v>34</v>
      </c>
      <c r="O8"/>
      <c r="P8"/>
    </row>
    <row r="9" spans="1:26" ht="14.45" x14ac:dyDescent="0.3">
      <c r="O9"/>
      <c r="P9"/>
    </row>
    <row r="10" spans="1:26" ht="18" x14ac:dyDescent="0.35">
      <c r="A10" s="15" t="s">
        <v>35</v>
      </c>
      <c r="O10"/>
      <c r="P10"/>
    </row>
    <row r="11" spans="1:26" ht="14.45" x14ac:dyDescent="0.3">
      <c r="A11" t="s">
        <v>36</v>
      </c>
      <c r="O11"/>
      <c r="P11"/>
    </row>
    <row r="12" spans="1:26" ht="15.6" x14ac:dyDescent="0.35">
      <c r="A12" s="16" t="s">
        <v>37</v>
      </c>
      <c r="B12" s="17" t="s">
        <v>16</v>
      </c>
      <c r="C12" s="18" t="s">
        <v>38</v>
      </c>
      <c r="D12" s="19" t="s">
        <v>39</v>
      </c>
      <c r="E12" s="20" t="s">
        <v>40</v>
      </c>
      <c r="F12" s="18" t="s">
        <v>41</v>
      </c>
      <c r="O12"/>
      <c r="P12"/>
    </row>
    <row r="13" spans="1:26" ht="14.45" x14ac:dyDescent="0.3">
      <c r="A13" s="21" t="s">
        <v>24</v>
      </c>
      <c r="B13" s="22" t="str">
        <f>D26</f>
        <v>VOL_26</v>
      </c>
      <c r="C13" s="23">
        <v>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O19"/>
      <c r="P19"/>
    </row>
    <row r="20" spans="1:22" ht="14.45" x14ac:dyDescent="0.3">
      <c r="O20"/>
      <c r="P20"/>
    </row>
    <row r="21" spans="1:22" thickBot="1" x14ac:dyDescent="0.35">
      <c r="A21" s="9" t="s">
        <v>48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</row>
    <row r="22" spans="1:22" ht="14.45" x14ac:dyDescent="0.3">
      <c r="A22" s="7"/>
      <c r="B22" s="7"/>
      <c r="C22" s="30"/>
      <c r="D22" s="7"/>
      <c r="E22" s="7"/>
      <c r="F22" s="31"/>
      <c r="G22" s="32"/>
      <c r="H22" s="32"/>
      <c r="I22" s="32"/>
      <c r="J22" s="29"/>
      <c r="K22" s="29"/>
      <c r="L22" s="29"/>
      <c r="M22" s="33"/>
      <c r="N22" s="33"/>
      <c r="O22" s="35"/>
      <c r="P22" s="36"/>
      <c r="Q22" s="7"/>
      <c r="R22" s="31"/>
      <c r="S22" s="7"/>
      <c r="T22" s="31"/>
      <c r="U22" s="7"/>
      <c r="V22" s="7"/>
    </row>
    <row r="23" spans="1:22" ht="14.45" x14ac:dyDescent="0.3">
      <c r="A23" s="7"/>
      <c r="B23" s="7"/>
      <c r="C23" s="30"/>
      <c r="D23" s="7"/>
      <c r="E23" s="7"/>
      <c r="F23" s="31"/>
      <c r="G23" s="32"/>
      <c r="H23" s="32"/>
      <c r="I23" s="32"/>
      <c r="J23" s="29">
        <v>1.0606601717798212</v>
      </c>
      <c r="K23" s="29"/>
      <c r="L23" s="29"/>
      <c r="M23" s="33"/>
      <c r="N23" s="33"/>
      <c r="O23" s="35"/>
      <c r="P23" s="36"/>
      <c r="Q23" s="7"/>
      <c r="R23" s="31"/>
      <c r="S23" s="7"/>
      <c r="T23" s="31"/>
      <c r="U23" s="7"/>
      <c r="V23" s="7"/>
    </row>
    <row r="24" spans="1:22" ht="14.45" x14ac:dyDescent="0.3">
      <c r="A24" s="7"/>
      <c r="B24" s="7"/>
      <c r="C24" s="30"/>
      <c r="D24" s="7"/>
      <c r="E24" s="7"/>
      <c r="F24" s="31"/>
      <c r="G24" s="32"/>
      <c r="H24" s="32"/>
      <c r="I24" s="32"/>
      <c r="J24" s="29"/>
      <c r="K24" s="29"/>
      <c r="L24" s="29"/>
      <c r="M24" s="33"/>
      <c r="N24" s="33"/>
      <c r="O24" s="36"/>
      <c r="P24" s="36"/>
      <c r="Q24" s="7"/>
      <c r="R24" s="31"/>
      <c r="S24" s="7"/>
      <c r="T24" s="31"/>
      <c r="U24" s="7"/>
      <c r="V24" s="7"/>
    </row>
    <row r="25" spans="1:22" ht="14.45" x14ac:dyDescent="0.3">
      <c r="A25" s="7" t="s">
        <v>25</v>
      </c>
      <c r="B25" s="7" t="s">
        <v>73</v>
      </c>
      <c r="C25" s="30"/>
      <c r="D25" s="7"/>
      <c r="E25" s="7"/>
      <c r="F25" s="31"/>
      <c r="G25" s="32"/>
      <c r="H25" s="32"/>
      <c r="I25" s="32"/>
      <c r="J25" s="29"/>
      <c r="K25" s="29"/>
      <c r="L25" s="29"/>
      <c r="M25" s="33"/>
      <c r="N25" s="33"/>
      <c r="O25" s="36"/>
      <c r="P25" s="36"/>
      <c r="Q25" s="7"/>
      <c r="R25" s="31"/>
      <c r="S25" s="7"/>
      <c r="T25" s="31"/>
      <c r="U25" s="7"/>
      <c r="V25" s="7"/>
    </row>
    <row r="26" spans="1:22" ht="14.45" x14ac:dyDescent="0.3">
      <c r="A26" s="7" t="s">
        <v>30</v>
      </c>
      <c r="B26" s="7" t="s">
        <v>21</v>
      </c>
      <c r="C26" s="30" t="s">
        <v>74</v>
      </c>
      <c r="D26" s="7" t="str">
        <f>CONCATENATE("VOL_",ROW())</f>
        <v>VOL_26</v>
      </c>
      <c r="E26" s="7"/>
      <c r="F26" s="31">
        <v>1.5</v>
      </c>
      <c r="G26" s="32">
        <v>-90</v>
      </c>
      <c r="H26" s="32">
        <v>0</v>
      </c>
      <c r="I26" s="32">
        <v>0</v>
      </c>
      <c r="J26" s="29">
        <v>0</v>
      </c>
      <c r="K26" s="29">
        <v>0</v>
      </c>
      <c r="L26" s="29">
        <v>0</v>
      </c>
      <c r="M26" s="33">
        <v>1000</v>
      </c>
      <c r="N26" s="33">
        <v>7</v>
      </c>
      <c r="O26" s="36">
        <v>0.8</v>
      </c>
      <c r="P26" s="36"/>
      <c r="Q26" s="7" t="s">
        <v>75</v>
      </c>
      <c r="R26" s="31"/>
      <c r="S26" s="7" t="s">
        <v>75</v>
      </c>
      <c r="T26" s="31"/>
      <c r="U26" s="7"/>
      <c r="V26" s="7"/>
    </row>
    <row r="27" spans="1:22" ht="14.45" x14ac:dyDescent="0.3">
      <c r="A27" s="7"/>
      <c r="B27" s="7"/>
      <c r="C27" s="30"/>
      <c r="D27" s="7"/>
      <c r="E27" s="7"/>
      <c r="F27" s="31"/>
      <c r="G27" s="32"/>
      <c r="H27" s="32"/>
      <c r="I27" s="32"/>
      <c r="J27" s="29"/>
      <c r="K27" s="29"/>
      <c r="L27" s="29"/>
      <c r="M27" s="33"/>
      <c r="N27" s="33"/>
      <c r="O27" s="36"/>
      <c r="P27" s="36"/>
      <c r="Q27" s="7"/>
      <c r="R27" s="31"/>
      <c r="S27" s="7"/>
      <c r="T27" s="31"/>
      <c r="U27" s="7"/>
      <c r="V27" s="7"/>
    </row>
    <row r="28" spans="1:22" ht="14.45" x14ac:dyDescent="0.3">
      <c r="A28" s="7" t="s">
        <v>47</v>
      </c>
      <c r="B28" s="7" t="s">
        <v>10</v>
      </c>
      <c r="C28" s="30" t="s">
        <v>20</v>
      </c>
      <c r="D28" s="7" t="str">
        <f>CONCATENATE("JUNC_",ROW())</f>
        <v>JUNC_28</v>
      </c>
      <c r="E28" s="7"/>
      <c r="F28" s="31">
        <v>0</v>
      </c>
      <c r="G28" s="32">
        <v>-90</v>
      </c>
      <c r="H28" s="32">
        <v>0</v>
      </c>
      <c r="I28" s="32">
        <v>0</v>
      </c>
      <c r="J28" s="29">
        <v>0</v>
      </c>
      <c r="K28" s="29">
        <v>0</v>
      </c>
      <c r="L28" s="29">
        <v>0</v>
      </c>
      <c r="M28" s="33">
        <v>97.93</v>
      </c>
      <c r="N28" s="33">
        <v>2.02</v>
      </c>
      <c r="O28" s="36"/>
      <c r="P28" s="36"/>
      <c r="Q28" s="7" t="str">
        <f ca="1">OFFSET($A$1,ROW()-3,3)</f>
        <v>VOL_26</v>
      </c>
      <c r="R28" s="31" t="s">
        <v>44</v>
      </c>
      <c r="S28" s="7" t="str">
        <f ca="1">OFFSET($A$1,ROW()+1,3)</f>
        <v>PIPE_30</v>
      </c>
      <c r="T28" s="31" t="s">
        <v>43</v>
      </c>
      <c r="U28" s="7"/>
      <c r="V28" s="7"/>
    </row>
    <row r="29" spans="1:22" ht="14.45" x14ac:dyDescent="0.3">
      <c r="A29" s="7"/>
      <c r="B29" s="7"/>
      <c r="C29" s="30"/>
      <c r="D29" s="7"/>
      <c r="E29" s="7"/>
      <c r="F29" s="31"/>
      <c r="G29" s="32"/>
      <c r="H29" s="32"/>
      <c r="I29" s="32"/>
      <c r="J29" s="29"/>
      <c r="K29" s="29"/>
      <c r="L29" s="29"/>
      <c r="M29" s="33"/>
      <c r="N29" s="33"/>
      <c r="O29" s="36"/>
      <c r="P29" s="36"/>
      <c r="Q29" s="7"/>
      <c r="R29" s="31"/>
      <c r="S29" s="7"/>
      <c r="T29" s="31"/>
      <c r="U29" s="7"/>
      <c r="V29" s="7"/>
    </row>
    <row r="30" spans="1:22" ht="14.45" x14ac:dyDescent="0.3">
      <c r="A30" s="7" t="s">
        <v>7</v>
      </c>
      <c r="B30" s="7" t="s">
        <v>7</v>
      </c>
      <c r="C30" s="30" t="s">
        <v>7</v>
      </c>
      <c r="D30" s="7" t="str">
        <f t="shared" ref="D30:D39" si="0">CONCATENATE("PIPE_",ROW())</f>
        <v>PIPE_30</v>
      </c>
      <c r="E30" s="7"/>
      <c r="F30" s="31">
        <v>0.5</v>
      </c>
      <c r="G30" s="32">
        <v>-90</v>
      </c>
      <c r="H30" s="32">
        <v>0</v>
      </c>
      <c r="I30" s="32">
        <v>0</v>
      </c>
      <c r="J30" s="29">
        <v>0</v>
      </c>
      <c r="K30" s="29">
        <v>0</v>
      </c>
      <c r="L30" s="29">
        <v>0</v>
      </c>
      <c r="M30" s="33">
        <v>100</v>
      </c>
      <c r="N30" s="33">
        <v>3.05</v>
      </c>
      <c r="O30" s="36">
        <v>1.5</v>
      </c>
      <c r="P30" s="36"/>
      <c r="Q30" s="7"/>
      <c r="R30" s="31"/>
      <c r="S30" s="7"/>
      <c r="T30" s="31"/>
      <c r="U30" s="7"/>
      <c r="V30" s="7"/>
    </row>
    <row r="31" spans="1:22" ht="14.45" x14ac:dyDescent="0.3">
      <c r="A31" s="7" t="s">
        <v>7</v>
      </c>
      <c r="B31" s="7" t="s">
        <v>7</v>
      </c>
      <c r="C31" s="30" t="s">
        <v>7</v>
      </c>
      <c r="D31" s="7" t="str">
        <f t="shared" si="0"/>
        <v>PIPE_31</v>
      </c>
      <c r="E31" s="7"/>
      <c r="F31" s="31">
        <v>1.5</v>
      </c>
      <c r="G31" s="32">
        <v>0</v>
      </c>
      <c r="H31" s="32">
        <f>270+45</f>
        <v>315</v>
      </c>
      <c r="I31" s="32">
        <v>0</v>
      </c>
      <c r="J31" s="29">
        <v>0</v>
      </c>
      <c r="K31" s="29">
        <v>0</v>
      </c>
      <c r="L31" s="29">
        <v>0</v>
      </c>
      <c r="M31" s="33">
        <v>100</v>
      </c>
      <c r="N31" s="33">
        <v>3.05</v>
      </c>
      <c r="O31" s="36">
        <v>1.5</v>
      </c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7</v>
      </c>
      <c r="B32" s="7" t="s">
        <v>7</v>
      </c>
      <c r="C32" s="30" t="s">
        <v>7</v>
      </c>
      <c r="D32" s="7" t="str">
        <f t="shared" si="0"/>
        <v>PIPE_32</v>
      </c>
      <c r="E32" s="7"/>
      <c r="F32" s="31">
        <v>0.6</v>
      </c>
      <c r="G32" s="32">
        <v>-90</v>
      </c>
      <c r="H32" s="32">
        <v>0</v>
      </c>
      <c r="I32" s="32">
        <v>0</v>
      </c>
      <c r="J32" s="29">
        <v>0</v>
      </c>
      <c r="K32" s="29">
        <v>0</v>
      </c>
      <c r="L32" s="29">
        <v>0</v>
      </c>
      <c r="M32" s="33">
        <v>100</v>
      </c>
      <c r="N32" s="33">
        <v>3.05</v>
      </c>
      <c r="O32" s="36">
        <v>1.5</v>
      </c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7</v>
      </c>
      <c r="B33" s="7" t="s">
        <v>7</v>
      </c>
      <c r="C33" s="30" t="s">
        <v>7</v>
      </c>
      <c r="D33" s="7" t="str">
        <f t="shared" si="0"/>
        <v>PIPE_33</v>
      </c>
      <c r="E33" s="7"/>
      <c r="F33" s="31">
        <v>1</v>
      </c>
      <c r="G33" s="32">
        <v>0</v>
      </c>
      <c r="H33" s="32">
        <v>270</v>
      </c>
      <c r="I33" s="32">
        <v>0</v>
      </c>
      <c r="J33" s="29">
        <v>0</v>
      </c>
      <c r="K33" s="29">
        <v>0</v>
      </c>
      <c r="L33" s="29">
        <v>0</v>
      </c>
      <c r="M33" s="33">
        <v>100</v>
      </c>
      <c r="N33" s="33">
        <v>3.05</v>
      </c>
      <c r="O33" s="36">
        <v>1.5</v>
      </c>
      <c r="P33" s="36"/>
      <c r="Q33" s="7"/>
      <c r="R33" s="31"/>
      <c r="S33" s="7"/>
      <c r="T33" s="31"/>
      <c r="U33" s="7"/>
      <c r="V33" s="7"/>
    </row>
    <row r="34" spans="1:22" ht="14.45" x14ac:dyDescent="0.3">
      <c r="A34" s="7"/>
      <c r="B34" s="7"/>
      <c r="C34" s="30"/>
      <c r="D34" s="7"/>
      <c r="E34" s="7"/>
      <c r="F34" s="31"/>
      <c r="G34" s="32"/>
      <c r="H34" s="32"/>
      <c r="I34" s="32"/>
      <c r="J34" s="29"/>
      <c r="K34" s="29"/>
      <c r="L34" s="29"/>
      <c r="M34" s="33"/>
      <c r="N34" s="33"/>
      <c r="O34" s="36"/>
      <c r="P34" s="36"/>
      <c r="Q34" s="7"/>
      <c r="R34" s="31"/>
      <c r="S34" s="7"/>
      <c r="T34" s="31"/>
      <c r="U34" s="7"/>
      <c r="V34" s="7"/>
    </row>
    <row r="35" spans="1:22" ht="14.45" x14ac:dyDescent="0.3">
      <c r="A35" s="7" t="s">
        <v>47</v>
      </c>
      <c r="B35" s="7" t="s">
        <v>9</v>
      </c>
      <c r="C35" s="30" t="s">
        <v>76</v>
      </c>
      <c r="D35" s="7" t="str">
        <f>CONCATENATE("JUNC_",ROW())</f>
        <v>JUNC_35</v>
      </c>
      <c r="E35" s="7"/>
      <c r="F35" s="31">
        <v>0.2</v>
      </c>
      <c r="G35" s="32">
        <v>0</v>
      </c>
      <c r="H35" s="32">
        <v>270</v>
      </c>
      <c r="I35" s="32">
        <v>0</v>
      </c>
      <c r="J35" s="29">
        <v>0</v>
      </c>
      <c r="K35" s="29">
        <v>0</v>
      </c>
      <c r="L35" s="29">
        <v>0</v>
      </c>
      <c r="M35" s="33">
        <v>100</v>
      </c>
      <c r="N35" s="33">
        <v>3.05</v>
      </c>
      <c r="O35" s="36"/>
      <c r="P35" s="36"/>
      <c r="Q35" s="7" t="str">
        <f ca="1">OFFSET($A$1,ROW()-3,3)</f>
        <v>PIPE_33</v>
      </c>
      <c r="R35" s="31" t="s">
        <v>44</v>
      </c>
      <c r="S35" s="7" t="str">
        <f ca="1">OFFSET($A$1,ROW()+1,3)</f>
        <v>PIPE_37</v>
      </c>
      <c r="T35" s="31" t="s">
        <v>43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si="0"/>
        <v>PIPE_37</v>
      </c>
      <c r="E37" s="7"/>
      <c r="F37" s="31">
        <v>1</v>
      </c>
      <c r="G37" s="32">
        <v>0</v>
      </c>
      <c r="H37" s="32">
        <v>270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0.4</v>
      </c>
      <c r="G38" s="32">
        <v>-90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2</v>
      </c>
      <c r="G39" s="32">
        <v>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</row>
    <row r="41" spans="1:22" ht="14.45" x14ac:dyDescent="0.3">
      <c r="A41" s="7" t="s">
        <v>47</v>
      </c>
      <c r="B41" s="7" t="s">
        <v>10</v>
      </c>
      <c r="C41" s="30" t="s">
        <v>10</v>
      </c>
      <c r="D41" s="7" t="str">
        <f>CONCATENATE("JUNC_",ROW())</f>
        <v>JUNC_41</v>
      </c>
      <c r="E41" s="7"/>
      <c r="F41" s="31">
        <v>0</v>
      </c>
      <c r="G41" s="32">
        <v>0</v>
      </c>
      <c r="H41" s="32">
        <v>0</v>
      </c>
      <c r="I41" s="32">
        <v>0</v>
      </c>
      <c r="J41" s="29">
        <v>0</v>
      </c>
      <c r="K41" s="29">
        <v>0</v>
      </c>
      <c r="L41" s="29">
        <v>1</v>
      </c>
      <c r="M41" s="33">
        <v>0</v>
      </c>
      <c r="N41" s="33">
        <v>0</v>
      </c>
      <c r="O41" s="36"/>
      <c r="P41" s="36"/>
      <c r="Q41" s="7" t="str">
        <f ca="1">OFFSET($A$1,ROW()-3,3)</f>
        <v>PIPE_39</v>
      </c>
      <c r="R41" s="31" t="s">
        <v>44</v>
      </c>
      <c r="S41" s="7" t="str">
        <f ca="1">OFFSET($A$1,ROW()+1,3)</f>
        <v>VOL_43</v>
      </c>
      <c r="T41" s="31" t="s">
        <v>43</v>
      </c>
      <c r="U41" s="7"/>
      <c r="V41" s="7"/>
    </row>
    <row r="42" spans="1:22" ht="14.45" x14ac:dyDescent="0.3">
      <c r="A42" s="7"/>
      <c r="B42" s="7"/>
      <c r="C42" s="30"/>
      <c r="D42" s="7"/>
      <c r="E42" s="7"/>
      <c r="F42" s="31"/>
      <c r="G42" s="32"/>
      <c r="H42" s="32"/>
      <c r="I42" s="32"/>
      <c r="J42" s="29"/>
      <c r="K42" s="29"/>
      <c r="L42" s="29"/>
      <c r="M42" s="33"/>
      <c r="N42" s="33"/>
      <c r="O42" s="36"/>
      <c r="P42" s="36"/>
      <c r="Q42" s="7"/>
      <c r="R42" s="31"/>
      <c r="S42" s="7"/>
      <c r="T42" s="31"/>
      <c r="U42" s="7"/>
      <c r="V42" s="7"/>
    </row>
    <row r="43" spans="1:22" ht="14.45" x14ac:dyDescent="0.3">
      <c r="A43" s="7" t="s">
        <v>30</v>
      </c>
      <c r="B43" s="7" t="s">
        <v>21</v>
      </c>
      <c r="C43" s="30" t="s">
        <v>77</v>
      </c>
      <c r="D43" s="7" t="str">
        <f>CONCATENATE("VOL_",ROW())</f>
        <v>VOL_43</v>
      </c>
      <c r="E43" s="7"/>
      <c r="F43" s="31">
        <v>1.5</v>
      </c>
      <c r="G43" s="32">
        <v>-90</v>
      </c>
      <c r="H43" s="32">
        <v>0</v>
      </c>
      <c r="I43" s="32">
        <v>0</v>
      </c>
      <c r="J43" s="29">
        <v>0</v>
      </c>
      <c r="K43" s="29">
        <v>0</v>
      </c>
      <c r="L43" s="29">
        <v>0</v>
      </c>
      <c r="M43" s="33">
        <v>1000</v>
      </c>
      <c r="N43" s="33">
        <v>7</v>
      </c>
      <c r="O43" s="36">
        <v>0.8</v>
      </c>
      <c r="P43" s="36"/>
      <c r="Q43" s="7"/>
      <c r="R43" s="31"/>
      <c r="S43" s="7"/>
      <c r="T43" s="31"/>
      <c r="U43" s="7"/>
      <c r="V43" s="7"/>
    </row>
    <row r="44" spans="1:22" ht="14.45" x14ac:dyDescent="0.3">
      <c r="A44" s="7"/>
      <c r="B44" s="7"/>
      <c r="C44" s="30"/>
      <c r="D44" s="7"/>
      <c r="E44" s="7"/>
      <c r="F44" s="31"/>
      <c r="G44" s="32"/>
      <c r="H44" s="32"/>
      <c r="I44" s="32"/>
      <c r="J44" s="29"/>
      <c r="K44" s="29"/>
      <c r="L44" s="29"/>
      <c r="M44" s="33"/>
      <c r="N44" s="33"/>
      <c r="O44" s="36"/>
      <c r="P44" s="36"/>
      <c r="Q44" s="7"/>
      <c r="R44" s="31"/>
      <c r="S44" s="7"/>
      <c r="T44" s="31"/>
      <c r="U44" s="7"/>
      <c r="V44" s="7"/>
    </row>
    <row r="45" spans="1:22" ht="14.45" x14ac:dyDescent="0.3">
      <c r="A45" s="7"/>
      <c r="B45" s="7"/>
      <c r="C45" s="30"/>
      <c r="D45" s="7"/>
      <c r="E45" s="7"/>
      <c r="F45" s="31"/>
      <c r="G45" s="32"/>
      <c r="H45" s="32"/>
      <c r="I45" s="32"/>
      <c r="J45" s="29"/>
      <c r="K45" s="29"/>
      <c r="L45" s="29"/>
      <c r="M45" s="33"/>
      <c r="N45" s="33"/>
      <c r="O45" s="36"/>
      <c r="P45" s="36"/>
      <c r="Q45" s="7"/>
      <c r="R45" s="31"/>
      <c r="S45" s="7"/>
      <c r="T45" s="31"/>
      <c r="U45" s="7"/>
      <c r="V45" s="7"/>
    </row>
    <row r="46" spans="1:22" ht="14.45" x14ac:dyDescent="0.3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</row>
    <row r="47" spans="1:22" ht="14.45" x14ac:dyDescent="0.3">
      <c r="A47" s="7" t="s">
        <v>25</v>
      </c>
      <c r="B47" s="7" t="s">
        <v>78</v>
      </c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ht="14.45" x14ac:dyDescent="0.3">
      <c r="A48" s="7" t="s">
        <v>47</v>
      </c>
      <c r="B48" s="7" t="s">
        <v>10</v>
      </c>
      <c r="C48" s="30" t="s">
        <v>20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0</v>
      </c>
      <c r="M48" s="33">
        <v>97.93</v>
      </c>
      <c r="N48" s="33">
        <v>2.02</v>
      </c>
      <c r="O48" s="36"/>
      <c r="P48" s="36"/>
      <c r="Q48" s="7" t="str">
        <f>D33</f>
        <v>PIPE_33</v>
      </c>
      <c r="R48" s="31">
        <v>0.5</v>
      </c>
      <c r="S48" s="7" t="str">
        <f ca="1">OFFSET($A$1,ROW()+1,3)</f>
        <v>PIPE_50</v>
      </c>
      <c r="T48" s="31" t="s">
        <v>43</v>
      </c>
      <c r="U48" s="7"/>
      <c r="V48" s="7"/>
    </row>
    <row r="49" spans="1:22" ht="14.45" x14ac:dyDescent="0.3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ht="14.45" x14ac:dyDescent="0.3">
      <c r="A50" s="7" t="s">
        <v>7</v>
      </c>
      <c r="B50" s="7" t="s">
        <v>7</v>
      </c>
      <c r="C50" s="30" t="s">
        <v>7</v>
      </c>
      <c r="D50" s="7" t="str">
        <f t="shared" ref="D50:D56" si="1">CONCATENATE("PIPE_",ROW())</f>
        <v>PIPE_50</v>
      </c>
      <c r="E50" s="7"/>
      <c r="F50" s="31">
        <v>0.7</v>
      </c>
      <c r="G50" s="32">
        <v>0</v>
      </c>
      <c r="H50" s="32">
        <v>180</v>
      </c>
      <c r="I50" s="32">
        <v>0</v>
      </c>
      <c r="J50" s="29">
        <v>0</v>
      </c>
      <c r="K50" s="29">
        <v>0</v>
      </c>
      <c r="L50" s="29">
        <v>0</v>
      </c>
      <c r="M50" s="33">
        <v>100</v>
      </c>
      <c r="N50" s="33">
        <v>3.05</v>
      </c>
      <c r="O50" s="36">
        <v>1.5</v>
      </c>
      <c r="P50" s="36"/>
      <c r="Q50" s="7"/>
      <c r="R50" s="31"/>
      <c r="S50" s="7"/>
      <c r="T50" s="31"/>
      <c r="U50" s="7"/>
      <c r="V50" s="7"/>
    </row>
    <row r="51" spans="1:22" ht="14.45" x14ac:dyDescent="0.3">
      <c r="A51" s="7" t="s">
        <v>7</v>
      </c>
      <c r="B51" s="7" t="s">
        <v>7</v>
      </c>
      <c r="C51" s="30" t="s">
        <v>7</v>
      </c>
      <c r="D51" s="7" t="str">
        <f t="shared" si="1"/>
        <v>PIPE_51</v>
      </c>
      <c r="E51" s="7"/>
      <c r="F51" s="31">
        <v>0.5</v>
      </c>
      <c r="G51" s="32">
        <v>0</v>
      </c>
      <c r="H51" s="32">
        <v>270</v>
      </c>
      <c r="I51" s="32">
        <v>0</v>
      </c>
      <c r="J51" s="29">
        <v>0</v>
      </c>
      <c r="K51" s="29">
        <v>0</v>
      </c>
      <c r="L51" s="29">
        <v>0</v>
      </c>
      <c r="M51" s="33">
        <v>100</v>
      </c>
      <c r="N51" s="33">
        <v>3.05</v>
      </c>
      <c r="O51" s="36">
        <v>1.5</v>
      </c>
      <c r="P51" s="36"/>
      <c r="Q51" s="7"/>
      <c r="R51" s="31"/>
      <c r="S51" s="7"/>
      <c r="T51" s="31"/>
      <c r="U51" s="7"/>
      <c r="V51" s="7"/>
    </row>
    <row r="52" spans="1:22" ht="14.45" x14ac:dyDescent="0.3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ht="14.45" x14ac:dyDescent="0.3">
      <c r="A53" s="7" t="s">
        <v>47</v>
      </c>
      <c r="B53" s="7" t="s">
        <v>9</v>
      </c>
      <c r="C53" s="30" t="s">
        <v>79</v>
      </c>
      <c r="D53" s="7" t="str">
        <f>CONCATENATE("JUNC_",ROW())</f>
        <v>JUNC_53</v>
      </c>
      <c r="E53" s="7"/>
      <c r="F53" s="31">
        <v>0.2</v>
      </c>
      <c r="G53" s="32">
        <v>0</v>
      </c>
      <c r="H53" s="32">
        <v>270</v>
      </c>
      <c r="I53" s="32">
        <v>0</v>
      </c>
      <c r="J53" s="29">
        <v>0</v>
      </c>
      <c r="K53" s="29">
        <v>0</v>
      </c>
      <c r="L53" s="29">
        <v>0</v>
      </c>
      <c r="M53" s="33">
        <v>100</v>
      </c>
      <c r="N53" s="33">
        <v>3.05</v>
      </c>
      <c r="O53" s="36"/>
      <c r="P53" s="36"/>
      <c r="Q53" s="7" t="str">
        <f ca="1">OFFSET($A$1,ROW()-3,3)</f>
        <v>PIPE_51</v>
      </c>
      <c r="R53" s="31" t="s">
        <v>44</v>
      </c>
      <c r="S53" s="7" t="str">
        <f ca="1">OFFSET($A$1,ROW()+1,3)</f>
        <v>PIPE_55</v>
      </c>
      <c r="T53" s="31" t="s">
        <v>43</v>
      </c>
      <c r="U53" s="7"/>
      <c r="V53" s="7"/>
    </row>
    <row r="54" spans="1:22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7" t="s">
        <v>7</v>
      </c>
      <c r="B55" s="7" t="s">
        <v>7</v>
      </c>
      <c r="C55" s="30" t="s">
        <v>7</v>
      </c>
      <c r="D55" s="7" t="str">
        <f t="shared" si="1"/>
        <v>PIPE_55</v>
      </c>
      <c r="E55" s="7"/>
      <c r="F55" s="31">
        <v>0.5</v>
      </c>
      <c r="G55" s="32">
        <v>0</v>
      </c>
      <c r="H55" s="32">
        <v>270</v>
      </c>
      <c r="I55" s="32">
        <v>0</v>
      </c>
      <c r="J55" s="29">
        <v>0</v>
      </c>
      <c r="K55" s="29">
        <v>0</v>
      </c>
      <c r="L55" s="29">
        <v>0</v>
      </c>
      <c r="M55" s="33">
        <v>100</v>
      </c>
      <c r="N55" s="33">
        <v>3.05</v>
      </c>
      <c r="O55" s="36">
        <v>1.5</v>
      </c>
      <c r="P55" s="36"/>
      <c r="Q55" s="7"/>
      <c r="R55" s="31"/>
      <c r="S55" s="7"/>
      <c r="T55" s="31"/>
      <c r="U55" s="7"/>
      <c r="V55" s="7"/>
    </row>
    <row r="56" spans="1:22" x14ac:dyDescent="0.25">
      <c r="A56" s="7" t="s">
        <v>7</v>
      </c>
      <c r="B56" s="7" t="s">
        <v>7</v>
      </c>
      <c r="C56" s="30" t="s">
        <v>7</v>
      </c>
      <c r="D56" s="7" t="str">
        <f t="shared" si="1"/>
        <v>PIPE_56</v>
      </c>
      <c r="E56" s="7"/>
      <c r="F56" s="31">
        <v>0.7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100</v>
      </c>
      <c r="N56" s="33">
        <v>3.05</v>
      </c>
      <c r="O56" s="36">
        <v>1.5</v>
      </c>
      <c r="P56" s="36"/>
      <c r="Q56" s="7"/>
      <c r="R56" s="31"/>
      <c r="S56" s="7"/>
      <c r="T56" s="31"/>
      <c r="U56" s="7"/>
      <c r="V56" s="7"/>
    </row>
    <row r="57" spans="1:22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47</v>
      </c>
      <c r="B58" s="7" t="s">
        <v>10</v>
      </c>
      <c r="C58" s="30" t="s">
        <v>20</v>
      </c>
      <c r="D58" s="7" t="str">
        <f>CONCATENATE("JUNC_",ROW())</f>
        <v>JUNC_58</v>
      </c>
      <c r="E58" s="7"/>
      <c r="F58" s="31">
        <v>0</v>
      </c>
      <c r="G58" s="32">
        <v>0</v>
      </c>
      <c r="H58" s="32">
        <v>0</v>
      </c>
      <c r="I58" s="32">
        <v>0</v>
      </c>
      <c r="J58" s="29">
        <v>0</v>
      </c>
      <c r="K58" s="29">
        <v>0</v>
      </c>
      <c r="L58" s="29">
        <v>0</v>
      </c>
      <c r="M58" s="33">
        <v>97.93</v>
      </c>
      <c r="N58" s="33">
        <v>2.02</v>
      </c>
      <c r="O58" s="36"/>
      <c r="P58" s="36"/>
      <c r="Q58" s="7" t="str">
        <f ca="1">OFFSET($A$1,ROW()-3,3)</f>
        <v>PIPE_56</v>
      </c>
      <c r="R58" s="31" t="s">
        <v>44</v>
      </c>
      <c r="S58" s="7" t="str">
        <f>D37</f>
        <v>PIPE_37</v>
      </c>
      <c r="T58" s="31">
        <v>0.5</v>
      </c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47</v>
      </c>
      <c r="B62" s="7" t="s">
        <v>10</v>
      </c>
      <c r="C62" s="30" t="s">
        <v>20</v>
      </c>
      <c r="D62" s="7" t="str">
        <f>CONCATENATE("JUNC_",ROW())</f>
        <v>JUNC_62</v>
      </c>
      <c r="E62" s="7"/>
      <c r="F62" s="31">
        <v>0</v>
      </c>
      <c r="G62" s="32">
        <v>0</v>
      </c>
      <c r="H62" s="32">
        <v>0</v>
      </c>
      <c r="I62" s="32">
        <v>0</v>
      </c>
      <c r="J62" s="29">
        <v>0</v>
      </c>
      <c r="K62" s="29">
        <v>0</v>
      </c>
      <c r="L62" s="29">
        <v>0</v>
      </c>
      <c r="M62" s="33">
        <v>97.93</v>
      </c>
      <c r="N62" s="33">
        <v>2.02</v>
      </c>
      <c r="O62" s="36"/>
      <c r="P62" s="36"/>
      <c r="Q62" s="7" t="str">
        <f>D28</f>
        <v>JUNC_28</v>
      </c>
      <c r="R62" s="31">
        <v>1</v>
      </c>
      <c r="S62" s="7" t="str">
        <f ca="1">OFFSET($A$1,ROW()+1,3)</f>
        <v>PIPE_64</v>
      </c>
      <c r="T62" s="31" t="s">
        <v>43</v>
      </c>
      <c r="U62" s="7"/>
      <c r="V62" s="7"/>
    </row>
    <row r="63" spans="1:22" x14ac:dyDescent="0.25">
      <c r="A63" s="7"/>
      <c r="B63" s="7"/>
      <c r="C63" s="30"/>
      <c r="D63" s="7"/>
      <c r="E63" s="7"/>
      <c r="F63" s="31"/>
      <c r="G63" s="32"/>
      <c r="H63" s="32"/>
      <c r="I63" s="32"/>
      <c r="J63" s="29"/>
      <c r="K63" s="29"/>
      <c r="L63" s="29"/>
      <c r="M63" s="33"/>
      <c r="N63" s="33"/>
      <c r="O63" s="36"/>
      <c r="P63" s="36"/>
      <c r="Q63" s="7"/>
      <c r="R63" s="31"/>
      <c r="S63" s="7"/>
      <c r="T63" s="31"/>
      <c r="U63" s="7"/>
      <c r="V63" s="7"/>
    </row>
    <row r="64" spans="1:22" x14ac:dyDescent="0.25">
      <c r="A64" s="7" t="s">
        <v>7</v>
      </c>
      <c r="B64" s="7" t="s">
        <v>7</v>
      </c>
      <c r="C64" s="30" t="s">
        <v>7</v>
      </c>
      <c r="D64" s="7" t="str">
        <f t="shared" ref="D64" si="2">CONCATENATE("PIPE_",ROW())</f>
        <v>PIPE_64</v>
      </c>
      <c r="E64" s="7"/>
      <c r="F64" s="31">
        <v>2</v>
      </c>
      <c r="G64" s="32">
        <v>0</v>
      </c>
      <c r="H64" s="32">
        <v>270</v>
      </c>
      <c r="I64" s="32">
        <v>0</v>
      </c>
      <c r="J64" s="29">
        <v>0</v>
      </c>
      <c r="K64" s="29">
        <v>0</v>
      </c>
      <c r="L64" s="29">
        <v>0</v>
      </c>
      <c r="M64" s="33">
        <v>50</v>
      </c>
      <c r="N64" s="33">
        <v>3.05</v>
      </c>
      <c r="O64" s="36">
        <v>1.5</v>
      </c>
      <c r="P64" s="36"/>
      <c r="Q64" s="7"/>
      <c r="R64" s="31"/>
      <c r="S64" s="7"/>
      <c r="T64" s="31"/>
      <c r="U64" s="7"/>
      <c r="V64" s="7"/>
    </row>
    <row r="65" spans="1:22" x14ac:dyDescent="0.25">
      <c r="A65" s="7"/>
      <c r="B65" s="7"/>
      <c r="C65" s="30"/>
      <c r="D65" s="7"/>
      <c r="E65" s="7"/>
      <c r="F65" s="31"/>
      <c r="G65" s="32"/>
      <c r="H65" s="32"/>
      <c r="I65" s="32"/>
      <c r="J65" s="29"/>
      <c r="K65" s="29"/>
      <c r="L65" s="29"/>
      <c r="M65" s="33"/>
      <c r="N65" s="33"/>
      <c r="O65" s="36"/>
      <c r="P65" s="36"/>
      <c r="Q65" s="7"/>
      <c r="R65" s="31"/>
      <c r="S65" s="7"/>
      <c r="T65" s="31"/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7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1:22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1:22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1:22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1:22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1:22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1:22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1:22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1:22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1:22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</sheetData>
  <mergeCells count="3">
    <mergeCell ref="A6:C6"/>
    <mergeCell ref="D6:G6"/>
    <mergeCell ref="A8:C8"/>
  </mergeCells>
  <conditionalFormatting sqref="M16">
    <cfRule type="expression" dxfId="18" priority="19" stopIfTrue="1">
      <formula>$A16="Pipe"</formula>
    </cfRule>
  </conditionalFormatting>
  <conditionalFormatting sqref="Q183:Q337 S183:S337 J183:J337 U183:U337 A183:A337 O183:O337 M183:M337">
    <cfRule type="expression" dxfId="17" priority="16">
      <formula>OR($A183="Pipe",$A183="Component",$A183="Volume")</formula>
    </cfRule>
  </conditionalFormatting>
  <conditionalFormatting sqref="T183:T337 R183:R337 E183:E337 L183:L337 P183:P337 V183:V337 N183:N337 I183:I337">
    <cfRule type="expression" dxfId="16" priority="17">
      <formula>OR($A183="Pipe",$A183="Component",$A183="Volume")</formula>
    </cfRule>
  </conditionalFormatting>
  <conditionalFormatting sqref="K183:K337 B183:D337 G183:H337">
    <cfRule type="expression" dxfId="15" priority="15">
      <formula>OR($A183="Pipe",$A183="Component",$A183="Volume")</formula>
    </cfRule>
  </conditionalFormatting>
  <conditionalFormatting sqref="U183:V337 A183:P337">
    <cfRule type="expression" dxfId="14" priority="14">
      <formula>$A183="Pipe"</formula>
    </cfRule>
  </conditionalFormatting>
  <conditionalFormatting sqref="Q183:T337">
    <cfRule type="expression" dxfId="13" priority="13">
      <formula>OR($A183="Volume",$A183="Pipe")</formula>
    </cfRule>
  </conditionalFormatting>
  <conditionalFormatting sqref="A183:V337">
    <cfRule type="expression" dxfId="12" priority="12">
      <formula>$A183="Component"</formula>
    </cfRule>
  </conditionalFormatting>
  <conditionalFormatting sqref="U183:V337 A183:P337">
    <cfRule type="expression" dxfId="11" priority="11">
      <formula>$A183="Volume"</formula>
    </cfRule>
  </conditionalFormatting>
  <conditionalFormatting sqref="J183:L337">
    <cfRule type="cellIs" dxfId="10" priority="10" operator="notEqual">
      <formula>0</formula>
    </cfRule>
  </conditionalFormatting>
  <conditionalFormatting sqref="F183:F337">
    <cfRule type="expression" dxfId="9" priority="18">
      <formula>OR($A183="Pipe",$A183="Component",$A183="Volume")</formula>
    </cfRule>
  </conditionalFormatting>
  <conditionalFormatting sqref="T22:V182 A22:P182">
    <cfRule type="expression" dxfId="8" priority="8">
      <formula>$A22="Volume"</formula>
    </cfRule>
    <cfRule type="expression" dxfId="7" priority="9">
      <formula>$A22="Pipe"</formula>
    </cfRule>
  </conditionalFormatting>
  <conditionalFormatting sqref="A22:V182">
    <cfRule type="expression" dxfId="6" priority="7">
      <formula>$A22="Junction"</formula>
    </cfRule>
  </conditionalFormatting>
  <conditionalFormatting sqref="Q22:T182">
    <cfRule type="expression" dxfId="5" priority="6">
      <formula>OR($A22="Pipe",$A22="Volume")</formula>
    </cfRule>
  </conditionalFormatting>
  <conditionalFormatting sqref="J22:L182">
    <cfRule type="expression" dxfId="4" priority="5">
      <formula>AND(OR($A22="Junction",$A22="Pipe",$A22="Volume"),J22&lt;&gt;0)</formula>
    </cfRule>
  </conditionalFormatting>
  <conditionalFormatting sqref="R22:R182 T22:T182">
    <cfRule type="expression" dxfId="3" priority="4">
      <formula>AND($A22="Junction",ISNUMBER(R22))</formula>
    </cfRule>
  </conditionalFormatting>
  <conditionalFormatting sqref="B22:D182 F22:F182 H22:H182 K22:K182">
    <cfRule type="expression" dxfId="2" priority="3">
      <formula>OR($A22="Junction",$A22="Pipe",$A22="Volume")</formula>
    </cfRule>
  </conditionalFormatting>
  <conditionalFormatting sqref="G22:G182 J22:J182 M22:M182 Q22:Q182 S22:S182 U22:U182 A22:A182 O22:O182">
    <cfRule type="expression" dxfId="1" priority="2">
      <formula>OR($A22="Junction",$A22="Pipe",$A22="Volume")</formula>
    </cfRule>
  </conditionalFormatting>
  <conditionalFormatting sqref="E22:E182 I22:I182 L22:L182 N22:N182 P22:P182 R22:R182 T22:T182 V22:V182">
    <cfRule type="expression" dxfId="0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142875</xdr:rowOff>
                  </from>
                  <to>
                    <xdr:col>11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Button 3">
              <controlPr defaultSize="0" print="0" autoFill="0" autoPict="0" macro="[0]!AddJunction">
                <anchor>
                  <from>
                    <xdr:col>12</xdr:col>
                    <xdr:colOff>447675</xdr:colOff>
                    <xdr:row>1</xdr:row>
                    <xdr:rowOff>142875</xdr:rowOff>
                  </from>
                  <to>
                    <xdr:col>13</xdr:col>
                    <xdr:colOff>400050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Button 4">
              <controlPr defaultSize="0" print="0" autoFill="0" autoPict="0" macro="[0]!AddVolume">
                <anchor>
                  <from>
                    <xdr:col>14</xdr:col>
                    <xdr:colOff>228600</xdr:colOff>
                    <xdr:row>1</xdr:row>
                    <xdr:rowOff>142875</xdr:rowOff>
                  </from>
                  <to>
                    <xdr:col>15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Button 5">
              <controlPr defaultSize="0" print="0" autoFill="0" autoPict="0" macro="[0]!AddLoopCheck">
                <anchor>
                  <from>
                    <xdr:col>23</xdr:col>
                    <xdr:colOff>142875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Simple1</vt:lpstr>
      <vt:lpstr>Simple1_sned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2019-08-30T21:55:35Z</dcterms:modified>
</cp:coreProperties>
</file>