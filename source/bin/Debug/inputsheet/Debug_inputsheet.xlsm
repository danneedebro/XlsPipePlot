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Temp\XlsPipePlot_loopcheck\source\bin\Debug\inputsheet\"/>
    </mc:Choice>
  </mc:AlternateContent>
  <xr:revisionPtr revIDLastSave="0" documentId="13_ncr:1_{4730E832-5AC6-4E64-874A-4BD7BC7499E9}" xr6:coauthVersionLast="44" xr6:coauthVersionMax="44" xr10:uidLastSave="{00000000-0000-0000-0000-000000000000}"/>
  <bookViews>
    <workbookView xWindow="-108" yWindow="-108" windowWidth="23256" windowHeight="12720" activeTab="1" xr2:uid="{00000000-000D-0000-FFFF-FFFF00000000}"/>
  </bookViews>
  <sheets>
    <sheet name="BDAHSG-01" sheetId="9" r:id="rId1"/>
    <sheet name="Simple" sheetId="1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12" l="1"/>
  <c r="D65" i="12"/>
  <c r="D63" i="12"/>
  <c r="Q65" i="12" s="1"/>
  <c r="D62" i="12"/>
  <c r="S60" i="12" s="1"/>
  <c r="D60" i="12"/>
  <c r="D58" i="12"/>
  <c r="Q60" i="12" s="1"/>
  <c r="D57" i="12"/>
  <c r="S55" i="12"/>
  <c r="D55" i="12"/>
  <c r="D50" i="12"/>
  <c r="S48" i="12"/>
  <c r="Q48" i="12"/>
  <c r="D48" i="12"/>
  <c r="D46" i="12"/>
  <c r="D45" i="12"/>
  <c r="D44" i="12"/>
  <c r="S65" i="12" s="1"/>
  <c r="D42" i="12"/>
  <c r="D40" i="12"/>
  <c r="Q42" i="12" s="1"/>
  <c r="D39" i="12"/>
  <c r="D38" i="12"/>
  <c r="D37" i="12"/>
  <c r="S35" i="12"/>
  <c r="Q35" i="12"/>
  <c r="D35" i="12"/>
  <c r="D33" i="12"/>
  <c r="D8" i="12"/>
  <c r="D7" i="12"/>
  <c r="B3" i="12"/>
  <c r="Q55" i="12" l="1"/>
  <c r="S42" i="12"/>
  <c r="D142" i="9"/>
  <c r="D132" i="9"/>
  <c r="D121" i="9"/>
  <c r="D116" i="9"/>
  <c r="D110" i="9"/>
  <c r="D103" i="9"/>
  <c r="D82" i="9"/>
  <c r="D73" i="9"/>
  <c r="D65" i="9"/>
  <c r="D61" i="9"/>
  <c r="D56" i="9"/>
  <c r="D47" i="9"/>
  <c r="D39" i="9"/>
  <c r="D7" i="9" l="1"/>
  <c r="D8" i="9"/>
  <c r="X34" i="9" l="1"/>
  <c r="Y34" i="9"/>
  <c r="Z34" i="9"/>
  <c r="Z142" i="9"/>
  <c r="Z143" i="9" s="1"/>
  <c r="Y142" i="9"/>
  <c r="Y143" i="9" s="1"/>
  <c r="X142" i="9"/>
  <c r="X143" i="9" s="1"/>
  <c r="X144" i="9" s="1"/>
  <c r="X145" i="9" s="1"/>
  <c r="Z132" i="9"/>
  <c r="Z133" i="9" s="1"/>
  <c r="Z134" i="9" s="1"/>
  <c r="Z135" i="9" s="1"/>
  <c r="Y132" i="9"/>
  <c r="Y133" i="9" s="1"/>
  <c r="Y134" i="9" s="1"/>
  <c r="Y135" i="9" s="1"/>
  <c r="Y136" i="9" s="1"/>
  <c r="Y137" i="9" s="1"/>
  <c r="Y138" i="9" s="1"/>
  <c r="Y139" i="9" s="1"/>
  <c r="X132" i="9"/>
  <c r="X133" i="9" s="1"/>
  <c r="X134" i="9" s="1"/>
  <c r="X135" i="9" s="1"/>
  <c r="X136" i="9" s="1"/>
  <c r="X137" i="9" s="1"/>
  <c r="X138" i="9" s="1"/>
  <c r="X139" i="9" s="1"/>
  <c r="Z121" i="9"/>
  <c r="Z122" i="9" s="1"/>
  <c r="Y121" i="9"/>
  <c r="Y122" i="9" s="1"/>
  <c r="X121" i="9"/>
  <c r="X122" i="9" s="1"/>
  <c r="Z103" i="9"/>
  <c r="Z104" i="9" s="1"/>
  <c r="Z105" i="9" s="1"/>
  <c r="Y103" i="9"/>
  <c r="Y104" i="9" s="1"/>
  <c r="X103" i="9"/>
  <c r="X104" i="9" s="1"/>
  <c r="Z94" i="9"/>
  <c r="Z95" i="9" s="1"/>
  <c r="Y94" i="9"/>
  <c r="Y95" i="9" s="1"/>
  <c r="X94" i="9"/>
  <c r="X95" i="9" s="1"/>
  <c r="Z73" i="9"/>
  <c r="Z74" i="9" s="1"/>
  <c r="Z75" i="9" s="1"/>
  <c r="Z76" i="9" s="1"/>
  <c r="Z77" i="9" s="1"/>
  <c r="Z78" i="9" s="1"/>
  <c r="Y73" i="9"/>
  <c r="Y74" i="9" s="1"/>
  <c r="Y75" i="9" s="1"/>
  <c r="Y76" i="9" s="1"/>
  <c r="Y77" i="9" s="1"/>
  <c r="Y78" i="9" s="1"/>
  <c r="Y79" i="9" s="1"/>
  <c r="X73" i="9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F84" i="9"/>
  <c r="D84" i="9"/>
  <c r="S82" i="9" s="1"/>
  <c r="F80" i="9"/>
  <c r="D80" i="9"/>
  <c r="Q82" i="9" s="1"/>
  <c r="F79" i="9"/>
  <c r="D79" i="9"/>
  <c r="D78" i="9"/>
  <c r="D77" i="9"/>
  <c r="D76" i="9"/>
  <c r="D75" i="9"/>
  <c r="S73" i="9" s="1"/>
  <c r="G144" i="9"/>
  <c r="D144" i="9"/>
  <c r="S142" i="9" s="1"/>
  <c r="D138" i="9"/>
  <c r="D137" i="9"/>
  <c r="L136" i="9"/>
  <c r="D136" i="9"/>
  <c r="D135" i="9"/>
  <c r="D134" i="9"/>
  <c r="S132" i="9" s="1"/>
  <c r="D127" i="9"/>
  <c r="D126" i="9"/>
  <c r="D125" i="9"/>
  <c r="D124" i="9"/>
  <c r="F123" i="9"/>
  <c r="D123" i="9"/>
  <c r="S121" i="9" s="1"/>
  <c r="D114" i="9"/>
  <c r="Q116" i="9" s="1"/>
  <c r="D113" i="9"/>
  <c r="F112" i="9"/>
  <c r="D112" i="9"/>
  <c r="S110" i="9" s="1"/>
  <c r="F108" i="9"/>
  <c r="D108" i="9"/>
  <c r="Q110" i="9" s="1"/>
  <c r="F107" i="9"/>
  <c r="D107" i="9"/>
  <c r="F106" i="9"/>
  <c r="D106" i="9"/>
  <c r="F105" i="9"/>
  <c r="D105" i="9"/>
  <c r="S103" i="9" s="1"/>
  <c r="R103" i="9"/>
  <c r="M99" i="9"/>
  <c r="O99" i="9" s="1"/>
  <c r="D99" i="9"/>
  <c r="Q121" i="9" s="1"/>
  <c r="M94" i="9"/>
  <c r="O94" i="9" s="1"/>
  <c r="D94" i="9"/>
  <c r="Q132" i="9" s="1"/>
  <c r="F68" i="9"/>
  <c r="D68" i="9"/>
  <c r="F67" i="9"/>
  <c r="D67" i="9"/>
  <c r="S65" i="9" s="1"/>
  <c r="F63" i="9"/>
  <c r="D63" i="9"/>
  <c r="Q65" i="9" s="1"/>
  <c r="F59" i="9"/>
  <c r="D59" i="9"/>
  <c r="Q61" i="9" s="1"/>
  <c r="F58" i="9"/>
  <c r="D58" i="9"/>
  <c r="S56" i="9" s="1"/>
  <c r="D45" i="9"/>
  <c r="Q47" i="9" s="1"/>
  <c r="D44" i="9"/>
  <c r="D43" i="9"/>
  <c r="B21" i="9" s="1"/>
  <c r="D42" i="9"/>
  <c r="F41" i="9"/>
  <c r="D41" i="9"/>
  <c r="S39" i="9" s="1"/>
  <c r="F37" i="9"/>
  <c r="D37" i="9"/>
  <c r="Q39" i="9" s="1"/>
  <c r="D36" i="9"/>
  <c r="F35" i="9"/>
  <c r="X35" i="9" s="1"/>
  <c r="X36" i="9" s="1"/>
  <c r="X37" i="9" s="1"/>
  <c r="X38" i="9" s="1"/>
  <c r="X39" i="9" s="1"/>
  <c r="X40" i="9" s="1"/>
  <c r="D35" i="9"/>
  <c r="B13" i="9" s="1"/>
  <c r="H106" i="9"/>
  <c r="Y123" i="9" l="1"/>
  <c r="Y124" i="9" s="1"/>
  <c r="Y125" i="9" s="1"/>
  <c r="Y126" i="9" s="1"/>
  <c r="Y127" i="9" s="1"/>
  <c r="Y128" i="9" s="1"/>
  <c r="X41" i="9"/>
  <c r="X42" i="9" s="1"/>
  <c r="X43" i="9" s="1"/>
  <c r="X44" i="9" s="1"/>
  <c r="X45" i="9" s="1"/>
  <c r="X46" i="9" s="1"/>
  <c r="X47" i="9" s="1"/>
  <c r="X48" i="9" s="1"/>
  <c r="Y105" i="9"/>
  <c r="Y106" i="9" s="1"/>
  <c r="Y107" i="9" s="1"/>
  <c r="Y108" i="9" s="1"/>
  <c r="Y109" i="9" s="1"/>
  <c r="Y110" i="9" s="1"/>
  <c r="Y111" i="9" s="1"/>
  <c r="Y112" i="9" s="1"/>
  <c r="Y113" i="9" s="1"/>
  <c r="Y114" i="9" s="1"/>
  <c r="Y115" i="9" s="1"/>
  <c r="Y116" i="9" s="1"/>
  <c r="Y117" i="9" s="1"/>
  <c r="Y80" i="9"/>
  <c r="Y81" i="9" s="1"/>
  <c r="Y82" i="9" s="1"/>
  <c r="Y83" i="9" s="1"/>
  <c r="Y84" i="9" s="1"/>
  <c r="Y85" i="9" s="1"/>
  <c r="X123" i="9"/>
  <c r="X124" i="9" s="1"/>
  <c r="X125" i="9" s="1"/>
  <c r="X126" i="9" s="1"/>
  <c r="X127" i="9" s="1"/>
  <c r="X128" i="9" s="1"/>
  <c r="X55" i="9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98" i="9"/>
  <c r="X99" i="9" s="1"/>
  <c r="X100" i="9" s="1"/>
  <c r="Y35" i="9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Z79" i="9"/>
  <c r="Z80" i="9" s="1"/>
  <c r="Z81" i="9" s="1"/>
  <c r="Z82" i="9" s="1"/>
  <c r="Z83" i="9" s="1"/>
  <c r="Z84" i="9" s="1"/>
  <c r="Z85" i="9" s="1"/>
  <c r="Y144" i="9"/>
  <c r="Y145" i="9" s="1"/>
  <c r="Z106" i="9"/>
  <c r="Z107" i="9" s="1"/>
  <c r="Z108" i="9" s="1"/>
  <c r="Z109" i="9" s="1"/>
  <c r="Z110" i="9" s="1"/>
  <c r="Z111" i="9" s="1"/>
  <c r="Z112" i="9" s="1"/>
  <c r="Z113" i="9" s="1"/>
  <c r="Z114" i="9" s="1"/>
  <c r="Z115" i="9" s="1"/>
  <c r="Z116" i="9" s="1"/>
  <c r="Z117" i="9" s="1"/>
  <c r="Z35" i="9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X105" i="9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Z123" i="9"/>
  <c r="Z124" i="9" s="1"/>
  <c r="Z125" i="9" s="1"/>
  <c r="Z126" i="9" s="1"/>
  <c r="Z127" i="9" s="1"/>
  <c r="Z128" i="9" s="1"/>
  <c r="Z144" i="9"/>
  <c r="Z145" i="9" s="1"/>
  <c r="Z136" i="9"/>
  <c r="Z137" i="9" s="1"/>
  <c r="Z138" i="9" s="1"/>
  <c r="Z139" i="9" s="1"/>
  <c r="Q73" i="9"/>
  <c r="S47" i="9"/>
  <c r="Q56" i="9"/>
  <c r="Q142" i="9"/>
  <c r="S61" i="9"/>
  <c r="S116" i="9"/>
  <c r="Q103" i="9"/>
  <c r="B3" i="9"/>
  <c r="Z98" i="9" l="1"/>
  <c r="Z99" i="9" s="1"/>
  <c r="Z100" i="9" s="1"/>
  <c r="Z55" i="9"/>
  <c r="Z56" i="9" s="1"/>
  <c r="Z57" i="9" s="1"/>
  <c r="Z58" i="9" s="1"/>
  <c r="Z59" i="9" s="1"/>
  <c r="Z60" i="9" s="1"/>
  <c r="Z61" i="9" s="1"/>
  <c r="Z62" i="9" s="1"/>
  <c r="Z63" i="9" s="1"/>
  <c r="Z64" i="9" s="1"/>
  <c r="Z65" i="9" s="1"/>
  <c r="Z66" i="9" s="1"/>
  <c r="Z67" i="9" s="1"/>
  <c r="Z68" i="9" s="1"/>
  <c r="Z69" i="9" s="1"/>
  <c r="Y55" i="9"/>
  <c r="Y56" i="9" s="1"/>
  <c r="Y57" i="9" s="1"/>
  <c r="Y58" i="9" s="1"/>
  <c r="Y59" i="9" s="1"/>
  <c r="Y60" i="9" s="1"/>
  <c r="Y61" i="9" s="1"/>
  <c r="Y62" i="9" s="1"/>
  <c r="Y63" i="9" s="1"/>
  <c r="Y64" i="9" s="1"/>
  <c r="Y65" i="9" s="1"/>
  <c r="Y66" i="9" s="1"/>
  <c r="Y67" i="9" s="1"/>
  <c r="Y68" i="9" s="1"/>
  <c r="Y69" i="9" s="1"/>
  <c r="Y98" i="9"/>
  <c r="Y99" i="9" s="1"/>
  <c r="Y100" i="9" s="1"/>
</calcChain>
</file>

<file path=xl/sharedStrings.xml><?xml version="1.0" encoding="utf-8"?>
<sst xmlns="http://schemas.openxmlformats.org/spreadsheetml/2006/main" count="398" uniqueCount="83">
  <si>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</si>
  <si>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</si>
  <si>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</si>
  <si>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</si>
  <si>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</si>
  <si>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</si>
  <si>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</si>
  <si>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</si>
  <si>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</si>
  <si>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</si>
  <si>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</si>
  <si>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</si>
  <si>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</si>
  <si>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</si>
  <si>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</si>
  <si>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</si>
  <si>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</si>
  <si>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</si>
  <si>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</si>
  <si>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</si>
  <si>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</si>
  <si>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</si>
  <si>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</si>
  <si>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</si>
  <si>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</si>
  <si>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</si>
  <si>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</si>
  <si>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</si>
  <si>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</si>
  <si>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</si>
  <si>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</si>
  <si>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</si>
  <si>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</si>
  <si>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</si>
  <si>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</si>
  <si>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</si>
  <si>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</si>
  <si>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</si>
  <si>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</si>
  <si>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</si>
  <si>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</si>
  <si>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</si>
  <si>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</si>
  <si>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</si>
  <si>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</si>
  <si>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</si>
  <si>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</si>
  <si>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</si>
  <si>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</si>
  <si>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</si>
  <si>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</si>
  <si>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</si>
  <si>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</si>
  <si>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</si>
  <si>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</si>
  <si>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</si>
  <si>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</si>
  <si>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</si>
  <si>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</si>
  <si>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</si>
  <si>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</si>
  <si>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</si>
  <si>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</si>
  <si>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</si>
  <si>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</si>
  <si>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</si>
  <si>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</si>
  <si>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</si>
  <si>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</si>
  <si>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</si>
  <si>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</si>
  <si>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</si>
  <si>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</si>
  <si>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</si>
  <si>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</si>
  <si>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</si>
  <si>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</si>
  <si>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</si>
  <si>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</si>
  <si>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</si>
  <si>
    <t>Loopcheck</t>
  </si>
  <si>
    <t>Loop checks. Check coordinates (leave coordinate(s) to ignore blank)</t>
  </si>
  <si>
    <t>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</si>
</sst>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7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11" fillId="0" borderId="0" xfId="0" applyFont="1" applyFill="1"/>
    <xf numFmtId="0" fontId="0" fillId="0" borderId="0" xfId="0" applyAlignment="1">
      <alignment horizontal="left"/>
    </xf>
    <xf numFmtId="0" fontId="0" fillId="0" borderId="0" xfId="0" applyAlignment="1"/>
    <xf numFmtId="0" fontId="1" fillId="3" borderId="5" xfId="0" applyFont="1" applyFill="1" applyBorder="1"/>
    <xf numFmtId="0" fontId="1" fillId="3" borderId="1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/>
    <xf numFmtId="165" fontId="9" fillId="0" borderId="0" xfId="0" applyNumberFormat="1" applyFont="1" applyFill="1" applyBorder="1"/>
    <xf numFmtId="164" fontId="9" fillId="0" borderId="0" xfId="0" applyNumberFormat="1" applyFont="1" applyFill="1" applyBorder="1"/>
    <xf numFmtId="165" fontId="10" fillId="0" borderId="0" xfId="0" applyNumberFormat="1" applyFont="1" applyFill="1" applyBorder="1"/>
    <xf numFmtId="166" fontId="9" fillId="0" borderId="0" xfId="0" applyNumberFormat="1" applyFont="1" applyFill="1" applyBorder="1"/>
    <xf numFmtId="0" fontId="6" fillId="0" borderId="0" xfId="0" applyNumberFormat="1" applyFont="1" applyFill="1" applyBorder="1"/>
    <xf numFmtId="0" fontId="11" fillId="0" borderId="0" xfId="0" applyFont="1" applyFill="1" applyBorder="1"/>
  </cellXfs>
  <cellStyles count="2">
    <cellStyle name="Hyperlänk" xfId="1" builtinId="8"/>
    <cellStyle name="Normal" xfId="0" builtinId="0"/>
  </cellStyles>
  <dxfs count="150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theme="8"/>
        </patternFill>
      </fill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525780</xdr:colOff>
          <xdr:row>1</xdr:row>
          <xdr:rowOff>137160</xdr:rowOff>
        </xdr:from>
        <xdr:to>
          <xdr:col>11</xdr:col>
          <xdr:colOff>601980</xdr:colOff>
          <xdr:row>3</xdr:row>
          <xdr:rowOff>60960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</xdr:colOff>
          <xdr:row>1</xdr:row>
          <xdr:rowOff>7620</xdr:rowOff>
        </xdr:from>
        <xdr:to>
          <xdr:col>8</xdr:col>
          <xdr:colOff>68580</xdr:colOff>
          <xdr:row>3</xdr:row>
          <xdr:rowOff>83820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441960</xdr:colOff>
          <xdr:row>1</xdr:row>
          <xdr:rowOff>137160</xdr:rowOff>
        </xdr:from>
        <xdr:to>
          <xdr:col>13</xdr:col>
          <xdr:colOff>449580</xdr:colOff>
          <xdr:row>3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274320</xdr:colOff>
          <xdr:row>1</xdr:row>
          <xdr:rowOff>137160</xdr:rowOff>
        </xdr:from>
        <xdr:to>
          <xdr:col>15</xdr:col>
          <xdr:colOff>350520</xdr:colOff>
          <xdr:row>3</xdr:row>
          <xdr:rowOff>60960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182880</xdr:colOff>
          <xdr:row>1</xdr:row>
          <xdr:rowOff>121920</xdr:rowOff>
        </xdr:from>
        <xdr:to>
          <xdr:col>25</xdr:col>
          <xdr:colOff>419100</xdr:colOff>
          <xdr:row>3</xdr:row>
          <xdr:rowOff>45720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525780</xdr:colOff>
          <xdr:row>1</xdr:row>
          <xdr:rowOff>137160</xdr:rowOff>
        </xdr:from>
        <xdr:to>
          <xdr:col>11</xdr:col>
          <xdr:colOff>601980</xdr:colOff>
          <xdr:row>3</xdr:row>
          <xdr:rowOff>60960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CDA369DF-DD3D-40BF-A1B5-6ECE2818D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</xdr:colOff>
          <xdr:row>1</xdr:row>
          <xdr:rowOff>7620</xdr:rowOff>
        </xdr:from>
        <xdr:to>
          <xdr:col>8</xdr:col>
          <xdr:colOff>68580</xdr:colOff>
          <xdr:row>3</xdr:row>
          <xdr:rowOff>83820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CB5BB833-DAC6-4DB0-9E97-EC9550475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441960</xdr:colOff>
          <xdr:row>1</xdr:row>
          <xdr:rowOff>137160</xdr:rowOff>
        </xdr:from>
        <xdr:to>
          <xdr:col>13</xdr:col>
          <xdr:colOff>449580</xdr:colOff>
          <xdr:row>3</xdr:row>
          <xdr:rowOff>60960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572E4876-EF8F-4AB6-AAFF-6F4DEE707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274320</xdr:colOff>
          <xdr:row>1</xdr:row>
          <xdr:rowOff>137160</xdr:rowOff>
        </xdr:from>
        <xdr:to>
          <xdr:col>15</xdr:col>
          <xdr:colOff>350520</xdr:colOff>
          <xdr:row>3</xdr:row>
          <xdr:rowOff>60960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D101217E-FA8E-4F0F-ACBA-81B087C6A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182880</xdr:colOff>
          <xdr:row>1</xdr:row>
          <xdr:rowOff>121920</xdr:rowOff>
        </xdr:from>
        <xdr:to>
          <xdr:col>25</xdr:col>
          <xdr:colOff>454959</xdr:colOff>
          <xdr:row>3</xdr:row>
          <xdr:rowOff>45720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F7AF611A-67E8-4D6F-8526-612796F54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/>
  <dimension ref="A1:Z345"/>
  <sheetViews>
    <sheetView zoomScale="85" zoomScaleNormal="85" workbookViewId="0">
      <pane ySplit="4" topLeftCell="A7" activePane="bottomLeft" state="frozenSplit"/>
      <selection pane="bottomLeft" activeCell="A142" sqref="A142"/>
    </sheetView>
  </sheetViews>
  <sheetFormatPr defaultRowHeight="14.4" x14ac:dyDescent="0.3"/>
  <cols>
    <col min="1" max="3" width="12.109375" customWidth="1"/>
    <col min="4" max="5" width="10.44140625" customWidth="1"/>
    <col min="6" max="6" width="12.5546875" customWidth="1"/>
    <col min="7" max="12" width="10.44140625" customWidth="1"/>
    <col min="13" max="13" width="11.44140625" customWidth="1"/>
    <col min="14" max="14" width="10.44140625" customWidth="1"/>
    <col min="15" max="16" width="10.44140625" style="8" customWidth="1"/>
    <col min="17" max="19" width="10.44140625" customWidth="1"/>
    <col min="24" max="26" width="9.109375" style="39"/>
  </cols>
  <sheetData>
    <row r="1" spans="1:26" s="12" customFormat="1" ht="15.6" x14ac:dyDescent="0.3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" customHeight="1" x14ac:dyDescent="0.3">
      <c r="A6" s="42" t="s">
        <v>31</v>
      </c>
      <c r="B6" s="42"/>
      <c r="C6" s="42"/>
      <c r="D6" s="43" t="s">
        <v>78</v>
      </c>
      <c r="E6" s="43"/>
      <c r="F6" s="43"/>
      <c r="G6" s="43"/>
      <c r="O6"/>
      <c r="P6"/>
    </row>
    <row r="7" spans="1:26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x14ac:dyDescent="0.3">
      <c r="A8" s="42" t="s">
        <v>32</v>
      </c>
      <c r="B8" s="42"/>
      <c r="C8" s="42"/>
      <c r="D8" s="5" t="str">
        <f>HYPERLINK("\loclib")</f>
        <v>\loclib</v>
      </c>
      <c r="O8"/>
      <c r="P8"/>
    </row>
    <row r="9" spans="1:26" x14ac:dyDescent="0.3">
      <c r="O9"/>
      <c r="P9"/>
    </row>
    <row r="10" spans="1:26" ht="18" x14ac:dyDescent="0.35">
      <c r="A10" s="15" t="s">
        <v>33</v>
      </c>
      <c r="O10"/>
      <c r="P10"/>
    </row>
    <row r="11" spans="1:26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x14ac:dyDescent="0.3">
      <c r="A13" s="21" t="s">
        <v>24</v>
      </c>
      <c r="B13" s="22" t="str">
        <f>D35</f>
        <v>PIPE_35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x14ac:dyDescent="0.3">
      <c r="A14" s="21"/>
      <c r="B14" s="22"/>
      <c r="C14" s="23"/>
      <c r="D14" s="24"/>
      <c r="E14" s="25"/>
      <c r="F14" s="26"/>
      <c r="O14"/>
      <c r="P14"/>
    </row>
    <row r="15" spans="1:26" x14ac:dyDescent="0.3">
      <c r="A15" s="21"/>
      <c r="B15" s="22"/>
      <c r="C15" s="23"/>
      <c r="D15" s="24"/>
      <c r="E15" s="25"/>
      <c r="F15" s="26"/>
      <c r="O15"/>
      <c r="P15"/>
    </row>
    <row r="16" spans="1:26" x14ac:dyDescent="0.3">
      <c r="A16" s="21"/>
      <c r="B16" s="22"/>
      <c r="C16" s="23"/>
      <c r="D16" s="24"/>
      <c r="E16" s="25"/>
      <c r="F16" s="26"/>
      <c r="O16"/>
      <c r="P16"/>
    </row>
    <row r="17" spans="1:22" x14ac:dyDescent="0.3">
      <c r="A17" s="21"/>
      <c r="B17" s="22"/>
      <c r="C17" s="23"/>
      <c r="D17" s="24"/>
      <c r="E17" s="25"/>
      <c r="F17" s="26"/>
      <c r="O17"/>
      <c r="P17"/>
    </row>
    <row r="18" spans="1:22" x14ac:dyDescent="0.3">
      <c r="A18" s="27"/>
      <c r="B18" s="27"/>
      <c r="C18" s="27"/>
      <c r="D18" s="28"/>
      <c r="E18" s="28"/>
      <c r="F18" s="28"/>
      <c r="O18"/>
      <c r="P18"/>
    </row>
    <row r="19" spans="1:22" x14ac:dyDescent="0.3">
      <c r="A19" t="s">
        <v>81</v>
      </c>
      <c r="O19"/>
      <c r="P19"/>
    </row>
    <row r="20" spans="1:22" ht="15.6" x14ac:dyDescent="0.35">
      <c r="A20" s="44" t="s">
        <v>35</v>
      </c>
      <c r="B20" s="45" t="s">
        <v>16</v>
      </c>
      <c r="C20" s="46" t="s">
        <v>36</v>
      </c>
      <c r="D20" s="47" t="s">
        <v>37</v>
      </c>
      <c r="E20" s="48" t="s">
        <v>38</v>
      </c>
      <c r="F20" s="46" t="s">
        <v>39</v>
      </c>
      <c r="O20"/>
      <c r="P20"/>
    </row>
    <row r="21" spans="1:22" x14ac:dyDescent="0.3">
      <c r="A21" s="21" t="s">
        <v>80</v>
      </c>
      <c r="B21" s="22" t="str">
        <f>D43</f>
        <v>PIPE_43</v>
      </c>
      <c r="C21" s="40" t="s">
        <v>41</v>
      </c>
      <c r="D21" s="24"/>
      <c r="E21" s="25"/>
      <c r="F21" s="26">
        <v>107.24</v>
      </c>
      <c r="O21"/>
      <c r="P21"/>
    </row>
    <row r="22" spans="1:22" x14ac:dyDescent="0.3">
      <c r="A22" s="21"/>
      <c r="B22" s="22"/>
      <c r="C22" s="23"/>
      <c r="D22" s="24"/>
      <c r="E22" s="25"/>
      <c r="F22" s="26"/>
      <c r="O22"/>
      <c r="P22"/>
    </row>
    <row r="23" spans="1:22" x14ac:dyDescent="0.3">
      <c r="A23" s="21"/>
      <c r="B23" s="22"/>
      <c r="C23" s="23"/>
      <c r="D23" s="24"/>
      <c r="E23" s="25"/>
      <c r="F23" s="26"/>
      <c r="O23"/>
      <c r="P23"/>
    </row>
    <row r="24" spans="1:22" x14ac:dyDescent="0.3">
      <c r="A24" s="21"/>
      <c r="B24" s="22"/>
      <c r="C24" s="23"/>
      <c r="D24" s="24"/>
      <c r="E24" s="25"/>
      <c r="F24" s="26"/>
      <c r="O24"/>
      <c r="P24"/>
    </row>
    <row r="25" spans="1:22" x14ac:dyDescent="0.3">
      <c r="A25" s="21"/>
      <c r="B25" s="22"/>
      <c r="C25" s="23"/>
      <c r="D25" s="24"/>
      <c r="E25" s="25"/>
      <c r="F25" s="26"/>
      <c r="O25"/>
      <c r="P25"/>
    </row>
    <row r="26" spans="1:22" x14ac:dyDescent="0.3">
      <c r="A26" s="21"/>
      <c r="B26" s="22"/>
      <c r="C26" s="23"/>
      <c r="D26" s="24"/>
      <c r="E26" s="25"/>
      <c r="F26" s="26"/>
      <c r="O26"/>
      <c r="P26"/>
    </row>
    <row r="27" spans="1:22" x14ac:dyDescent="0.3">
      <c r="O27"/>
      <c r="P27"/>
    </row>
    <row r="28" spans="1:22" x14ac:dyDescent="0.3">
      <c r="O28"/>
      <c r="P28"/>
    </row>
    <row r="29" spans="1:22" ht="15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x14ac:dyDescent="0.3">
      <c r="A33" s="7"/>
      <c r="B33" s="7"/>
      <c r="C33" s="30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36"/>
      <c r="P33" s="36"/>
      <c r="Q33" s="7"/>
      <c r="R33" s="31"/>
      <c r="S33" s="7"/>
      <c r="T33" s="31"/>
      <c r="U33" s="7"/>
      <c r="V33" s="7"/>
    </row>
    <row r="34" spans="1:26" x14ac:dyDescent="0.3">
      <c r="A34" s="49" t="s">
        <v>82</v>
      </c>
      <c r="B34" s="49" t="s">
        <v>67</v>
      </c>
      <c r="C34" s="50"/>
      <c r="D34" s="49"/>
      <c r="E34" s="49"/>
      <c r="F34" s="51"/>
      <c r="G34" s="52"/>
      <c r="H34" s="52"/>
      <c r="I34" s="52"/>
      <c r="J34" s="53"/>
      <c r="K34" s="53"/>
      <c r="L34" s="53"/>
      <c r="M34" s="54"/>
      <c r="N34" s="54"/>
      <c r="O34" s="55"/>
      <c r="P34" s="55"/>
      <c r="Q34" s="49"/>
      <c r="R34" s="51"/>
      <c r="S34" s="49"/>
      <c r="T34" s="51"/>
      <c r="U34" s="49"/>
      <c r="V34" s="49"/>
      <c r="X34" s="39">
        <f t="shared" ref="X34:Y34" si="0">D13</f>
        <v>0</v>
      </c>
      <c r="Y34" s="39">
        <f t="shared" si="0"/>
        <v>0</v>
      </c>
      <c r="Z34" s="39">
        <f>F13</f>
        <v>107.24</v>
      </c>
    </row>
    <row r="35" spans="1:26" x14ac:dyDescent="0.3">
      <c r="A35" s="7" t="s">
        <v>7</v>
      </c>
      <c r="B35" s="7" t="s">
        <v>7</v>
      </c>
      <c r="C35" s="30" t="s">
        <v>7</v>
      </c>
      <c r="D35" s="7" t="str">
        <f t="shared" ref="D35:D45" si="1">CONCATENATE("PIPE_",ROW())</f>
        <v>PIPE_35</v>
      </c>
      <c r="E35" s="7"/>
      <c r="F35" s="31">
        <f>0.229+0.73</f>
        <v>0.95899999999999996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1.36</v>
      </c>
      <c r="P35" s="36"/>
      <c r="Q35" s="7"/>
      <c r="R35" s="31"/>
      <c r="S35" s="7"/>
      <c r="T35" s="31"/>
      <c r="U35" s="7"/>
      <c r="V35" s="7"/>
      <c r="X35" s="39">
        <f t="shared" ref="X35:X48" si="2">IF(OR(A35="volume",A35="pipe",A35="junction"),X34+F35*COS(G35*PI()/180)*COS(H35*PI()/180)+J35,X34)</f>
        <v>-0.95899999999999996</v>
      </c>
      <c r="Y35" s="39">
        <f t="shared" ref="Y35:Y48" si="3">IF(OR(A35="volume",A35="pipe",A35="junction"),Y34+F35*COS(G35*PI()/180)*SIN(H35*PI()/180)+K35,Y34)</f>
        <v>1.1749173682573664E-16</v>
      </c>
      <c r="Z35" s="39">
        <f t="shared" ref="Z35:Z48" si="4">IF(OR(A35="volume",A35="pipe",A35="junction"),Z34+F35*SIN(G35*PI()/180)+L35,Z34)</f>
        <v>107.24</v>
      </c>
    </row>
    <row r="36" spans="1:26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0.9</v>
      </c>
      <c r="G36" s="32">
        <v>0</v>
      </c>
      <c r="H36" s="32">
        <v>180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-1.859</v>
      </c>
      <c r="Y36" s="39">
        <f t="shared" si="3"/>
        <v>2.2775509776751247E-16</v>
      </c>
      <c r="Z36" s="39">
        <f t="shared" si="4"/>
        <v>107.24</v>
      </c>
    </row>
    <row r="37" spans="1:26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f>0.229+1.475+1.475+0.1</f>
        <v>3.2790000000000004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-1.8589999999999998</v>
      </c>
      <c r="Y37" s="39">
        <f t="shared" si="3"/>
        <v>2.2775509776751247E-16</v>
      </c>
      <c r="Z37" s="39">
        <f t="shared" si="4"/>
        <v>103.961</v>
      </c>
    </row>
    <row r="38" spans="1:26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-1.8589999999999998</v>
      </c>
      <c r="Y38" s="39">
        <f t="shared" si="3"/>
        <v>2.2775509776751247E-16</v>
      </c>
      <c r="Z38" s="39">
        <f t="shared" si="4"/>
        <v>103.961</v>
      </c>
    </row>
    <row r="39" spans="1:26" x14ac:dyDescent="0.3">
      <c r="A39" s="7" t="s">
        <v>45</v>
      </c>
      <c r="B39" s="7" t="s">
        <v>9</v>
      </c>
      <c r="C39" s="30" t="s">
        <v>50</v>
      </c>
      <c r="D39" s="7" t="str">
        <f>CONCATENATE("JUNC_",ROW())</f>
        <v>JUNC_39</v>
      </c>
      <c r="E39" s="7" t="s">
        <v>51</v>
      </c>
      <c r="F39" s="31">
        <v>0.08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168.3</v>
      </c>
      <c r="N39" s="33">
        <v>7.11</v>
      </c>
      <c r="O39" s="36"/>
      <c r="P39" s="36"/>
      <c r="Q39" s="7" t="str">
        <f ca="1">OFFSET($A$1,ROW()-3,3)</f>
        <v>PIPE_37</v>
      </c>
      <c r="R39" s="31" t="s">
        <v>42</v>
      </c>
      <c r="S39" s="7" t="str">
        <f ca="1">OFFSET($A$1,ROW()+1,3)</f>
        <v>PIPE_41</v>
      </c>
      <c r="T39" s="31" t="s">
        <v>41</v>
      </c>
      <c r="U39" s="7"/>
      <c r="V39" s="7"/>
      <c r="X39" s="39">
        <f t="shared" si="2"/>
        <v>-1.8589999999999998</v>
      </c>
      <c r="Y39" s="39">
        <f t="shared" si="3"/>
        <v>2.2775509776751247E-16</v>
      </c>
      <c r="Z39" s="39">
        <f t="shared" si="4"/>
        <v>103.881</v>
      </c>
    </row>
    <row r="40" spans="1:26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-1.8589999999999998</v>
      </c>
      <c r="Y40" s="39">
        <f t="shared" si="3"/>
        <v>2.2775509776751247E-16</v>
      </c>
      <c r="Z40" s="39">
        <f t="shared" si="4"/>
        <v>103.881</v>
      </c>
    </row>
    <row r="41" spans="1:26" x14ac:dyDescent="0.3">
      <c r="A41" s="7" t="s">
        <v>7</v>
      </c>
      <c r="B41" s="7" t="s">
        <v>7</v>
      </c>
      <c r="C41" s="30" t="s">
        <v>7</v>
      </c>
      <c r="D41" s="7" t="str">
        <f t="shared" si="1"/>
        <v>PIPE_41</v>
      </c>
      <c r="E41" s="7"/>
      <c r="F41" s="31">
        <f>0.1+3.65+0.229</f>
        <v>3.9790000000000001</v>
      </c>
      <c r="G41" s="32">
        <v>-90</v>
      </c>
      <c r="H41" s="32">
        <v>0</v>
      </c>
      <c r="I41" s="32">
        <v>0</v>
      </c>
      <c r="J41" s="29">
        <v>0</v>
      </c>
      <c r="K41" s="29">
        <v>0</v>
      </c>
      <c r="L41" s="29">
        <v>0</v>
      </c>
      <c r="M41" s="33">
        <v>168.3</v>
      </c>
      <c r="N41" s="33">
        <v>7.11</v>
      </c>
      <c r="O41" s="36">
        <v>1.28</v>
      </c>
      <c r="P41" s="36"/>
      <c r="Q41" s="7"/>
      <c r="R41" s="31"/>
      <c r="S41" s="7"/>
      <c r="T41" s="31"/>
      <c r="U41" s="7"/>
      <c r="V41" s="7"/>
      <c r="X41" s="39">
        <f t="shared" si="2"/>
        <v>-1.8589999999999995</v>
      </c>
      <c r="Y41" s="39">
        <f t="shared" si="3"/>
        <v>2.2775509776751247E-16</v>
      </c>
      <c r="Z41" s="39">
        <f t="shared" si="4"/>
        <v>99.902000000000001</v>
      </c>
    </row>
    <row r="42" spans="1:26" x14ac:dyDescent="0.3">
      <c r="A42" s="7" t="s">
        <v>7</v>
      </c>
      <c r="B42" s="7" t="s">
        <v>7</v>
      </c>
      <c r="C42" s="30" t="s">
        <v>7</v>
      </c>
      <c r="D42" s="7" t="str">
        <f t="shared" si="1"/>
        <v>PIPE_42</v>
      </c>
      <c r="E42" s="7"/>
      <c r="F42" s="31">
        <v>0.75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168.3</v>
      </c>
      <c r="N42" s="33">
        <v>7.11</v>
      </c>
      <c r="O42" s="36">
        <v>1.28</v>
      </c>
      <c r="P42" s="36"/>
      <c r="Q42" s="7"/>
      <c r="R42" s="31"/>
      <c r="S42" s="7"/>
      <c r="T42" s="31"/>
      <c r="U42" s="7"/>
      <c r="V42" s="7"/>
      <c r="X42" s="39">
        <f t="shared" si="2"/>
        <v>-1.8589999999999998</v>
      </c>
      <c r="Y42" s="39">
        <f t="shared" si="3"/>
        <v>-0.74999999999999978</v>
      </c>
      <c r="Z42" s="39">
        <f t="shared" si="4"/>
        <v>99.902000000000001</v>
      </c>
    </row>
    <row r="43" spans="1:26" x14ac:dyDescent="0.3">
      <c r="A43" s="7" t="s">
        <v>7</v>
      </c>
      <c r="B43" s="7" t="s">
        <v>7</v>
      </c>
      <c r="C43" s="30" t="s">
        <v>7</v>
      </c>
      <c r="D43" s="7" t="str">
        <f t="shared" si="1"/>
        <v>PIPE_43</v>
      </c>
      <c r="E43" s="7"/>
      <c r="F43" s="31">
        <v>4.5</v>
      </c>
      <c r="G43" s="32">
        <v>0</v>
      </c>
      <c r="H43" s="32">
        <v>180</v>
      </c>
      <c r="I43" s="32">
        <v>0</v>
      </c>
      <c r="J43" s="29">
        <v>0</v>
      </c>
      <c r="K43" s="29">
        <v>0</v>
      </c>
      <c r="L43" s="29">
        <v>0</v>
      </c>
      <c r="M43" s="33">
        <v>168.3</v>
      </c>
      <c r="N43" s="33">
        <v>7.11</v>
      </c>
      <c r="O43" s="36">
        <v>1.28</v>
      </c>
      <c r="P43" s="36"/>
      <c r="Q43" s="7"/>
      <c r="R43" s="31"/>
      <c r="S43" s="7"/>
      <c r="T43" s="31"/>
      <c r="U43" s="7"/>
      <c r="V43" s="7"/>
      <c r="X43" s="39">
        <f t="shared" si="2"/>
        <v>-6.359</v>
      </c>
      <c r="Y43" s="39">
        <f t="shared" si="3"/>
        <v>-0.74999999999999922</v>
      </c>
      <c r="Z43" s="39">
        <f t="shared" si="4"/>
        <v>99.902000000000001</v>
      </c>
    </row>
    <row r="44" spans="1:26" x14ac:dyDescent="0.3">
      <c r="A44" s="7" t="s">
        <v>7</v>
      </c>
      <c r="B44" s="7" t="s">
        <v>7</v>
      </c>
      <c r="C44" s="30" t="s">
        <v>7</v>
      </c>
      <c r="D44" s="7" t="str">
        <f t="shared" si="1"/>
        <v>PIPE_44</v>
      </c>
      <c r="E44" s="7"/>
      <c r="F44" s="31">
        <v>2</v>
      </c>
      <c r="G44" s="32">
        <v>-90</v>
      </c>
      <c r="H44" s="32">
        <v>0</v>
      </c>
      <c r="I44" s="32">
        <v>0</v>
      </c>
      <c r="J44" s="29">
        <v>0</v>
      </c>
      <c r="K44" s="29">
        <v>0</v>
      </c>
      <c r="L44" s="29">
        <v>0</v>
      </c>
      <c r="M44" s="33">
        <v>168.3</v>
      </c>
      <c r="N44" s="33">
        <v>7.11</v>
      </c>
      <c r="O44" s="36">
        <v>1.28</v>
      </c>
      <c r="P44" s="36"/>
      <c r="Q44" s="7"/>
      <c r="R44" s="31"/>
      <c r="S44" s="7"/>
      <c r="T44" s="31"/>
      <c r="U44" s="7"/>
      <c r="V44" s="7"/>
      <c r="X44" s="39">
        <f t="shared" si="2"/>
        <v>-6.359</v>
      </c>
      <c r="Y44" s="39">
        <f t="shared" si="3"/>
        <v>-0.74999999999999922</v>
      </c>
      <c r="Z44" s="39">
        <f t="shared" si="4"/>
        <v>97.902000000000001</v>
      </c>
    </row>
    <row r="45" spans="1:26" x14ac:dyDescent="0.3">
      <c r="A45" s="7" t="s">
        <v>7</v>
      </c>
      <c r="B45" s="7" t="s">
        <v>7</v>
      </c>
      <c r="C45" s="30" t="s">
        <v>7</v>
      </c>
      <c r="D45" s="7" t="str">
        <f t="shared" si="1"/>
        <v>PIPE_45</v>
      </c>
      <c r="E45" s="7"/>
      <c r="F45" s="31">
        <v>0.629</v>
      </c>
      <c r="G45" s="32">
        <v>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168.3</v>
      </c>
      <c r="N45" s="33">
        <v>7.11</v>
      </c>
      <c r="O45" s="36">
        <v>1.28</v>
      </c>
      <c r="P45" s="36"/>
      <c r="Q45" s="7"/>
      <c r="R45" s="31"/>
      <c r="S45" s="7"/>
      <c r="T45" s="31"/>
      <c r="U45" s="7"/>
      <c r="V45" s="7"/>
      <c r="X45" s="39">
        <f t="shared" si="2"/>
        <v>-5.73</v>
      </c>
      <c r="Y45" s="39">
        <f t="shared" si="3"/>
        <v>-0.74999999999999922</v>
      </c>
      <c r="Z45" s="39">
        <f t="shared" si="4"/>
        <v>97.902000000000001</v>
      </c>
    </row>
    <row r="46" spans="1:26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  <c r="X46" s="39">
        <f t="shared" si="2"/>
        <v>-5.73</v>
      </c>
      <c r="Y46" s="39">
        <f t="shared" si="3"/>
        <v>-0.74999999999999922</v>
      </c>
      <c r="Z46" s="39">
        <f t="shared" si="4"/>
        <v>97.902000000000001</v>
      </c>
    </row>
    <row r="47" spans="1:26" x14ac:dyDescent="0.3">
      <c r="A47" s="7" t="s">
        <v>45</v>
      </c>
      <c r="B47" s="7" t="s">
        <v>10</v>
      </c>
      <c r="C47" s="30" t="s">
        <v>52</v>
      </c>
      <c r="D47" s="7" t="str">
        <f>CONCATENATE("JUNC_",ROW())</f>
        <v>JUNC_47</v>
      </c>
      <c r="E47" s="7"/>
      <c r="F47" s="31">
        <v>0</v>
      </c>
      <c r="G47" s="32">
        <v>0</v>
      </c>
      <c r="H47" s="32">
        <v>0</v>
      </c>
      <c r="I47" s="32">
        <v>0</v>
      </c>
      <c r="J47" s="29">
        <v>0</v>
      </c>
      <c r="K47" s="29">
        <v>0</v>
      </c>
      <c r="L47" s="29">
        <v>0</v>
      </c>
      <c r="M47" s="33">
        <v>125</v>
      </c>
      <c r="N47" s="33">
        <v>2.02</v>
      </c>
      <c r="O47" s="36"/>
      <c r="P47" s="36"/>
      <c r="Q47" s="7" t="str">
        <f ca="1">OFFSET($A$1,ROW()-3,3)</f>
        <v>PIPE_45</v>
      </c>
      <c r="R47" s="31" t="s">
        <v>42</v>
      </c>
      <c r="S47" s="7" t="str">
        <f>D99</f>
        <v>VOL_99</v>
      </c>
      <c r="T47" s="31" t="s">
        <v>42</v>
      </c>
      <c r="U47" s="7"/>
      <c r="V47" s="7"/>
      <c r="X47" s="39">
        <f t="shared" si="2"/>
        <v>-5.73</v>
      </c>
      <c r="Y47" s="39">
        <f t="shared" si="3"/>
        <v>-0.74999999999999922</v>
      </c>
      <c r="Z47" s="39">
        <f t="shared" si="4"/>
        <v>97.902000000000001</v>
      </c>
    </row>
    <row r="48" spans="1:26" x14ac:dyDescent="0.3">
      <c r="A48" s="7" t="s">
        <v>63</v>
      </c>
      <c r="B48" s="7"/>
      <c r="C48" s="30"/>
      <c r="D48" s="7"/>
      <c r="E48" s="7"/>
      <c r="F48" s="31"/>
      <c r="G48" s="32"/>
      <c r="H48" s="32"/>
      <c r="I48" s="32"/>
      <c r="J48" s="29"/>
      <c r="K48" s="29"/>
      <c r="L48" s="29"/>
      <c r="M48" s="33"/>
      <c r="N48" s="33"/>
      <c r="O48" s="36"/>
      <c r="P48" s="36"/>
      <c r="Q48" s="7"/>
      <c r="R48" s="31"/>
      <c r="S48" s="7"/>
      <c r="T48" s="31"/>
      <c r="U48" s="7"/>
      <c r="V48" s="7"/>
      <c r="X48" s="39">
        <f t="shared" si="2"/>
        <v>-5.73</v>
      </c>
      <c r="Y48" s="39">
        <f t="shared" si="3"/>
        <v>-0.74999999999999922</v>
      </c>
      <c r="Z48" s="39">
        <f t="shared" si="4"/>
        <v>97.902000000000001</v>
      </c>
    </row>
    <row r="49" spans="1:26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6" x14ac:dyDescent="0.3">
      <c r="A50" s="7"/>
      <c r="B50" s="7"/>
      <c r="C50" s="30"/>
      <c r="D50" s="7"/>
      <c r="E50" s="7"/>
      <c r="F50" s="31"/>
      <c r="G50" s="32"/>
      <c r="H50" s="32"/>
      <c r="I50" s="32"/>
      <c r="J50" s="29"/>
      <c r="K50" s="29"/>
      <c r="L50" s="29"/>
      <c r="M50" s="33"/>
      <c r="N50" s="33"/>
      <c r="O50" s="36"/>
      <c r="P50" s="36"/>
      <c r="Q50" s="7"/>
      <c r="R50" s="31"/>
      <c r="S50" s="7"/>
      <c r="T50" s="31"/>
      <c r="U50" s="7"/>
      <c r="V50" s="7"/>
    </row>
    <row r="51" spans="1:26" x14ac:dyDescent="0.3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6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3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3">
      <c r="A55" s="49" t="s">
        <v>82</v>
      </c>
      <c r="B55" s="56" t="s">
        <v>64</v>
      </c>
      <c r="C55" s="50"/>
      <c r="D55" s="49"/>
      <c r="E55" s="49"/>
      <c r="F55" s="51"/>
      <c r="G55" s="52"/>
      <c r="H55" s="52"/>
      <c r="I55" s="52"/>
      <c r="J55" s="53"/>
      <c r="K55" s="53"/>
      <c r="L55" s="53"/>
      <c r="M55" s="54"/>
      <c r="N55" s="54"/>
      <c r="O55" s="55"/>
      <c r="P55" s="55"/>
      <c r="Q55" s="49"/>
      <c r="R55" s="51"/>
      <c r="S55" s="49"/>
      <c r="T55" s="51"/>
      <c r="U55" s="49"/>
      <c r="V55" s="49"/>
      <c r="X55" s="39">
        <f>X48-R56</f>
        <v>-6.9740000000000002</v>
      </c>
      <c r="Y55" s="39">
        <f>Y48</f>
        <v>-0.74999999999999922</v>
      </c>
      <c r="Z55" s="39">
        <f>Z48</f>
        <v>97.902000000000001</v>
      </c>
    </row>
    <row r="56" spans="1:26" x14ac:dyDescent="0.3">
      <c r="A56" s="7" t="s">
        <v>45</v>
      </c>
      <c r="B56" s="7" t="s">
        <v>10</v>
      </c>
      <c r="C56" s="30" t="s">
        <v>52</v>
      </c>
      <c r="D56" s="7" t="str">
        <f>CONCATENATE("JUNC_",ROW())</f>
        <v>JUNC_56</v>
      </c>
      <c r="E56" s="7"/>
      <c r="F56" s="31">
        <v>0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125</v>
      </c>
      <c r="N56" s="33">
        <v>2.02</v>
      </c>
      <c r="O56" s="36"/>
      <c r="P56" s="36"/>
      <c r="Q56" s="7" t="str">
        <f>D99</f>
        <v>VOL_99</v>
      </c>
      <c r="R56" s="31">
        <v>1.244</v>
      </c>
      <c r="S56" s="7" t="str">
        <f ca="1">OFFSET($A$1,ROW()+1,3)</f>
        <v>PIPE_58</v>
      </c>
      <c r="T56" s="31" t="s">
        <v>41</v>
      </c>
      <c r="U56" s="7"/>
      <c r="V56" s="7"/>
      <c r="X56" s="39">
        <f t="shared" ref="X56:X69" si="5">IF(OR(A56="volume",A56="pipe",A56="junction"),X55+F56*COS(G56*PI()/180)*COS(H56*PI()/180)+J56,X55)</f>
        <v>-6.9740000000000002</v>
      </c>
      <c r="Y56" s="39">
        <f t="shared" ref="Y56:Y69" si="6">IF(OR(A56="volume",A56="pipe",A56="junction"),Y55+F56*COS(G56*PI()/180)*SIN(H56*PI()/180)+K56,Y55)</f>
        <v>-0.74999999999999922</v>
      </c>
      <c r="Z56" s="39">
        <f t="shared" ref="Z56:Z69" si="7">IF(OR(A56="volume",A56="pipe",A56="junction"),Z55+F56*SIN(G56*PI()/180)+L56,Z55)</f>
        <v>97.902000000000001</v>
      </c>
    </row>
    <row r="57" spans="1:26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  <c r="X57" s="39">
        <f t="shared" si="5"/>
        <v>-6.9740000000000002</v>
      </c>
      <c r="Y57" s="39">
        <f t="shared" si="6"/>
        <v>-0.74999999999999922</v>
      </c>
      <c r="Z57" s="39">
        <f t="shared" si="7"/>
        <v>97.902000000000001</v>
      </c>
    </row>
    <row r="58" spans="1:26" x14ac:dyDescent="0.3">
      <c r="A58" s="7" t="s">
        <v>7</v>
      </c>
      <c r="B58" s="7" t="s">
        <v>7</v>
      </c>
      <c r="C58" s="30" t="s">
        <v>7</v>
      </c>
      <c r="D58" s="7" t="str">
        <f t="shared" ref="D58:D68" si="8">CONCATENATE("PIPE_",ROW())</f>
        <v>PIPE_58</v>
      </c>
      <c r="E58" s="7"/>
      <c r="F58" s="31">
        <f>0.504/2+0.229</f>
        <v>0.48099999999999998</v>
      </c>
      <c r="G58" s="32">
        <v>0</v>
      </c>
      <c r="H58" s="32">
        <v>90</v>
      </c>
      <c r="I58" s="32">
        <v>0</v>
      </c>
      <c r="J58" s="29">
        <v>0</v>
      </c>
      <c r="K58" s="29">
        <v>0</v>
      </c>
      <c r="L58" s="29">
        <v>0</v>
      </c>
      <c r="M58" s="33">
        <v>168.3</v>
      </c>
      <c r="N58" s="33">
        <v>7.11</v>
      </c>
      <c r="O58" s="36">
        <v>1.36</v>
      </c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97.902000000000001</v>
      </c>
    </row>
    <row r="59" spans="1:26" x14ac:dyDescent="0.3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0.229+2*0.143+3.325+0.1-0.08/2</f>
        <v>3.9000000000000004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1.36</v>
      </c>
      <c r="P59" s="36"/>
      <c r="Q59" s="7"/>
      <c r="R59" s="31"/>
      <c r="S59" s="7"/>
      <c r="T59" s="31"/>
      <c r="U59" s="7"/>
      <c r="V59" s="7" t="s">
        <v>53</v>
      </c>
      <c r="X59" s="39">
        <f t="shared" si="5"/>
        <v>-6.9740000000000002</v>
      </c>
      <c r="Y59" s="39">
        <f t="shared" si="6"/>
        <v>-0.26899999999999924</v>
      </c>
      <c r="Z59" s="39">
        <f t="shared" si="7"/>
        <v>101.80200000000001</v>
      </c>
    </row>
    <row r="60" spans="1:26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-0.26899999999999924</v>
      </c>
      <c r="Z60" s="39">
        <f t="shared" si="7"/>
        <v>101.80200000000001</v>
      </c>
    </row>
    <row r="61" spans="1:26" x14ac:dyDescent="0.3">
      <c r="A61" s="7" t="s">
        <v>45</v>
      </c>
      <c r="B61" s="7" t="s">
        <v>9</v>
      </c>
      <c r="C61" s="30" t="s">
        <v>54</v>
      </c>
      <c r="D61" s="7" t="str">
        <f>CONCATENATE("JUNC_",ROW())</f>
        <v>JUNC_61</v>
      </c>
      <c r="E61" s="7" t="s">
        <v>51</v>
      </c>
      <c r="F61" s="31">
        <v>0.08</v>
      </c>
      <c r="G61" s="32">
        <v>90</v>
      </c>
      <c r="H61" s="32">
        <v>0</v>
      </c>
      <c r="I61" s="32">
        <v>0</v>
      </c>
      <c r="J61" s="29">
        <v>0</v>
      </c>
      <c r="K61" s="29">
        <v>0</v>
      </c>
      <c r="L61" s="29">
        <v>0</v>
      </c>
      <c r="M61" s="33">
        <v>168.3</v>
      </c>
      <c r="N61" s="33">
        <v>7.11</v>
      </c>
      <c r="O61" s="36"/>
      <c r="P61" s="36"/>
      <c r="Q61" s="7" t="str">
        <f ca="1">OFFSET($A$1,ROW()-3,3)</f>
        <v>PIPE_59</v>
      </c>
      <c r="R61" s="31" t="s">
        <v>42</v>
      </c>
      <c r="S61" s="7" t="str">
        <f ca="1">OFFSET($A$1,ROW()+1,3)</f>
        <v>PIPE_63</v>
      </c>
      <c r="T61" s="31" t="s">
        <v>41</v>
      </c>
      <c r="U61" s="7"/>
      <c r="V61" s="7"/>
      <c r="X61" s="39">
        <f t="shared" si="5"/>
        <v>-6.9740000000000002</v>
      </c>
      <c r="Y61" s="39">
        <f t="shared" si="6"/>
        <v>-0.26899999999999924</v>
      </c>
      <c r="Z61" s="39">
        <f t="shared" si="7"/>
        <v>101.88200000000001</v>
      </c>
    </row>
    <row r="62" spans="1:26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  <c r="X62" s="39">
        <f t="shared" si="5"/>
        <v>-6.9740000000000002</v>
      </c>
      <c r="Y62" s="39">
        <f t="shared" si="6"/>
        <v>-0.26899999999999924</v>
      </c>
      <c r="Z62" s="39">
        <f t="shared" si="7"/>
        <v>101.88200000000001</v>
      </c>
    </row>
    <row r="63" spans="1:26" x14ac:dyDescent="0.3">
      <c r="A63" s="7" t="s">
        <v>7</v>
      </c>
      <c r="B63" s="7" t="s">
        <v>7</v>
      </c>
      <c r="C63" s="30" t="s">
        <v>7</v>
      </c>
      <c r="D63" s="7" t="str">
        <f t="shared" si="8"/>
        <v>PIPE_63</v>
      </c>
      <c r="E63" s="7"/>
      <c r="F63" s="31">
        <f>0.1-0.08/2+1.84</f>
        <v>1.9000000000000001</v>
      </c>
      <c r="G63" s="32">
        <v>90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168.3</v>
      </c>
      <c r="N63" s="33">
        <v>7.11</v>
      </c>
      <c r="O63" s="36">
        <v>1.28</v>
      </c>
      <c r="P63" s="36"/>
      <c r="Q63" s="7"/>
      <c r="R63" s="31"/>
      <c r="S63" s="7"/>
      <c r="T63" s="31"/>
      <c r="U63" s="7"/>
      <c r="V63" s="7"/>
      <c r="X63" s="39">
        <f t="shared" si="5"/>
        <v>-6.9740000000000002</v>
      </c>
      <c r="Y63" s="39">
        <f t="shared" si="6"/>
        <v>-0.26899999999999924</v>
      </c>
      <c r="Z63" s="39">
        <f t="shared" si="7"/>
        <v>103.78200000000001</v>
      </c>
    </row>
    <row r="64" spans="1:26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5"/>
        <v>-6.9740000000000002</v>
      </c>
      <c r="Y64" s="39">
        <f t="shared" si="6"/>
        <v>-0.26899999999999924</v>
      </c>
      <c r="Z64" s="39">
        <f t="shared" si="7"/>
        <v>103.78200000000001</v>
      </c>
    </row>
    <row r="65" spans="1:26" x14ac:dyDescent="0.3">
      <c r="A65" s="7" t="s">
        <v>45</v>
      </c>
      <c r="B65" s="7" t="s">
        <v>9</v>
      </c>
      <c r="C65" s="30" t="s">
        <v>55</v>
      </c>
      <c r="D65" s="7" t="str">
        <f>CONCATENATE("JUNC_",ROW())</f>
        <v>JUNC_65</v>
      </c>
      <c r="E65" s="7" t="s">
        <v>51</v>
      </c>
      <c r="F65" s="31">
        <v>7.5999999999999998E-2</v>
      </c>
      <c r="G65" s="32">
        <v>90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168.3</v>
      </c>
      <c r="N65" s="33">
        <v>7.11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 ca="1">OFFSET($A$1,ROW()+1,3)</f>
        <v>PIPE_67</v>
      </c>
      <c r="T65" s="31" t="s">
        <v>41</v>
      </c>
      <c r="U65" s="7"/>
      <c r="V65" s="7"/>
      <c r="X65" s="39">
        <f t="shared" si="5"/>
        <v>-6.9740000000000002</v>
      </c>
      <c r="Y65" s="39">
        <f t="shared" si="6"/>
        <v>-0.26899999999999924</v>
      </c>
      <c r="Z65" s="39">
        <f t="shared" si="7"/>
        <v>103.858</v>
      </c>
    </row>
    <row r="66" spans="1:26" x14ac:dyDescent="0.3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5"/>
        <v>-6.9740000000000002</v>
      </c>
      <c r="Y66" s="39">
        <f t="shared" si="6"/>
        <v>-0.26899999999999924</v>
      </c>
      <c r="Z66" s="39">
        <f t="shared" si="7"/>
        <v>103.858</v>
      </c>
    </row>
    <row r="67" spans="1:26" x14ac:dyDescent="0.3">
      <c r="A67" s="7" t="s">
        <v>7</v>
      </c>
      <c r="B67" s="7" t="s">
        <v>7</v>
      </c>
      <c r="C67" s="30" t="s">
        <v>7</v>
      </c>
      <c r="D67" s="7" t="str">
        <f t="shared" si="8"/>
        <v>PIPE_67</v>
      </c>
      <c r="E67" s="7"/>
      <c r="F67" s="31">
        <f>2.361+0.229</f>
        <v>2.5900000000000003</v>
      </c>
      <c r="G67" s="32">
        <v>90</v>
      </c>
      <c r="H67" s="32">
        <v>0</v>
      </c>
      <c r="I67" s="32">
        <v>0</v>
      </c>
      <c r="J67" s="29">
        <v>0</v>
      </c>
      <c r="K67" s="29">
        <v>0</v>
      </c>
      <c r="L67" s="29">
        <v>0</v>
      </c>
      <c r="M67" s="33">
        <v>168.3</v>
      </c>
      <c r="N67" s="33">
        <v>7.11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5"/>
        <v>-6.9740000000000002</v>
      </c>
      <c r="Y67" s="39">
        <f t="shared" si="6"/>
        <v>-0.26899999999999924</v>
      </c>
      <c r="Z67" s="39">
        <f t="shared" si="7"/>
        <v>106.44800000000001</v>
      </c>
    </row>
    <row r="68" spans="1:26" x14ac:dyDescent="0.3">
      <c r="A68" s="7" t="s">
        <v>7</v>
      </c>
      <c r="B68" s="7" t="s">
        <v>7</v>
      </c>
      <c r="C68" s="30" t="s">
        <v>7</v>
      </c>
      <c r="D68" s="7" t="str">
        <f t="shared" si="8"/>
        <v>PIPE_68</v>
      </c>
      <c r="E68" s="7"/>
      <c r="F68" s="31">
        <f>0.659+0.194</f>
        <v>0.85299999999999998</v>
      </c>
      <c r="G68" s="32">
        <v>0</v>
      </c>
      <c r="H68" s="32">
        <v>270</v>
      </c>
      <c r="I68" s="32">
        <v>0</v>
      </c>
      <c r="J68" s="29">
        <v>0</v>
      </c>
      <c r="K68" s="29">
        <v>0</v>
      </c>
      <c r="L68" s="29">
        <v>0</v>
      </c>
      <c r="M68" s="33">
        <v>168.3</v>
      </c>
      <c r="N68" s="33">
        <v>7.11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5"/>
        <v>-6.9740000000000002</v>
      </c>
      <c r="Y68" s="39">
        <f t="shared" si="6"/>
        <v>-1.1219999999999992</v>
      </c>
      <c r="Z68" s="39">
        <f t="shared" si="7"/>
        <v>106.44800000000001</v>
      </c>
    </row>
    <row r="69" spans="1:26" x14ac:dyDescent="0.3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  <c r="X69" s="39">
        <f t="shared" si="5"/>
        <v>-6.9740000000000002</v>
      </c>
      <c r="Y69" s="39">
        <f t="shared" si="6"/>
        <v>-1.1219999999999992</v>
      </c>
      <c r="Z69" s="39">
        <f t="shared" si="7"/>
        <v>106.44800000000001</v>
      </c>
    </row>
    <row r="70" spans="1:26" x14ac:dyDescent="0.3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6" x14ac:dyDescent="0.3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6" x14ac:dyDescent="0.3">
      <c r="A72" s="7" t="s">
        <v>82</v>
      </c>
      <c r="B72" s="7" t="s">
        <v>65</v>
      </c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6" x14ac:dyDescent="0.3">
      <c r="A73" s="7" t="s">
        <v>45</v>
      </c>
      <c r="B73" s="7" t="s">
        <v>10</v>
      </c>
      <c r="C73" s="30" t="s">
        <v>20</v>
      </c>
      <c r="D73" s="7" t="str">
        <f>CONCATENATE("JUNC_",ROW())</f>
        <v>JUNC_73</v>
      </c>
      <c r="E73" s="7"/>
      <c r="F73" s="31">
        <v>0</v>
      </c>
      <c r="G73" s="32">
        <v>0</v>
      </c>
      <c r="H73" s="32">
        <v>0</v>
      </c>
      <c r="I73" s="32">
        <v>0</v>
      </c>
      <c r="J73" s="29">
        <v>0</v>
      </c>
      <c r="K73" s="29">
        <v>0</v>
      </c>
      <c r="L73" s="29">
        <v>0</v>
      </c>
      <c r="M73" s="33">
        <v>97.93</v>
      </c>
      <c r="N73" s="33">
        <v>2.02</v>
      </c>
      <c r="O73" s="36"/>
      <c r="P73" s="36"/>
      <c r="Q73" s="7" t="str">
        <f>D59</f>
        <v>PIPE_59</v>
      </c>
      <c r="R73" s="31">
        <v>0.372</v>
      </c>
      <c r="S73" s="7" t="str">
        <f ca="1">OFFSET($A$1,ROW()+1,3)</f>
        <v>PIPE_75</v>
      </c>
      <c r="T73" s="31" t="s">
        <v>41</v>
      </c>
      <c r="U73" s="7"/>
      <c r="V73" s="7"/>
      <c r="X73" s="39">
        <f t="shared" ref="X73:X85" si="9">IF(OR(A73="volume",A73="pipe",A73="junction"),X72+F73*COS(G73*PI()/180)*COS(H73*PI()/180)+J73,X72)</f>
        <v>0</v>
      </c>
      <c r="Y73" s="39">
        <f t="shared" ref="Y73:Y85" si="10">IF(OR(A73="volume",A73="pipe",A73="junction"),Y72+F73*COS(G73*PI()/180)*SIN(H73*PI()/180)+K73,Y72)</f>
        <v>0</v>
      </c>
      <c r="Z73" s="39">
        <f t="shared" ref="Z73:Z85" si="11">IF(OR(A73="volume",A73="pipe",A73="junction"),Z72+F73*SIN(G73*PI()/180)+L73,Z72)</f>
        <v>0</v>
      </c>
    </row>
    <row r="74" spans="1:26" x14ac:dyDescent="0.3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  <c r="X74" s="39">
        <f t="shared" si="9"/>
        <v>0</v>
      </c>
      <c r="Y74" s="39">
        <f t="shared" si="10"/>
        <v>0</v>
      </c>
      <c r="Z74" s="39">
        <f t="shared" si="11"/>
        <v>0</v>
      </c>
    </row>
    <row r="75" spans="1:26" x14ac:dyDescent="0.3">
      <c r="A75" s="7" t="s">
        <v>7</v>
      </c>
      <c r="B75" s="7" t="s">
        <v>7</v>
      </c>
      <c r="C75" s="30" t="s">
        <v>7</v>
      </c>
      <c r="D75" s="7" t="str">
        <f t="shared" ref="D75:D80" si="12">CONCATENATE("PIPE_",ROW())</f>
        <v>PIPE_75</v>
      </c>
      <c r="E75" s="7"/>
      <c r="F75" s="31">
        <v>0.17499999999999999</v>
      </c>
      <c r="G75" s="32">
        <v>0</v>
      </c>
      <c r="H75" s="32">
        <v>45</v>
      </c>
      <c r="I75" s="32">
        <v>0</v>
      </c>
      <c r="J75" s="29">
        <v>0</v>
      </c>
      <c r="K75" s="29">
        <v>0</v>
      </c>
      <c r="L75" s="29">
        <v>0</v>
      </c>
      <c r="M75" s="33">
        <v>88.9</v>
      </c>
      <c r="N75" s="33">
        <v>5.49</v>
      </c>
      <c r="O75" s="36">
        <v>1.28</v>
      </c>
      <c r="P75" s="36"/>
      <c r="Q75" s="7"/>
      <c r="R75" s="31"/>
      <c r="S75" s="7"/>
      <c r="T75" s="31"/>
      <c r="U75" s="7"/>
      <c r="V75" s="7"/>
      <c r="X75" s="39">
        <f t="shared" si="9"/>
        <v>0.12374368670764582</v>
      </c>
      <c r="Y75" s="39">
        <f t="shared" si="10"/>
        <v>0.12374368670764579</v>
      </c>
      <c r="Z75" s="39">
        <f t="shared" si="11"/>
        <v>0</v>
      </c>
    </row>
    <row r="76" spans="1:26" x14ac:dyDescent="0.3">
      <c r="A76" s="7" t="s">
        <v>7</v>
      </c>
      <c r="B76" s="7" t="s">
        <v>7</v>
      </c>
      <c r="C76" s="30" t="s">
        <v>7</v>
      </c>
      <c r="D76" s="7" t="str">
        <f t="shared" si="12"/>
        <v>PIPE_76</v>
      </c>
      <c r="E76" s="7"/>
      <c r="F76" s="31">
        <v>0.47499999999999998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88.9</v>
      </c>
      <c r="N76" s="33">
        <v>5.49</v>
      </c>
      <c r="O76" s="36">
        <v>1.28</v>
      </c>
      <c r="P76" s="36"/>
      <c r="Q76" s="7"/>
      <c r="R76" s="31"/>
      <c r="S76" s="7"/>
      <c r="T76" s="31"/>
      <c r="U76" s="7"/>
      <c r="V76" s="7"/>
      <c r="X76" s="39">
        <f t="shared" si="9"/>
        <v>0.59874368670764577</v>
      </c>
      <c r="Y76" s="39">
        <f t="shared" si="10"/>
        <v>0.12374368670764579</v>
      </c>
      <c r="Z76" s="39">
        <f t="shared" si="11"/>
        <v>0</v>
      </c>
    </row>
    <row r="77" spans="1:26" x14ac:dyDescent="0.3">
      <c r="A77" s="7" t="s">
        <v>7</v>
      </c>
      <c r="B77" s="7" t="s">
        <v>7</v>
      </c>
      <c r="C77" s="30" t="s">
        <v>7</v>
      </c>
      <c r="D77" s="7" t="str">
        <f t="shared" si="12"/>
        <v>PIPE_77</v>
      </c>
      <c r="E77" s="7"/>
      <c r="F77" s="31">
        <v>0.44800000000000001</v>
      </c>
      <c r="G77" s="32">
        <v>0</v>
      </c>
      <c r="H77" s="32">
        <v>90</v>
      </c>
      <c r="I77" s="32">
        <v>0</v>
      </c>
      <c r="J77" s="29">
        <v>0</v>
      </c>
      <c r="K77" s="29">
        <v>0</v>
      </c>
      <c r="L77" s="29">
        <v>0</v>
      </c>
      <c r="M77" s="33">
        <v>88.9</v>
      </c>
      <c r="N77" s="33">
        <v>5.49</v>
      </c>
      <c r="O77" s="36">
        <v>1.28</v>
      </c>
      <c r="P77" s="36"/>
      <c r="Q77" s="7"/>
      <c r="R77" s="31"/>
      <c r="S77" s="7"/>
      <c r="T77" s="31"/>
      <c r="U77" s="7"/>
      <c r="V77" s="7"/>
      <c r="X77" s="39">
        <f t="shared" si="9"/>
        <v>0.59874368670764577</v>
      </c>
      <c r="Y77" s="39">
        <f t="shared" si="10"/>
        <v>0.57174368670764575</v>
      </c>
      <c r="Z77" s="39">
        <f t="shared" si="11"/>
        <v>0</v>
      </c>
    </row>
    <row r="78" spans="1:26" x14ac:dyDescent="0.3">
      <c r="A78" s="7" t="s">
        <v>7</v>
      </c>
      <c r="B78" s="7" t="s">
        <v>7</v>
      </c>
      <c r="C78" s="30" t="s">
        <v>7</v>
      </c>
      <c r="D78" s="7" t="str">
        <f t="shared" si="12"/>
        <v>PIPE_78</v>
      </c>
      <c r="E78" s="7"/>
      <c r="F78" s="31">
        <v>0.114</v>
      </c>
      <c r="G78" s="32">
        <v>90</v>
      </c>
      <c r="H78" s="32">
        <v>0</v>
      </c>
      <c r="I78" s="32">
        <v>0</v>
      </c>
      <c r="J78" s="29">
        <v>0</v>
      </c>
      <c r="K78" s="29">
        <v>0</v>
      </c>
      <c r="L78" s="29">
        <v>0</v>
      </c>
      <c r="M78" s="33">
        <v>88.9</v>
      </c>
      <c r="N78" s="33">
        <v>5.49</v>
      </c>
      <c r="O78" s="36">
        <v>1.28</v>
      </c>
      <c r="P78" s="36"/>
      <c r="Q78" s="7"/>
      <c r="R78" s="31"/>
      <c r="S78" s="7"/>
      <c r="T78" s="31"/>
      <c r="U78" s="7"/>
      <c r="V78" s="7"/>
      <c r="X78" s="39">
        <f t="shared" si="9"/>
        <v>0.59874368670764577</v>
      </c>
      <c r="Y78" s="39">
        <f t="shared" si="10"/>
        <v>0.57174368670764575</v>
      </c>
      <c r="Z78" s="39">
        <f t="shared" si="11"/>
        <v>0.114</v>
      </c>
    </row>
    <row r="79" spans="1:26" x14ac:dyDescent="0.3">
      <c r="A79" s="7" t="s">
        <v>7</v>
      </c>
      <c r="B79" s="7" t="s">
        <v>7</v>
      </c>
      <c r="C79" s="30" t="s">
        <v>7</v>
      </c>
      <c r="D79" s="7" t="str">
        <f t="shared" si="12"/>
        <v>PIPE_79</v>
      </c>
      <c r="E79" s="7"/>
      <c r="F79" s="31">
        <f>0.063+0.08</f>
        <v>0.14300000000000002</v>
      </c>
      <c r="G79" s="32">
        <v>90</v>
      </c>
      <c r="H79" s="32">
        <v>0</v>
      </c>
      <c r="I79" s="32">
        <v>0</v>
      </c>
      <c r="J79" s="29">
        <v>0</v>
      </c>
      <c r="K79" s="29">
        <v>0</v>
      </c>
      <c r="L79" s="29">
        <v>0</v>
      </c>
      <c r="M79" s="33">
        <v>60.32</v>
      </c>
      <c r="N79" s="33">
        <v>3.91</v>
      </c>
      <c r="O79" s="36">
        <v>1.28</v>
      </c>
      <c r="P79" s="36"/>
      <c r="Q79" s="7"/>
      <c r="R79" s="31"/>
      <c r="S79" s="7"/>
      <c r="T79" s="31"/>
      <c r="U79" s="7"/>
      <c r="V79" s="7"/>
      <c r="X79" s="39">
        <f t="shared" si="9"/>
        <v>0.59874368670764577</v>
      </c>
      <c r="Y79" s="39">
        <f t="shared" si="10"/>
        <v>0.57174368670764575</v>
      </c>
      <c r="Z79" s="39">
        <f t="shared" si="11"/>
        <v>0.25700000000000001</v>
      </c>
    </row>
    <row r="80" spans="1:26" x14ac:dyDescent="0.3">
      <c r="A80" s="7" t="s">
        <v>7</v>
      </c>
      <c r="B80" s="7" t="s">
        <v>7</v>
      </c>
      <c r="C80" s="30" t="s">
        <v>7</v>
      </c>
      <c r="D80" s="7" t="str">
        <f t="shared" si="12"/>
        <v>PIPE_80</v>
      </c>
      <c r="E80" s="7"/>
      <c r="F80" s="31">
        <f>0.063+0.1+0.071</f>
        <v>0.23399999999999999</v>
      </c>
      <c r="G80" s="32">
        <v>90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v>48.26</v>
      </c>
      <c r="N80" s="33">
        <v>3.68</v>
      </c>
      <c r="O80" s="36">
        <v>1.28</v>
      </c>
      <c r="P80" s="36"/>
      <c r="Q80" s="7"/>
      <c r="R80" s="31"/>
      <c r="S80" s="7"/>
      <c r="T80" s="31"/>
      <c r="U80" s="7"/>
      <c r="V80" s="7"/>
      <c r="X80" s="39">
        <f t="shared" si="9"/>
        <v>0.59874368670764577</v>
      </c>
      <c r="Y80" s="39">
        <f t="shared" si="10"/>
        <v>0.57174368670764575</v>
      </c>
      <c r="Z80" s="39">
        <f t="shared" si="11"/>
        <v>0.49099999999999999</v>
      </c>
    </row>
    <row r="81" spans="1:26" x14ac:dyDescent="0.3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 t="shared" si="9"/>
        <v>0.59874368670764577</v>
      </c>
      <c r="Y81" s="39">
        <f t="shared" si="10"/>
        <v>0.57174368670764575</v>
      </c>
      <c r="Z81" s="39">
        <f t="shared" si="11"/>
        <v>0.49099999999999999</v>
      </c>
    </row>
    <row r="82" spans="1:26" x14ac:dyDescent="0.3">
      <c r="A82" s="7" t="s">
        <v>45</v>
      </c>
      <c r="B82" s="7" t="s">
        <v>9</v>
      </c>
      <c r="C82" s="30" t="s">
        <v>62</v>
      </c>
      <c r="D82" s="7" t="str">
        <f>CONCATENATE("JUNC_",ROW())</f>
        <v>JUNC_82</v>
      </c>
      <c r="E82" s="7"/>
      <c r="F82" s="31">
        <v>0</v>
      </c>
      <c r="G82" s="32">
        <v>0</v>
      </c>
      <c r="H82" s="32">
        <v>0</v>
      </c>
      <c r="I82" s="32">
        <v>0</v>
      </c>
      <c r="J82" s="29">
        <v>0</v>
      </c>
      <c r="K82" s="29">
        <v>0</v>
      </c>
      <c r="L82" s="29">
        <v>0</v>
      </c>
      <c r="M82" s="33">
        <v>125</v>
      </c>
      <c r="N82" s="33">
        <v>2.02</v>
      </c>
      <c r="O82" s="36"/>
      <c r="P82" s="36"/>
      <c r="Q82" s="7" t="str">
        <f ca="1">OFFSET($A$1,ROW()-3,3)</f>
        <v>PIPE_80</v>
      </c>
      <c r="R82" s="31" t="s">
        <v>42</v>
      </c>
      <c r="S82" s="7" t="str">
        <f ca="1">OFFSET($A$1,ROW()+1,3)</f>
        <v>PIPE_84</v>
      </c>
      <c r="T82" s="31" t="s">
        <v>41</v>
      </c>
      <c r="U82" s="7"/>
      <c r="V82" s="7"/>
      <c r="X82" s="39">
        <f t="shared" si="9"/>
        <v>0.59874368670764577</v>
      </c>
      <c r="Y82" s="39">
        <f t="shared" si="10"/>
        <v>0.57174368670764575</v>
      </c>
      <c r="Z82" s="39">
        <f t="shared" si="11"/>
        <v>0.49099999999999999</v>
      </c>
    </row>
    <row r="83" spans="1:26" x14ac:dyDescent="0.3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  <c r="X83" s="39">
        <f t="shared" si="9"/>
        <v>0.59874368670764577</v>
      </c>
      <c r="Y83" s="39">
        <f t="shared" si="10"/>
        <v>0.57174368670764575</v>
      </c>
      <c r="Z83" s="39">
        <f t="shared" si="11"/>
        <v>0.49099999999999999</v>
      </c>
    </row>
    <row r="84" spans="1:26" x14ac:dyDescent="0.3">
      <c r="A84" s="7" t="s">
        <v>7</v>
      </c>
      <c r="B84" s="7" t="s">
        <v>7</v>
      </c>
      <c r="C84" s="30" t="s">
        <v>7</v>
      </c>
      <c r="D84" s="7" t="str">
        <f>CONCATENATE("PIPE_",ROW())</f>
        <v>PIPE_84</v>
      </c>
      <c r="E84" s="7"/>
      <c r="F84" s="31">
        <f>0.1+0.445+0.1</f>
        <v>0.64500000000000002</v>
      </c>
      <c r="G84" s="32">
        <v>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60</v>
      </c>
      <c r="N84" s="33">
        <v>3.05</v>
      </c>
      <c r="O84" s="36">
        <v>1.5</v>
      </c>
      <c r="P84" s="36"/>
      <c r="Q84" s="7"/>
      <c r="R84" s="31"/>
      <c r="S84" s="7"/>
      <c r="T84" s="31"/>
      <c r="U84" s="7"/>
      <c r="V84" s="7"/>
      <c r="X84" s="39">
        <f t="shared" si="9"/>
        <v>1.2437436867076457</v>
      </c>
      <c r="Y84" s="39">
        <f t="shared" si="10"/>
        <v>0.57174368670764575</v>
      </c>
      <c r="Z84" s="39">
        <f t="shared" si="11"/>
        <v>0.49099999999999999</v>
      </c>
    </row>
    <row r="85" spans="1:26" x14ac:dyDescent="0.3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  <c r="X85" s="39">
        <f t="shared" si="9"/>
        <v>1.2437436867076457</v>
      </c>
      <c r="Y85" s="39">
        <f t="shared" si="10"/>
        <v>0.57174368670764575</v>
      </c>
      <c r="Z85" s="39">
        <f t="shared" si="11"/>
        <v>0.49099999999999999</v>
      </c>
    </row>
    <row r="86" spans="1:26" x14ac:dyDescent="0.3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6" x14ac:dyDescent="0.3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6" x14ac:dyDescent="0.3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3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3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3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6" x14ac:dyDescent="0.3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6" x14ac:dyDescent="0.3">
      <c r="A93" s="7" t="s">
        <v>82</v>
      </c>
      <c r="B93" s="41" t="s">
        <v>56</v>
      </c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3">
      <c r="A94" s="7" t="s">
        <v>29</v>
      </c>
      <c r="B94" s="7" t="s">
        <v>21</v>
      </c>
      <c r="C94" s="30" t="s">
        <v>57</v>
      </c>
      <c r="D94" s="7" t="str">
        <f>CONCATENATE("VOL_",ROW())</f>
        <v>VOL_94</v>
      </c>
      <c r="E94" s="7"/>
      <c r="F94" s="31">
        <v>4.8</v>
      </c>
      <c r="G94" s="32">
        <v>0</v>
      </c>
      <c r="H94" s="32">
        <v>180</v>
      </c>
      <c r="I94" s="32">
        <v>0</v>
      </c>
      <c r="J94" s="29">
        <v>0</v>
      </c>
      <c r="K94" s="29">
        <v>0</v>
      </c>
      <c r="L94" s="29">
        <v>0</v>
      </c>
      <c r="M94" s="33">
        <f>(15+7/8)*25.4</f>
        <v>403.22499999999997</v>
      </c>
      <c r="N94" s="33">
        <v>12</v>
      </c>
      <c r="O94" s="36">
        <f>M94/2000</f>
        <v>0.20161249999999997</v>
      </c>
      <c r="P94" s="36"/>
      <c r="Q94" s="7"/>
      <c r="R94" s="31"/>
      <c r="S94" s="7"/>
      <c r="T94" s="31"/>
      <c r="U94" s="7"/>
      <c r="V94" s="7"/>
      <c r="X94" s="39">
        <f>IF(OR(A94="volume",A94="pipe",A94="junction"),X93+F94*COS(G94*PI()/180)*COS(H94*PI()/180)+J94,X93)</f>
        <v>-4.8</v>
      </c>
      <c r="Y94" s="39">
        <f>IF(OR(A94="volume",A94="pipe",A94="junction"),Y93+F94*COS(G94*PI()/180)*SIN(H94*PI()/180)+K94,Y93)</f>
        <v>5.8807125835613761E-16</v>
      </c>
      <c r="Z94" s="39">
        <f>IF(OR(A94="volume",A94="pipe",A94="junction"),Z93+F94*SIN(G94*PI()/180)+L94,Z93)</f>
        <v>0</v>
      </c>
    </row>
    <row r="95" spans="1:26" x14ac:dyDescent="0.3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  <c r="X95" s="39">
        <f>IF(OR(A95="volume",A95="pipe",A95="junction"),X94+F95*COS(G95*PI()/180)*COS(H95*PI()/180)+J95,X94)</f>
        <v>-4.8</v>
      </c>
      <c r="Y95" s="39">
        <f>IF(OR(A95="volume",A95="pipe",A95="junction"),Y94+F95*COS(G95*PI()/180)*SIN(H95*PI()/180)+K95,Y94)</f>
        <v>5.8807125835613761E-16</v>
      </c>
      <c r="Z95" s="39">
        <f>IF(OR(A95="volume",A95="pipe",A95="junction"),Z94+F95*SIN(G95*PI()/180)+L95,Z94)</f>
        <v>0</v>
      </c>
    </row>
    <row r="96" spans="1:26" x14ac:dyDescent="0.3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6" x14ac:dyDescent="0.3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6" x14ac:dyDescent="0.3">
      <c r="A98" s="7" t="s">
        <v>82</v>
      </c>
      <c r="B98" s="7" t="s">
        <v>58</v>
      </c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  <c r="X98" s="39">
        <f>X48</f>
        <v>-5.73</v>
      </c>
      <c r="Y98" s="39">
        <f t="shared" ref="Y98:Z98" si="13">Y48</f>
        <v>-0.74999999999999922</v>
      </c>
      <c r="Z98" s="39">
        <f t="shared" si="13"/>
        <v>97.902000000000001</v>
      </c>
    </row>
    <row r="99" spans="1:26" x14ac:dyDescent="0.3">
      <c r="A99" s="7" t="s">
        <v>29</v>
      </c>
      <c r="B99" s="7" t="s">
        <v>21</v>
      </c>
      <c r="C99" s="30" t="s">
        <v>59</v>
      </c>
      <c r="D99" s="7" t="str">
        <f>CONCATENATE("VOL_",ROW())</f>
        <v>VOL_99</v>
      </c>
      <c r="E99" s="7"/>
      <c r="F99" s="31">
        <v>4.8</v>
      </c>
      <c r="G99" s="32">
        <v>0</v>
      </c>
      <c r="H99" s="32">
        <v>180</v>
      </c>
      <c r="I99" s="32">
        <v>0</v>
      </c>
      <c r="J99" s="29">
        <v>0</v>
      </c>
      <c r="K99" s="29">
        <v>0</v>
      </c>
      <c r="L99" s="29">
        <v>0</v>
      </c>
      <c r="M99" s="33">
        <f>(19+7/8)*25.4</f>
        <v>504.82499999999999</v>
      </c>
      <c r="N99" s="33">
        <v>12</v>
      </c>
      <c r="O99" s="36">
        <f>M99/2000</f>
        <v>0.25241249999999998</v>
      </c>
      <c r="P99" s="36"/>
      <c r="Q99" s="7"/>
      <c r="R99" s="31"/>
      <c r="S99" s="7"/>
      <c r="T99" s="31"/>
      <c r="U99" s="7"/>
      <c r="V99" s="7"/>
      <c r="X99" s="39">
        <f>IF(OR(A99="volume",A99="pipe",A99="junction"),X98+F99*COS(G99*PI()/180)*COS(H99*PI()/180)+J99,X98)</f>
        <v>-10.530000000000001</v>
      </c>
      <c r="Y99" s="39">
        <f>IF(OR(A99="volume",A99="pipe",A99="junction"),Y98+F99*COS(G99*PI()/180)*SIN(H99*PI()/180)+K99,Y98)</f>
        <v>-0.74999999999999867</v>
      </c>
      <c r="Z99" s="39">
        <f>IF(OR(A99="volume",A99="pipe",A99="junction"),Z98+F99*SIN(G99*PI()/180)+L99,Z98)</f>
        <v>97.902000000000001</v>
      </c>
    </row>
    <row r="100" spans="1:26" x14ac:dyDescent="0.3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  <c r="X100" s="39">
        <f>IF(OR(A100="volume",A100="pipe",A100="junction"),X99+F100*COS(G100*PI()/180)*COS(H100*PI()/180)+J100,X99)</f>
        <v>-10.530000000000001</v>
      </c>
      <c r="Y100" s="39">
        <f>IF(OR(A100="volume",A100="pipe",A100="junction"),Y99+F100*COS(G100*PI()/180)*SIN(H100*PI()/180)+K100,Y99)</f>
        <v>-0.74999999999999867</v>
      </c>
      <c r="Z100" s="39">
        <f>IF(OR(A100="volume",A100="pipe",A100="junction"),Z99+F100*SIN(G100*PI()/180)+L100,Z99)</f>
        <v>97.902000000000001</v>
      </c>
    </row>
    <row r="101" spans="1:26" x14ac:dyDescent="0.3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6" x14ac:dyDescent="0.3">
      <c r="A102" s="7" t="s">
        <v>82</v>
      </c>
      <c r="B102" s="7" t="s">
        <v>66</v>
      </c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6" x14ac:dyDescent="0.3">
      <c r="A103" s="7" t="s">
        <v>45</v>
      </c>
      <c r="B103" s="7" t="s">
        <v>10</v>
      </c>
      <c r="C103" s="30" t="s">
        <v>20</v>
      </c>
      <c r="D103" s="7" t="str">
        <f>CONCATENATE("JUNC_",ROW())</f>
        <v>JUNC_103</v>
      </c>
      <c r="E103" s="7"/>
      <c r="F103" s="31">
        <v>0</v>
      </c>
      <c r="G103" s="32">
        <v>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88.9</v>
      </c>
      <c r="N103" s="33">
        <v>11.12</v>
      </c>
      <c r="O103" s="36"/>
      <c r="P103" s="36"/>
      <c r="Q103" s="7" t="str">
        <f>D94</f>
        <v>VOL_94</v>
      </c>
      <c r="R103" s="31">
        <f>0.741618+0.4</f>
        <v>1.141618</v>
      </c>
      <c r="S103" s="7" t="str">
        <f ca="1">OFFSET($A$1,ROW()+1,3)</f>
        <v>PIPE_105</v>
      </c>
      <c r="T103" s="31" t="s">
        <v>41</v>
      </c>
      <c r="U103" s="7"/>
      <c r="V103" s="7"/>
      <c r="X103" s="39">
        <f t="shared" ref="X103:X117" si="14">IF(OR(A103="volume",A103="pipe",A103="junction"),X102+F103*COS(G103*PI()/180)*COS(H103*PI()/180)+J103,X102)</f>
        <v>0</v>
      </c>
      <c r="Y103" s="39">
        <f t="shared" ref="Y103:Y117" si="15">IF(OR(A103="volume",A103="pipe",A103="junction"),Y102+F103*COS(G103*PI()/180)*SIN(H103*PI()/180)+K103,Y102)</f>
        <v>0</v>
      </c>
      <c r="Z103" s="39">
        <f t="shared" ref="Z103:Z117" si="16">IF(OR(A103="volume",A103="pipe",A103="junction"),Z102+F103*SIN(G103*PI()/180)+L103,Z102)</f>
        <v>0</v>
      </c>
    </row>
    <row r="104" spans="1:26" x14ac:dyDescent="0.3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4"/>
        <v>0</v>
      </c>
      <c r="Y104" s="39">
        <f t="shared" si="15"/>
        <v>0</v>
      </c>
      <c r="Z104" s="39">
        <f t="shared" si="16"/>
        <v>0</v>
      </c>
    </row>
    <row r="105" spans="1:26" x14ac:dyDescent="0.3">
      <c r="A105" s="7" t="s">
        <v>7</v>
      </c>
      <c r="B105" s="7" t="s">
        <v>7</v>
      </c>
      <c r="C105" s="30" t="s">
        <v>7</v>
      </c>
      <c r="D105" s="7" t="str">
        <f t="shared" ref="D105:D108" si="17">CONCATENATE("PIPE_",ROW())</f>
        <v>PIPE_105</v>
      </c>
      <c r="E105" s="7"/>
      <c r="F105" s="31">
        <f>(1*304.8+(4+3/8)*25.4)*0.001</f>
        <v>0.41592500000000004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60</v>
      </c>
      <c r="V105" s="7"/>
      <c r="X105" s="39">
        <f t="shared" si="14"/>
        <v>2.5478493555393392E-17</v>
      </c>
      <c r="Y105" s="39">
        <f t="shared" si="15"/>
        <v>0</v>
      </c>
      <c r="Z105" s="39">
        <f t="shared" si="16"/>
        <v>0.41592500000000004</v>
      </c>
    </row>
    <row r="106" spans="1:26" x14ac:dyDescent="0.3">
      <c r="A106" s="7" t="s">
        <v>7</v>
      </c>
      <c r="B106" s="7" t="s">
        <v>7</v>
      </c>
      <c r="C106" s="30" t="s">
        <v>7</v>
      </c>
      <c r="D106" s="7" t="str">
        <f t="shared" si="17"/>
        <v>PIPE_106</v>
      </c>
      <c r="E106" s="7"/>
      <c r="F106" s="31">
        <f>(2*4.5+7+3/32)*0.0254</f>
        <v>0.40878124999999998</v>
      </c>
      <c r="G106" s="32">
        <v>0</v>
      </c>
      <c r="H106" s="32">
        <f>270-GetAngle_DyDz(6.5*25.4,305+3*25.4)</f>
        <v>246.58227506973051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60</v>
      </c>
      <c r="V106" s="7"/>
      <c r="X106" s="39">
        <f t="shared" si="14"/>
        <v>-0.16246266256606498</v>
      </c>
      <c r="Y106" s="39">
        <f t="shared" si="15"/>
        <v>-0.37511064184252013</v>
      </c>
      <c r="Z106" s="39">
        <f t="shared" si="16"/>
        <v>0.41592500000000004</v>
      </c>
    </row>
    <row r="107" spans="1:26" x14ac:dyDescent="0.3">
      <c r="A107" s="7" t="s">
        <v>7</v>
      </c>
      <c r="B107" s="7" t="s">
        <v>7</v>
      </c>
      <c r="C107" s="30" t="s">
        <v>7</v>
      </c>
      <c r="D107" s="7" t="str">
        <f t="shared" si="17"/>
        <v>PIPE_107</v>
      </c>
      <c r="E107" s="7"/>
      <c r="F107" s="31">
        <f>0.9559+0.838</f>
        <v>1.7938999999999998</v>
      </c>
      <c r="G107" s="32">
        <v>-90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88.9</v>
      </c>
      <c r="N107" s="33">
        <v>11.12</v>
      </c>
      <c r="O107" s="36">
        <v>1.5</v>
      </c>
      <c r="P107" s="36"/>
      <c r="Q107" s="7"/>
      <c r="R107" s="31"/>
      <c r="S107" s="7"/>
      <c r="T107" s="31"/>
      <c r="U107" s="7" t="s">
        <v>60</v>
      </c>
      <c r="V107" s="7"/>
      <c r="X107" s="39">
        <f t="shared" si="14"/>
        <v>-0.16246266256606487</v>
      </c>
      <c r="Y107" s="39">
        <f t="shared" si="15"/>
        <v>-0.37511064184252013</v>
      </c>
      <c r="Z107" s="39">
        <f t="shared" si="16"/>
        <v>-1.3779749999999997</v>
      </c>
    </row>
    <row r="108" spans="1:26" x14ac:dyDescent="0.3">
      <c r="A108" s="7" t="s">
        <v>7</v>
      </c>
      <c r="B108" s="7" t="s">
        <v>7</v>
      </c>
      <c r="C108" s="30" t="s">
        <v>7</v>
      </c>
      <c r="D108" s="7" t="str">
        <f t="shared" si="17"/>
        <v>PIPE_108</v>
      </c>
      <c r="E108" s="7"/>
      <c r="F108" s="31">
        <f>(2*304.8+(2+3/32)*25.4)*0.001</f>
        <v>0.66278124999999999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>
        <v>1.5</v>
      </c>
      <c r="P108" s="36"/>
      <c r="Q108" s="7"/>
      <c r="R108" s="31"/>
      <c r="S108" s="7"/>
      <c r="T108" s="31"/>
      <c r="U108" s="7" t="s">
        <v>60</v>
      </c>
      <c r="V108" s="7"/>
      <c r="X108" s="39">
        <f t="shared" si="14"/>
        <v>0.50031858743393509</v>
      </c>
      <c r="Y108" s="39">
        <f t="shared" si="15"/>
        <v>-0.37511064184252013</v>
      </c>
      <c r="Z108" s="39">
        <f t="shared" si="16"/>
        <v>-1.3779749999999997</v>
      </c>
    </row>
    <row r="109" spans="1:26" x14ac:dyDescent="0.3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0.50031858743393509</v>
      </c>
      <c r="Y109" s="39">
        <f t="shared" si="15"/>
        <v>-0.37511064184252013</v>
      </c>
      <c r="Z109" s="39">
        <f t="shared" si="16"/>
        <v>-1.3779749999999997</v>
      </c>
    </row>
    <row r="110" spans="1:26" x14ac:dyDescent="0.3">
      <c r="A110" s="7" t="s">
        <v>45</v>
      </c>
      <c r="B110" s="7" t="s">
        <v>10</v>
      </c>
      <c r="C110" s="30" t="s">
        <v>61</v>
      </c>
      <c r="D110" s="7" t="str">
        <f>CONCATENATE("JUNC_",ROW())</f>
        <v>JUNC_110</v>
      </c>
      <c r="E110" s="7"/>
      <c r="F110" s="31">
        <v>0</v>
      </c>
      <c r="G110" s="32">
        <v>0</v>
      </c>
      <c r="H110" s="32">
        <v>0</v>
      </c>
      <c r="I110" s="32">
        <v>0</v>
      </c>
      <c r="J110" s="29">
        <v>0</v>
      </c>
      <c r="K110" s="29">
        <v>0</v>
      </c>
      <c r="L110" s="29">
        <v>0</v>
      </c>
      <c r="M110" s="33">
        <v>88.9</v>
      </c>
      <c r="N110" s="33">
        <v>11.12</v>
      </c>
      <c r="O110" s="36"/>
      <c r="P110" s="36"/>
      <c r="Q110" s="7" t="str">
        <f ca="1">OFFSET($A$1,ROW()-3,3)</f>
        <v>PIPE_108</v>
      </c>
      <c r="R110" s="31" t="s">
        <v>42</v>
      </c>
      <c r="S110" s="7" t="str">
        <f ca="1">OFFSET($A$1,ROW()+1,3)</f>
        <v>PIPE_112</v>
      </c>
      <c r="T110" s="31" t="s">
        <v>41</v>
      </c>
      <c r="U110" s="7"/>
      <c r="V110" s="7"/>
      <c r="X110" s="39">
        <f t="shared" si="14"/>
        <v>0.50031858743393509</v>
      </c>
      <c r="Y110" s="39">
        <f t="shared" si="15"/>
        <v>-0.37511064184252013</v>
      </c>
      <c r="Z110" s="39">
        <f t="shared" si="16"/>
        <v>-1.3779749999999997</v>
      </c>
    </row>
    <row r="111" spans="1:26" x14ac:dyDescent="0.3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  <c r="X111" s="39">
        <f t="shared" si="14"/>
        <v>0.50031858743393509</v>
      </c>
      <c r="Y111" s="39">
        <f t="shared" si="15"/>
        <v>-0.37511064184252013</v>
      </c>
      <c r="Z111" s="39">
        <f t="shared" si="16"/>
        <v>-1.3779749999999997</v>
      </c>
    </row>
    <row r="112" spans="1:26" x14ac:dyDescent="0.3">
      <c r="A112" s="7" t="s">
        <v>7</v>
      </c>
      <c r="B112" s="7" t="s">
        <v>7</v>
      </c>
      <c r="C112" s="30" t="s">
        <v>7</v>
      </c>
      <c r="D112" s="7" t="str">
        <f t="shared" ref="D112:D114" si="18">CONCATENATE("PIPE_",ROW())</f>
        <v>PIPE_112</v>
      </c>
      <c r="E112" s="7"/>
      <c r="F112" s="31">
        <f>(9+1/2)*25.4*0.001</f>
        <v>0.24129999999999999</v>
      </c>
      <c r="G112" s="32">
        <v>0</v>
      </c>
      <c r="H112" s="32">
        <v>0</v>
      </c>
      <c r="I112" s="32">
        <v>0</v>
      </c>
      <c r="J112" s="29">
        <v>0</v>
      </c>
      <c r="K112" s="29">
        <v>0</v>
      </c>
      <c r="L112" s="29">
        <v>0</v>
      </c>
      <c r="M112" s="33">
        <v>88.9</v>
      </c>
      <c r="N112" s="33">
        <v>11.12</v>
      </c>
      <c r="O112" s="36">
        <v>1.5</v>
      </c>
      <c r="P112" s="36"/>
      <c r="Q112" s="7"/>
      <c r="R112" s="31"/>
      <c r="S112" s="7"/>
      <c r="T112" s="31"/>
      <c r="U112" s="7" t="s">
        <v>60</v>
      </c>
      <c r="V112" s="7"/>
      <c r="X112" s="39">
        <f t="shared" si="14"/>
        <v>0.74161858743393505</v>
      </c>
      <c r="Y112" s="39">
        <f t="shared" si="15"/>
        <v>-0.37511064184252013</v>
      </c>
      <c r="Z112" s="39">
        <f t="shared" si="16"/>
        <v>-1.3779749999999997</v>
      </c>
    </row>
    <row r="113" spans="1:26" x14ac:dyDescent="0.3">
      <c r="A113" s="7" t="s">
        <v>7</v>
      </c>
      <c r="B113" s="7" t="s">
        <v>7</v>
      </c>
      <c r="C113" s="30" t="s">
        <v>7</v>
      </c>
      <c r="D113" s="7" t="str">
        <f t="shared" si="18"/>
        <v>PIPE_113</v>
      </c>
      <c r="E113" s="7"/>
      <c r="F113" s="31">
        <v>0.54</v>
      </c>
      <c r="G113" s="32">
        <v>90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>
        <v>1.5</v>
      </c>
      <c r="P113" s="36"/>
      <c r="Q113" s="7"/>
      <c r="R113" s="31"/>
      <c r="S113" s="7"/>
      <c r="T113" s="31"/>
      <c r="U113" s="7" t="s">
        <v>60</v>
      </c>
      <c r="V113" s="7"/>
      <c r="X113" s="39">
        <f t="shared" si="14"/>
        <v>0.74161858743393505</v>
      </c>
      <c r="Y113" s="39">
        <f t="shared" si="15"/>
        <v>-0.37511064184252013</v>
      </c>
      <c r="Z113" s="39">
        <f t="shared" si="16"/>
        <v>-0.83797499999999969</v>
      </c>
    </row>
    <row r="114" spans="1:26" x14ac:dyDescent="0.3">
      <c r="A114" s="7" t="s">
        <v>7</v>
      </c>
      <c r="B114" s="7" t="s">
        <v>7</v>
      </c>
      <c r="C114" s="30" t="s">
        <v>7</v>
      </c>
      <c r="D114" s="7" t="str">
        <f t="shared" si="18"/>
        <v>PIPE_114</v>
      </c>
      <c r="E114" s="7"/>
      <c r="F114" s="31">
        <v>0.37511</v>
      </c>
      <c r="G114" s="32">
        <v>0</v>
      </c>
      <c r="H114" s="32">
        <v>90</v>
      </c>
      <c r="I114" s="32">
        <v>0</v>
      </c>
      <c r="J114" s="29">
        <v>0</v>
      </c>
      <c r="K114" s="29">
        <v>0</v>
      </c>
      <c r="L114" s="29">
        <v>0</v>
      </c>
      <c r="M114" s="33">
        <v>88.9</v>
      </c>
      <c r="N114" s="33">
        <v>11.12</v>
      </c>
      <c r="O114" s="36">
        <v>1.5</v>
      </c>
      <c r="P114" s="36"/>
      <c r="Q114" s="7"/>
      <c r="R114" s="31"/>
      <c r="S114" s="7"/>
      <c r="T114" s="31"/>
      <c r="U114" s="7" t="s">
        <v>60</v>
      </c>
      <c r="V114" s="7"/>
      <c r="X114" s="39">
        <f t="shared" si="14"/>
        <v>0.74161858743393505</v>
      </c>
      <c r="Y114" s="39">
        <f t="shared" si="15"/>
        <v>-6.4184252013266274E-7</v>
      </c>
      <c r="Z114" s="39">
        <f t="shared" si="16"/>
        <v>-0.83797499999999969</v>
      </c>
    </row>
    <row r="115" spans="1:26" x14ac:dyDescent="0.3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  <c r="X115" s="39">
        <f t="shared" si="14"/>
        <v>0.74161858743393505</v>
      </c>
      <c r="Y115" s="39">
        <f t="shared" si="15"/>
        <v>-6.4184252013266274E-7</v>
      </c>
      <c r="Z115" s="39">
        <f t="shared" si="16"/>
        <v>-0.83797499999999969</v>
      </c>
    </row>
    <row r="116" spans="1:26" x14ac:dyDescent="0.3">
      <c r="A116" s="7" t="s">
        <v>45</v>
      </c>
      <c r="B116" s="7" t="s">
        <v>10</v>
      </c>
      <c r="C116" s="30" t="s">
        <v>20</v>
      </c>
      <c r="D116" s="7" t="str">
        <f>CONCATENATE("JUNC_",ROW())</f>
        <v>JUNC_116</v>
      </c>
      <c r="E116" s="7"/>
      <c r="F116" s="31">
        <v>0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/>
      <c r="P116" s="36"/>
      <c r="Q116" s="7" t="str">
        <f ca="1">OFFSET($A$1,ROW()-3,3)</f>
        <v>PIPE_114</v>
      </c>
      <c r="R116" s="31" t="s">
        <v>42</v>
      </c>
      <c r="S116" s="7" t="str">
        <f>D99</f>
        <v>VOL_99</v>
      </c>
      <c r="T116" s="31">
        <v>0.4</v>
      </c>
      <c r="U116" s="7"/>
      <c r="V116" s="7"/>
      <c r="X116" s="39">
        <f t="shared" si="14"/>
        <v>0.74161858743393505</v>
      </c>
      <c r="Y116" s="39">
        <f t="shared" si="15"/>
        <v>-6.4184252013266274E-7</v>
      </c>
      <c r="Z116" s="39">
        <f t="shared" si="16"/>
        <v>-0.83797499999999969</v>
      </c>
    </row>
    <row r="117" spans="1:26" x14ac:dyDescent="0.3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  <c r="X117" s="39">
        <f t="shared" si="14"/>
        <v>0.74161858743393505</v>
      </c>
      <c r="Y117" s="39">
        <f t="shared" si="15"/>
        <v>-6.4184252013266274E-7</v>
      </c>
      <c r="Z117" s="39">
        <f t="shared" si="16"/>
        <v>-0.83797499999999969</v>
      </c>
    </row>
    <row r="118" spans="1:26" x14ac:dyDescent="0.3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6" x14ac:dyDescent="0.3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6" x14ac:dyDescent="0.3">
      <c r="A120" s="7" t="s">
        <v>82</v>
      </c>
      <c r="B120" s="7" t="s">
        <v>70</v>
      </c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6" x14ac:dyDescent="0.3">
      <c r="A121" s="7" t="s">
        <v>45</v>
      </c>
      <c r="B121" s="7" t="s">
        <v>10</v>
      </c>
      <c r="C121" s="30" t="s">
        <v>20</v>
      </c>
      <c r="D121" s="7" t="str">
        <f>CONCATENATE("JUNC_",ROW())</f>
        <v>JUNC_121</v>
      </c>
      <c r="E121" s="7"/>
      <c r="F121" s="31">
        <v>0</v>
      </c>
      <c r="G121" s="32">
        <v>0</v>
      </c>
      <c r="H121" s="32">
        <v>0</v>
      </c>
      <c r="I121" s="32">
        <v>0</v>
      </c>
      <c r="J121" s="29">
        <v>0</v>
      </c>
      <c r="K121" s="29">
        <v>0</v>
      </c>
      <c r="L121" s="29">
        <v>0</v>
      </c>
      <c r="M121" s="33">
        <v>88.9</v>
      </c>
      <c r="N121" s="33">
        <v>11.12</v>
      </c>
      <c r="O121" s="36"/>
      <c r="P121" s="36"/>
      <c r="Q121" s="7" t="str">
        <f>D99</f>
        <v>VOL_99</v>
      </c>
      <c r="R121" s="31">
        <v>0.4</v>
      </c>
      <c r="S121" s="7" t="str">
        <f ca="1">OFFSET($A$1,ROW()+1,3)</f>
        <v>PIPE_123</v>
      </c>
      <c r="T121" s="31" t="s">
        <v>41</v>
      </c>
      <c r="U121" s="7"/>
      <c r="V121" s="7"/>
      <c r="X121" s="39">
        <f t="shared" ref="X121:X128" si="19">IF(OR(A121="volume",A121="pipe",A121="junction"),X120+F121*COS(G121*PI()/180)*COS(H121*PI()/180)+J121,X120)</f>
        <v>0</v>
      </c>
      <c r="Y121" s="39">
        <f t="shared" ref="Y121:Y128" si="20">IF(OR(A121="volume",A121="pipe",A121="junction"),Y120+F121*COS(G121*PI()/180)*SIN(H121*PI()/180)+K121,Y120)</f>
        <v>0</v>
      </c>
      <c r="Z121" s="39">
        <f t="shared" ref="Z121:Z128" si="21">IF(OR(A121="volume",A121="pipe",A121="junction"),Z120+F121*SIN(G121*PI()/180)+L121,Z120)</f>
        <v>0</v>
      </c>
    </row>
    <row r="122" spans="1:26" x14ac:dyDescent="0.3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  <c r="X122" s="39">
        <f t="shared" si="19"/>
        <v>0</v>
      </c>
      <c r="Y122" s="39">
        <f t="shared" si="20"/>
        <v>0</v>
      </c>
      <c r="Z122" s="39">
        <f t="shared" si="21"/>
        <v>0</v>
      </c>
    </row>
    <row r="123" spans="1:26" x14ac:dyDescent="0.3">
      <c r="A123" s="7" t="s">
        <v>7</v>
      </c>
      <c r="B123" s="7" t="s">
        <v>7</v>
      </c>
      <c r="C123" s="30" t="s">
        <v>7</v>
      </c>
      <c r="D123" s="7" t="str">
        <f t="shared" ref="D123:D127" si="22">CONCATENATE("PIPE_",ROW())</f>
        <v>PIPE_123</v>
      </c>
      <c r="E123" s="7"/>
      <c r="F123" s="31">
        <f>0.38/COS(45*PI()/180)</f>
        <v>0.5374011537017761</v>
      </c>
      <c r="G123" s="32">
        <v>45</v>
      </c>
      <c r="H123" s="32">
        <v>270</v>
      </c>
      <c r="I123" s="32">
        <v>0</v>
      </c>
      <c r="J123" s="29">
        <v>0</v>
      </c>
      <c r="K123" s="29">
        <v>0</v>
      </c>
      <c r="L123" s="29">
        <v>0</v>
      </c>
      <c r="M123" s="33">
        <v>88.9</v>
      </c>
      <c r="N123" s="33">
        <v>11.12</v>
      </c>
      <c r="O123" s="36">
        <v>1.5</v>
      </c>
      <c r="P123" s="36"/>
      <c r="Q123" s="7"/>
      <c r="R123" s="31"/>
      <c r="S123" s="7"/>
      <c r="T123" s="31"/>
      <c r="U123" s="7" t="s">
        <v>60</v>
      </c>
      <c r="V123" s="7"/>
      <c r="X123" s="39">
        <f t="shared" si="19"/>
        <v>-6.9833461929791343E-17</v>
      </c>
      <c r="Y123" s="39">
        <f t="shared" si="20"/>
        <v>-0.38</v>
      </c>
      <c r="Z123" s="39">
        <f t="shared" si="21"/>
        <v>0.37999999999999995</v>
      </c>
    </row>
    <row r="124" spans="1:26" x14ac:dyDescent="0.3">
      <c r="A124" s="7" t="s">
        <v>7</v>
      </c>
      <c r="B124" s="7" t="s">
        <v>7</v>
      </c>
      <c r="C124" s="30" t="s">
        <v>7</v>
      </c>
      <c r="D124" s="7" t="str">
        <f t="shared" si="22"/>
        <v>PIPE_124</v>
      </c>
      <c r="E124" s="7"/>
      <c r="F124" s="31">
        <v>0.4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>
        <v>1.5</v>
      </c>
      <c r="P124" s="36"/>
      <c r="Q124" s="7"/>
      <c r="R124" s="31"/>
      <c r="S124" s="7"/>
      <c r="T124" s="31"/>
      <c r="U124" s="7" t="s">
        <v>60</v>
      </c>
      <c r="V124" s="7"/>
      <c r="X124" s="39">
        <f t="shared" si="19"/>
        <v>0.39999999999999997</v>
      </c>
      <c r="Y124" s="39">
        <f t="shared" si="20"/>
        <v>-0.38</v>
      </c>
      <c r="Z124" s="39">
        <f t="shared" si="21"/>
        <v>0.37999999999999995</v>
      </c>
    </row>
    <row r="125" spans="1:26" x14ac:dyDescent="0.3">
      <c r="A125" s="7" t="s">
        <v>7</v>
      </c>
      <c r="B125" s="7" t="s">
        <v>7</v>
      </c>
      <c r="C125" s="30" t="s">
        <v>7</v>
      </c>
      <c r="D125" s="7" t="str">
        <f t="shared" si="22"/>
        <v>PIPE_125</v>
      </c>
      <c r="E125" s="7"/>
      <c r="F125" s="31">
        <v>0.86</v>
      </c>
      <c r="G125" s="32">
        <v>90</v>
      </c>
      <c r="H125" s="32">
        <v>0</v>
      </c>
      <c r="I125" s="32">
        <v>0</v>
      </c>
      <c r="J125" s="29">
        <v>0</v>
      </c>
      <c r="K125" s="29">
        <v>0</v>
      </c>
      <c r="L125" s="29">
        <v>0</v>
      </c>
      <c r="M125" s="33">
        <v>88.9</v>
      </c>
      <c r="N125" s="33">
        <v>11.12</v>
      </c>
      <c r="O125" s="36">
        <v>1.5</v>
      </c>
      <c r="P125" s="36"/>
      <c r="Q125" s="7"/>
      <c r="R125" s="31"/>
      <c r="S125" s="7"/>
      <c r="T125" s="31"/>
      <c r="U125" s="7" t="s">
        <v>60</v>
      </c>
      <c r="V125" s="7"/>
      <c r="X125" s="39">
        <f t="shared" si="19"/>
        <v>0.4</v>
      </c>
      <c r="Y125" s="39">
        <f t="shared" si="20"/>
        <v>-0.38</v>
      </c>
      <c r="Z125" s="39">
        <f t="shared" si="21"/>
        <v>1.24</v>
      </c>
    </row>
    <row r="126" spans="1:26" x14ac:dyDescent="0.3">
      <c r="A126" s="7" t="s">
        <v>7</v>
      </c>
      <c r="B126" s="7" t="s">
        <v>7</v>
      </c>
      <c r="C126" s="30" t="s">
        <v>7</v>
      </c>
      <c r="D126" s="7" t="str">
        <f t="shared" si="22"/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-0.4</v>
      </c>
      <c r="K126" s="29">
        <v>-0.2</v>
      </c>
      <c r="L126" s="29">
        <v>0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60</v>
      </c>
      <c r="V126" s="7"/>
      <c r="X126" s="39">
        <f t="shared" si="19"/>
        <v>0</v>
      </c>
      <c r="Y126" s="39">
        <f t="shared" si="20"/>
        <v>-0.58000000000000007</v>
      </c>
      <c r="Z126" s="39">
        <f t="shared" si="21"/>
        <v>1.24</v>
      </c>
    </row>
    <row r="127" spans="1:26" x14ac:dyDescent="0.3">
      <c r="A127" s="7" t="s">
        <v>7</v>
      </c>
      <c r="B127" s="7" t="s">
        <v>7</v>
      </c>
      <c r="C127" s="30" t="s">
        <v>7</v>
      </c>
      <c r="D127" s="7" t="str">
        <f t="shared" si="22"/>
        <v>PIPE_127</v>
      </c>
      <c r="E127" s="7"/>
      <c r="F127" s="31">
        <v>0</v>
      </c>
      <c r="G127" s="32">
        <v>0</v>
      </c>
      <c r="H127" s="32">
        <v>90</v>
      </c>
      <c r="I127" s="32">
        <v>0</v>
      </c>
      <c r="J127" s="29">
        <v>0</v>
      </c>
      <c r="K127" s="29">
        <v>-0.18099999999999999</v>
      </c>
      <c r="L127" s="29">
        <v>-0.41499999999999998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60</v>
      </c>
      <c r="V127" s="7"/>
      <c r="X127" s="39">
        <f t="shared" si="19"/>
        <v>0</v>
      </c>
      <c r="Y127" s="39">
        <f t="shared" si="20"/>
        <v>-0.76100000000000012</v>
      </c>
      <c r="Z127" s="39">
        <f t="shared" si="21"/>
        <v>0.82499999999999996</v>
      </c>
    </row>
    <row r="128" spans="1:26" x14ac:dyDescent="0.3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  <c r="X128" s="39">
        <f t="shared" si="19"/>
        <v>0</v>
      </c>
      <c r="Y128" s="39">
        <f t="shared" si="20"/>
        <v>-0.76100000000000012</v>
      </c>
      <c r="Z128" s="39">
        <f t="shared" si="21"/>
        <v>0.82499999999999996</v>
      </c>
    </row>
    <row r="129" spans="1:26" x14ac:dyDescent="0.3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6" x14ac:dyDescent="0.3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6" x14ac:dyDescent="0.3">
      <c r="A131" s="7" t="s">
        <v>82</v>
      </c>
      <c r="B131" s="7" t="s">
        <v>68</v>
      </c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6" x14ac:dyDescent="0.3">
      <c r="A132" s="7" t="s">
        <v>45</v>
      </c>
      <c r="B132" s="7" t="s">
        <v>10</v>
      </c>
      <c r="C132" s="30" t="s">
        <v>20</v>
      </c>
      <c r="D132" s="7" t="str">
        <f>CONCATENATE("JUNC_",ROW())</f>
        <v>JUNC_132</v>
      </c>
      <c r="E132" s="7"/>
      <c r="F132" s="31">
        <v>0</v>
      </c>
      <c r="G132" s="32">
        <v>0</v>
      </c>
      <c r="H132" s="32">
        <v>0</v>
      </c>
      <c r="I132" s="32">
        <v>0</v>
      </c>
      <c r="J132" s="29">
        <v>0</v>
      </c>
      <c r="K132" s="29">
        <v>0</v>
      </c>
      <c r="L132" s="29">
        <v>0</v>
      </c>
      <c r="M132" s="33">
        <v>88.9</v>
      </c>
      <c r="N132" s="33">
        <v>11.12</v>
      </c>
      <c r="O132" s="36"/>
      <c r="P132" s="36"/>
      <c r="Q132" s="7" t="str">
        <f>D94</f>
        <v>VOL_94</v>
      </c>
      <c r="R132" s="31">
        <v>0.4</v>
      </c>
      <c r="S132" s="7" t="str">
        <f ca="1">OFFSET($A$1,ROW()+1,3)</f>
        <v>PIPE_134</v>
      </c>
      <c r="T132" s="31" t="s">
        <v>41</v>
      </c>
      <c r="U132" s="7"/>
      <c r="V132" s="7"/>
      <c r="X132" s="39">
        <f t="shared" ref="X132:X139" si="23">IF(OR(A132="volume",A132="pipe",A132="junction"),X131+F132*COS(G132*PI()/180)*COS(H132*PI()/180)+J132,X131)</f>
        <v>0</v>
      </c>
      <c r="Y132" s="39">
        <f t="shared" ref="Y132:Y139" si="24">IF(OR(A132="volume",A132="pipe",A132="junction"),Y131+F132*COS(G132*PI()/180)*SIN(H132*PI()/180)+K132,Y131)</f>
        <v>0</v>
      </c>
      <c r="Z132" s="39">
        <f t="shared" ref="Z132:Z139" si="25">IF(OR(A132="volume",A132="pipe",A132="junction"),Z131+F132*SIN(G132*PI()/180)+L132,Z131)</f>
        <v>0</v>
      </c>
    </row>
    <row r="133" spans="1:26" x14ac:dyDescent="0.3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  <c r="X133" s="39">
        <f t="shared" si="23"/>
        <v>0</v>
      </c>
      <c r="Y133" s="39">
        <f t="shared" si="24"/>
        <v>0</v>
      </c>
      <c r="Z133" s="39">
        <f t="shared" si="25"/>
        <v>0</v>
      </c>
    </row>
    <row r="134" spans="1:26" x14ac:dyDescent="0.3">
      <c r="A134" s="7" t="s">
        <v>7</v>
      </c>
      <c r="B134" s="7" t="s">
        <v>7</v>
      </c>
      <c r="C134" s="30" t="s">
        <v>7</v>
      </c>
      <c r="D134" s="7" t="str">
        <f t="shared" ref="D134:D138" si="26">CONCATENATE("PIPE_",ROW())</f>
        <v>PIPE_134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-0.18099999999999999</v>
      </c>
      <c r="L134" s="29">
        <v>0.41499999999999998</v>
      </c>
      <c r="M134" s="33">
        <v>88.9</v>
      </c>
      <c r="N134" s="33">
        <v>11.12</v>
      </c>
      <c r="O134" s="36">
        <v>1.5</v>
      </c>
      <c r="P134" s="36"/>
      <c r="Q134" s="7"/>
      <c r="R134" s="31"/>
      <c r="S134" s="7"/>
      <c r="T134" s="31"/>
      <c r="U134" s="7" t="s">
        <v>60</v>
      </c>
      <c r="V134" s="7"/>
      <c r="X134" s="39">
        <f t="shared" si="23"/>
        <v>0</v>
      </c>
      <c r="Y134" s="39">
        <f t="shared" si="24"/>
        <v>-0.18099999999999999</v>
      </c>
      <c r="Z134" s="39">
        <f t="shared" si="25"/>
        <v>0.41499999999999998</v>
      </c>
    </row>
    <row r="135" spans="1:26" x14ac:dyDescent="0.3">
      <c r="A135" s="7" t="s">
        <v>7</v>
      </c>
      <c r="B135" s="7" t="s">
        <v>7</v>
      </c>
      <c r="C135" s="30" t="s">
        <v>7</v>
      </c>
      <c r="D135" s="7" t="str">
        <f t="shared" si="26"/>
        <v>PIPE_135</v>
      </c>
      <c r="E135" s="7"/>
      <c r="F135" s="31">
        <v>0</v>
      </c>
      <c r="G135" s="32">
        <v>0</v>
      </c>
      <c r="H135" s="32">
        <v>0</v>
      </c>
      <c r="I135" s="32">
        <v>0</v>
      </c>
      <c r="J135" s="29">
        <v>0.4</v>
      </c>
      <c r="K135" s="29">
        <v>-0.2</v>
      </c>
      <c r="L135" s="29">
        <v>0</v>
      </c>
      <c r="M135" s="33">
        <v>88.9</v>
      </c>
      <c r="N135" s="33">
        <v>11.12</v>
      </c>
      <c r="O135" s="36">
        <v>1.5</v>
      </c>
      <c r="P135" s="36"/>
      <c r="Q135" s="7"/>
      <c r="R135" s="31"/>
      <c r="S135" s="7"/>
      <c r="T135" s="31"/>
      <c r="U135" s="7" t="s">
        <v>60</v>
      </c>
      <c r="V135" s="7"/>
      <c r="X135" s="39">
        <f t="shared" si="23"/>
        <v>0.4</v>
      </c>
      <c r="Y135" s="39">
        <f t="shared" si="24"/>
        <v>-0.38100000000000001</v>
      </c>
      <c r="Z135" s="39">
        <f t="shared" si="25"/>
        <v>0.41499999999999998</v>
      </c>
    </row>
    <row r="136" spans="1:26" x14ac:dyDescent="0.3">
      <c r="A136" s="7" t="s">
        <v>7</v>
      </c>
      <c r="B136" s="7" t="s">
        <v>7</v>
      </c>
      <c r="C136" s="30" t="s">
        <v>7</v>
      </c>
      <c r="D136" s="7" t="str">
        <f t="shared" si="26"/>
        <v>PIPE_136</v>
      </c>
      <c r="E136" s="7"/>
      <c r="F136" s="31">
        <v>0</v>
      </c>
      <c r="G136" s="32">
        <v>0</v>
      </c>
      <c r="H136" s="32">
        <v>0</v>
      </c>
      <c r="I136" s="32">
        <v>0</v>
      </c>
      <c r="J136" s="29">
        <v>0</v>
      </c>
      <c r="K136" s="29">
        <v>0</v>
      </c>
      <c r="L136" s="29">
        <f>-0.415-0.838</f>
        <v>-1.2529999999999999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60</v>
      </c>
      <c r="V136" s="7"/>
      <c r="X136" s="39">
        <f t="shared" si="23"/>
        <v>0.4</v>
      </c>
      <c r="Y136" s="39">
        <f t="shared" si="24"/>
        <v>-0.38100000000000001</v>
      </c>
      <c r="Z136" s="39">
        <f t="shared" si="25"/>
        <v>-0.83799999999999986</v>
      </c>
    </row>
    <row r="137" spans="1:26" x14ac:dyDescent="0.3">
      <c r="A137" s="7" t="s">
        <v>7</v>
      </c>
      <c r="B137" s="7" t="s">
        <v>7</v>
      </c>
      <c r="C137" s="30" t="s">
        <v>7</v>
      </c>
      <c r="D137" s="7" t="str">
        <f t="shared" si="26"/>
        <v>PIPE_137</v>
      </c>
      <c r="E137" s="7"/>
      <c r="F137" s="31">
        <v>0</v>
      </c>
      <c r="G137" s="32">
        <v>0</v>
      </c>
      <c r="H137" s="32">
        <v>0</v>
      </c>
      <c r="I137" s="32">
        <v>0</v>
      </c>
      <c r="J137" s="29">
        <v>-0.4</v>
      </c>
      <c r="K137" s="29">
        <v>0</v>
      </c>
      <c r="L137" s="29">
        <v>0</v>
      </c>
      <c r="M137" s="33">
        <v>88.9</v>
      </c>
      <c r="N137" s="33">
        <v>11.12</v>
      </c>
      <c r="O137" s="36">
        <v>1.5</v>
      </c>
      <c r="P137" s="36"/>
      <c r="Q137" s="7"/>
      <c r="R137" s="31"/>
      <c r="S137" s="7"/>
      <c r="T137" s="31"/>
      <c r="U137" s="7" t="s">
        <v>60</v>
      </c>
      <c r="V137" s="7"/>
      <c r="X137" s="39">
        <f t="shared" si="23"/>
        <v>0</v>
      </c>
      <c r="Y137" s="39">
        <f t="shared" si="24"/>
        <v>-0.38100000000000001</v>
      </c>
      <c r="Z137" s="39">
        <f t="shared" si="25"/>
        <v>-0.83799999999999986</v>
      </c>
    </row>
    <row r="138" spans="1:26" x14ac:dyDescent="0.3">
      <c r="A138" s="7" t="s">
        <v>7</v>
      </c>
      <c r="B138" s="7" t="s">
        <v>7</v>
      </c>
      <c r="C138" s="30" t="s">
        <v>7</v>
      </c>
      <c r="D138" s="7" t="str">
        <f t="shared" si="26"/>
        <v>PIPE_138</v>
      </c>
      <c r="E138" s="7"/>
      <c r="F138" s="31">
        <v>0</v>
      </c>
      <c r="G138" s="32">
        <v>0</v>
      </c>
      <c r="H138" s="32">
        <v>0</v>
      </c>
      <c r="I138" s="32">
        <v>0</v>
      </c>
      <c r="J138" s="29">
        <v>0</v>
      </c>
      <c r="K138" s="29">
        <v>0.38100000000000001</v>
      </c>
      <c r="L138" s="29">
        <v>0</v>
      </c>
      <c r="M138" s="33">
        <v>88.9</v>
      </c>
      <c r="N138" s="33">
        <v>11.12</v>
      </c>
      <c r="O138" s="36">
        <v>1.5</v>
      </c>
      <c r="P138" s="36"/>
      <c r="Q138" s="7"/>
      <c r="R138" s="31"/>
      <c r="S138" s="7"/>
      <c r="T138" s="31"/>
      <c r="U138" s="7" t="s">
        <v>60</v>
      </c>
      <c r="V138" s="7"/>
      <c r="X138" s="39">
        <f t="shared" si="23"/>
        <v>0</v>
      </c>
      <c r="Y138" s="39">
        <f t="shared" si="24"/>
        <v>0</v>
      </c>
      <c r="Z138" s="39">
        <f t="shared" si="25"/>
        <v>-0.83799999999999986</v>
      </c>
    </row>
    <row r="139" spans="1:26" x14ac:dyDescent="0.3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  <c r="X139" s="39">
        <f t="shared" si="23"/>
        <v>0</v>
      </c>
      <c r="Y139" s="39">
        <f t="shared" si="24"/>
        <v>0</v>
      </c>
      <c r="Z139" s="39">
        <f t="shared" si="25"/>
        <v>-0.83799999999999986</v>
      </c>
    </row>
    <row r="140" spans="1:26" x14ac:dyDescent="0.3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3">
      <c r="A141" s="7" t="s">
        <v>82</v>
      </c>
      <c r="B141" s="7" t="s">
        <v>69</v>
      </c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3">
      <c r="A142" s="7" t="s">
        <v>45</v>
      </c>
      <c r="B142" s="7" t="s">
        <v>10</v>
      </c>
      <c r="C142" s="30" t="s">
        <v>20</v>
      </c>
      <c r="D142" s="7" t="str">
        <f>CONCATENATE("JUNC_",ROW())</f>
        <v>JUNC_142</v>
      </c>
      <c r="E142" s="7"/>
      <c r="F142" s="31">
        <v>0</v>
      </c>
      <c r="G142" s="32">
        <v>0</v>
      </c>
      <c r="H142" s="32">
        <v>0</v>
      </c>
      <c r="I142" s="32">
        <v>0</v>
      </c>
      <c r="J142" s="29">
        <v>0</v>
      </c>
      <c r="K142" s="29">
        <v>0</v>
      </c>
      <c r="L142" s="29">
        <v>0</v>
      </c>
      <c r="M142" s="33">
        <v>88.9</v>
      </c>
      <c r="N142" s="33">
        <v>11.12</v>
      </c>
      <c r="O142" s="36"/>
      <c r="P142" s="36"/>
      <c r="Q142" s="7" t="str">
        <f>D99</f>
        <v>VOL_99</v>
      </c>
      <c r="R142" s="31">
        <v>0.4</v>
      </c>
      <c r="S142" s="7" t="str">
        <f ca="1">OFFSET($A$1,ROW()+1,3)</f>
        <v>PIPE_144</v>
      </c>
      <c r="T142" s="31" t="s">
        <v>41</v>
      </c>
      <c r="U142" s="7"/>
      <c r="V142" s="7"/>
      <c r="X142" s="39">
        <f>IF(OR(A142="volume",A142="pipe",A142="junction"),X141+F142*COS(G142*PI()/180)*COS(H142*PI()/180)+J142,X141)</f>
        <v>0</v>
      </c>
      <c r="Y142" s="39">
        <f>IF(OR(A142="volume",A142="pipe",A142="junction"),Y141+F142*COS(G142*PI()/180)*SIN(H142*PI()/180)+K142,Y141)</f>
        <v>0</v>
      </c>
      <c r="Z142" s="39">
        <f>IF(OR(A142="volume",A142="pipe",A142="junction"),Z141+F142*SIN(G142*PI()/180)+L142,Z141)</f>
        <v>0</v>
      </c>
    </row>
    <row r="143" spans="1:26" x14ac:dyDescent="0.3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  <c r="X143" s="39">
        <f>IF(OR(A143="volume",A143="pipe",A143="junction"),X142+F143*COS(G143*PI()/180)*COS(H143*PI()/180)+J143,X142)</f>
        <v>0</v>
      </c>
      <c r="Y143" s="39">
        <f>IF(OR(A143="volume",A143="pipe",A143="junction"),Y142+F143*COS(G143*PI()/180)*SIN(H143*PI()/180)+K143,Y142)</f>
        <v>0</v>
      </c>
      <c r="Z143" s="39">
        <f>IF(OR(A143="volume",A143="pipe",A143="junction"),Z142+F143*SIN(G143*PI()/180)+L143,Z142)</f>
        <v>0</v>
      </c>
    </row>
    <row r="144" spans="1:26" x14ac:dyDescent="0.3">
      <c r="A144" s="7" t="s">
        <v>7</v>
      </c>
      <c r="B144" s="7" t="s">
        <v>7</v>
      </c>
      <c r="C144" s="30" t="s">
        <v>7</v>
      </c>
      <c r="D144" s="7" t="str">
        <f t="shared" ref="D144" si="27">CONCATENATE("PIPE_",ROW())</f>
        <v>PIPE_144</v>
      </c>
      <c r="E144" s="7"/>
      <c r="F144" s="31">
        <v>0.56999999999999995</v>
      </c>
      <c r="G144" s="32">
        <f>-(90-35)</f>
        <v>-55</v>
      </c>
      <c r="H144" s="32">
        <v>90</v>
      </c>
      <c r="I144" s="32">
        <v>0</v>
      </c>
      <c r="J144" s="29">
        <v>0</v>
      </c>
      <c r="K144" s="29">
        <v>0</v>
      </c>
      <c r="L144" s="29">
        <v>0</v>
      </c>
      <c r="M144" s="33">
        <v>88.9</v>
      </c>
      <c r="N144" s="33">
        <v>11.12</v>
      </c>
      <c r="O144" s="36">
        <v>1.5</v>
      </c>
      <c r="P144" s="36"/>
      <c r="Q144" s="7"/>
      <c r="R144" s="31"/>
      <c r="S144" s="7"/>
      <c r="T144" s="31"/>
      <c r="U144" s="7" t="s">
        <v>60</v>
      </c>
      <c r="V144" s="7"/>
      <c r="X144" s="39">
        <f>IF(OR(A144="volume",A144="pipe",A144="junction"),X143+F144*COS(G144*PI()/180)*COS(H144*PI()/180)+J144,X143)</f>
        <v>2.0027414115873083E-17</v>
      </c>
      <c r="Y144" s="39">
        <f>IF(OR(A144="volume",A144="pipe",A144="junction"),Y143+F144*COS(G144*PI()/180)*SIN(H144*PI()/180)+K144,Y143)</f>
        <v>0.3269385687200963</v>
      </c>
      <c r="Z144" s="39">
        <f>IF(OR(A144="volume",A144="pipe",A144="junction"),Z143+F144*SIN(G144*PI()/180)+L144,Z143)</f>
        <v>-0.4669166652447253</v>
      </c>
    </row>
    <row r="145" spans="1:26" x14ac:dyDescent="0.3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  <c r="X145" s="39">
        <f>IF(OR(A145="volume",A145="pipe",A145="junction"),X144+F145*COS(G145*PI()/180)*COS(H145*PI()/180)+J145,X144)</f>
        <v>2.0027414115873083E-17</v>
      </c>
      <c r="Y145" s="39">
        <f>IF(OR(A145="volume",A145="pipe",A145="junction"),Y144+F145*COS(G145*PI()/180)*SIN(H145*PI()/180)+K145,Y144)</f>
        <v>0.3269385687200963</v>
      </c>
      <c r="Z145" s="39">
        <f>IF(OR(A145="volume",A145="pipe",A145="junction"),Z144+F145*SIN(G145*PI()/180)+L145,Z144)</f>
        <v>-0.4669166652447253</v>
      </c>
    </row>
    <row r="146" spans="1:26" x14ac:dyDescent="0.3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6" x14ac:dyDescent="0.3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6" x14ac:dyDescent="0.3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6" x14ac:dyDescent="0.3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6" x14ac:dyDescent="0.3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6" x14ac:dyDescent="0.3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6" x14ac:dyDescent="0.3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6" x14ac:dyDescent="0.3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6" x14ac:dyDescent="0.3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6" x14ac:dyDescent="0.3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6" x14ac:dyDescent="0.3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6" x14ac:dyDescent="0.3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6" x14ac:dyDescent="0.3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6" x14ac:dyDescent="0.3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6" x14ac:dyDescent="0.3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3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3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3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3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3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3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3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3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3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3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3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3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3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3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3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3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3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3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3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3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3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3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3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3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3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3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3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3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3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3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3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3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3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3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3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3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3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3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3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3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3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3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3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3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3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3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3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3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3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3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3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3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3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3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3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3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3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3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3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3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3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3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3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3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3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3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3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3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3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3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3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3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3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3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3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3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3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3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3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3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3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3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3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3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3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3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3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3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3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3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3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3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3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3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3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3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3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3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3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3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3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3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3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3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3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3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3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3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3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3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3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3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3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3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3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3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3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3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3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3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3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3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3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3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3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3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3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3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3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3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3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3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3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3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3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3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3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3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3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3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3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3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3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3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3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3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3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3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3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3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3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3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3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3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3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3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3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3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3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3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3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3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3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3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3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3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3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3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3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3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3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3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3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3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3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3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3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3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3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3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3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3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3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3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3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149" priority="100" stopIfTrue="1">
      <formula>$A16="Pipe"</formula>
    </cfRule>
  </conditionalFormatting>
  <conditionalFormatting sqref="Q230:Q345 S230:S345 J230:J345 U230:U345 A230:A345 O230:O345 M230:M345">
    <cfRule type="expression" dxfId="148" priority="97">
      <formula>OR($A230="Pipe",$A230="Component",$A230="Volume")</formula>
    </cfRule>
  </conditionalFormatting>
  <conditionalFormatting sqref="T230:T345 R230:R345 E230:E345 L230:L345 P230:P345 V230:V345 N230:N345 I230:I345">
    <cfRule type="expression" dxfId="147" priority="98">
      <formula>OR($A230="Pipe",$A230="Component",$A230="Volume")</formula>
    </cfRule>
  </conditionalFormatting>
  <conditionalFormatting sqref="K230:K345 B230:D345 G230:H345">
    <cfRule type="expression" dxfId="146" priority="96">
      <formula>OR($A230="Pipe",$A230="Component",$A230="Volume")</formula>
    </cfRule>
  </conditionalFormatting>
  <conditionalFormatting sqref="U230:V345 A230:P345">
    <cfRule type="expression" dxfId="145" priority="95">
      <formula>$A230="Pipe"</formula>
    </cfRule>
  </conditionalFormatting>
  <conditionalFormatting sqref="Q230:T345">
    <cfRule type="expression" dxfId="144" priority="94">
      <formula>OR($A230="Volume",$A230="Pipe")</formula>
    </cfRule>
  </conditionalFormatting>
  <conditionalFormatting sqref="A230:V345">
    <cfRule type="expression" dxfId="143" priority="93">
      <formula>$A230="Component"</formula>
    </cfRule>
  </conditionalFormatting>
  <conditionalFormatting sqref="U230:V345 A230:P345">
    <cfRule type="expression" dxfId="142" priority="92">
      <formula>$A230="Volume"</formula>
    </cfRule>
  </conditionalFormatting>
  <conditionalFormatting sqref="J230:L345">
    <cfRule type="cellIs" dxfId="141" priority="91" operator="notEqual">
      <formula>0</formula>
    </cfRule>
  </conditionalFormatting>
  <conditionalFormatting sqref="F230:F345">
    <cfRule type="expression" dxfId="140" priority="99">
      <formula>OR($A230="Pipe",$A230="Component",$A230="Volume")</formula>
    </cfRule>
  </conditionalFormatting>
  <conditionalFormatting sqref="A228:P229">
    <cfRule type="expression" dxfId="129" priority="60">
      <formula>$A228="Pipe"</formula>
    </cfRule>
  </conditionalFormatting>
  <conditionalFormatting sqref="T228:V229">
    <cfRule type="expression" dxfId="128" priority="59">
      <formula>$A228="Pipe"</formula>
    </cfRule>
  </conditionalFormatting>
  <conditionalFormatting sqref="A228:P229">
    <cfRule type="expression" dxfId="127" priority="58">
      <formula>$A228="Volume"</formula>
    </cfRule>
  </conditionalFormatting>
  <conditionalFormatting sqref="T228:V229">
    <cfRule type="expression" dxfId="126" priority="57">
      <formula>$A228="Volume"</formula>
    </cfRule>
  </conditionalFormatting>
  <conditionalFormatting sqref="A228:V229">
    <cfRule type="expression" dxfId="125" priority="56">
      <formula>$A228="Junction"</formula>
    </cfRule>
  </conditionalFormatting>
  <conditionalFormatting sqref="A228:V229">
    <cfRule type="expression" dxfId="124" priority="55">
      <formula>$A228="Flowpath"</formula>
    </cfRule>
  </conditionalFormatting>
  <conditionalFormatting sqref="Q228:T229">
    <cfRule type="expression" dxfId="123" priority="54">
      <formula>OR($A228="Pipe",$A228="Volume")</formula>
    </cfRule>
  </conditionalFormatting>
  <conditionalFormatting sqref="J228:L229">
    <cfRule type="expression" dxfId="122" priority="53">
      <formula>AND(OR($A228="Junction",$A228="Pipe",$A228="Volume"),J228&lt;&gt;0)</formula>
    </cfRule>
  </conditionalFormatting>
  <conditionalFormatting sqref="R228:R229">
    <cfRule type="expression" dxfId="121" priority="52">
      <formula>AND($A228="Junction",ISNUMBER(R228))</formula>
    </cfRule>
  </conditionalFormatting>
  <conditionalFormatting sqref="T228:T229">
    <cfRule type="expression" dxfId="120" priority="51">
      <formula>AND($A228="Junction",ISNUMBER(T228))</formula>
    </cfRule>
  </conditionalFormatting>
  <conditionalFormatting sqref="B228:D229">
    <cfRule type="expression" dxfId="119" priority="50">
      <formula>OR($A228="Junction",$A228="Pipe",$A228="Volume")</formula>
    </cfRule>
  </conditionalFormatting>
  <conditionalFormatting sqref="F228:F229">
    <cfRule type="expression" dxfId="118" priority="49">
      <formula>OR($A228="Junction",$A228="Pipe",$A228="Volume")</formula>
    </cfRule>
  </conditionalFormatting>
  <conditionalFormatting sqref="H228:H229">
    <cfRule type="expression" dxfId="117" priority="48">
      <formula>OR($A228="Junction",$A228="Pipe",$A228="Volume")</formula>
    </cfRule>
  </conditionalFormatting>
  <conditionalFormatting sqref="K228:K229">
    <cfRule type="expression" dxfId="116" priority="47">
      <formula>OR($A228="Junction",$A228="Pipe",$A228="Volume")</formula>
    </cfRule>
  </conditionalFormatting>
  <conditionalFormatting sqref="A228:A229">
    <cfRule type="expression" dxfId="115" priority="46">
      <formula>OR($A228="Junction",$A228="Pipe",$A228="Volume")</formula>
    </cfRule>
  </conditionalFormatting>
  <conditionalFormatting sqref="G228:G229">
    <cfRule type="expression" dxfId="114" priority="45">
      <formula>OR($A228="Junction",$A228="Pipe",$A228="Volume")</formula>
    </cfRule>
  </conditionalFormatting>
  <conditionalFormatting sqref="J228:J229">
    <cfRule type="expression" dxfId="113" priority="44">
      <formula>OR($A228="Junction",$A228="Pipe",$A228="Volume")</formula>
    </cfRule>
  </conditionalFormatting>
  <conditionalFormatting sqref="M228:M229">
    <cfRule type="expression" dxfId="112" priority="43">
      <formula>OR($A228="Junction",$A228="Pipe",$A228="Volume")</formula>
    </cfRule>
  </conditionalFormatting>
  <conditionalFormatting sqref="O228:O229">
    <cfRule type="expression" dxfId="111" priority="42">
      <formula>OR($A228="Junction",$A228="Pipe",$A228="Volume")</formula>
    </cfRule>
  </conditionalFormatting>
  <conditionalFormatting sqref="Q228:Q229">
    <cfRule type="expression" dxfId="110" priority="41">
      <formula>OR($A228="Junction",$A228="Pipe",$A228="Volume")</formula>
    </cfRule>
  </conditionalFormatting>
  <conditionalFormatting sqref="S228:S229">
    <cfRule type="expression" dxfId="109" priority="40">
      <formula>OR($A228="Junction",$A228="Pipe",$A228="Volume")</formula>
    </cfRule>
  </conditionalFormatting>
  <conditionalFormatting sqref="U228:U229">
    <cfRule type="expression" dxfId="108" priority="39">
      <formula>OR($A228="Junction",$A228="Pipe",$A228="Volume")</formula>
    </cfRule>
  </conditionalFormatting>
  <conditionalFormatting sqref="E228:E229">
    <cfRule type="expression" dxfId="107" priority="38">
      <formula>OR($A228="Junction",$A228="Pipe",$A228="Volume")</formula>
    </cfRule>
  </conditionalFormatting>
  <conditionalFormatting sqref="I228:I229">
    <cfRule type="expression" dxfId="106" priority="37">
      <formula>OR($A228="Junction",$A228="Pipe",$A228="Volume")</formula>
    </cfRule>
  </conditionalFormatting>
  <conditionalFormatting sqref="L228:L229">
    <cfRule type="expression" dxfId="105" priority="36">
      <formula>OR($A228="Junction",$A228="Pipe",$A228="Volume")</formula>
    </cfRule>
  </conditionalFormatting>
  <conditionalFormatting sqref="N228:N229">
    <cfRule type="expression" dxfId="104" priority="35">
      <formula>OR($A228="Junction",$A228="Pipe",$A228="Volume")</formula>
    </cfRule>
  </conditionalFormatting>
  <conditionalFormatting sqref="P228:P229">
    <cfRule type="expression" dxfId="103" priority="34">
      <formula>OR($A228="Junction",$A228="Pipe",$A228="Volume")</formula>
    </cfRule>
  </conditionalFormatting>
  <conditionalFormatting sqref="R228:R229">
    <cfRule type="expression" dxfId="102" priority="33">
      <formula>OR($A228="Junction",$A228="Pipe",$A228="Volume")</formula>
    </cfRule>
  </conditionalFormatting>
  <conditionalFormatting sqref="T228:T229">
    <cfRule type="expression" dxfId="101" priority="32">
      <formula>OR($A228="Junction",$A228="Pipe",$A228="Volume")</formula>
    </cfRule>
  </conditionalFormatting>
  <conditionalFormatting sqref="V228:V229">
    <cfRule type="expression" dxfId="100" priority="31">
      <formula>OR($A228="Junction",$A228="Pipe",$A228="Volume")</formula>
    </cfRule>
  </conditionalFormatting>
  <conditionalFormatting sqref="A30:P227">
    <cfRule type="expression" dxfId="99" priority="30">
      <formula>$A30="Pipe"</formula>
    </cfRule>
  </conditionalFormatting>
  <conditionalFormatting sqref="T30:V227">
    <cfRule type="expression" dxfId="98" priority="29">
      <formula>$A30="Pipe"</formula>
    </cfRule>
  </conditionalFormatting>
  <conditionalFormatting sqref="A30:P227">
    <cfRule type="expression" dxfId="97" priority="28">
      <formula>$A30="Volume"</formula>
    </cfRule>
  </conditionalFormatting>
  <conditionalFormatting sqref="T30:V227">
    <cfRule type="expression" dxfId="96" priority="27">
      <formula>$A30="Volume"</formula>
    </cfRule>
  </conditionalFormatting>
  <conditionalFormatting sqref="A30:V227">
    <cfRule type="expression" dxfId="95" priority="26">
      <formula>$A30="Junction"</formula>
    </cfRule>
  </conditionalFormatting>
  <conditionalFormatting sqref="A30:V227">
    <cfRule type="expression" dxfId="94" priority="25">
      <formula>$A30="Section"</formula>
    </cfRule>
  </conditionalFormatting>
  <conditionalFormatting sqref="Q30:T227">
    <cfRule type="expression" dxfId="93" priority="24">
      <formula>OR($A30="Pipe",$A30="Volume")</formula>
    </cfRule>
  </conditionalFormatting>
  <conditionalFormatting sqref="J30:L227">
    <cfRule type="expression" dxfId="92" priority="23">
      <formula>AND(OR($A30="Junction",$A30="Pipe",$A30="Volume"),J30&lt;&gt;0)</formula>
    </cfRule>
  </conditionalFormatting>
  <conditionalFormatting sqref="R30:R227">
    <cfRule type="expression" dxfId="91" priority="22">
      <formula>AND($A30="Junction",ISNUMBER(R30))</formula>
    </cfRule>
  </conditionalFormatting>
  <conditionalFormatting sqref="T30:T227">
    <cfRule type="expression" dxfId="90" priority="21">
      <formula>AND($A30="Junction",ISNUMBER(T30))</formula>
    </cfRule>
  </conditionalFormatting>
  <conditionalFormatting sqref="B30:D227">
    <cfRule type="expression" dxfId="89" priority="20">
      <formula>OR($A30="Junction",$A30="Pipe",$A30="Volume")</formula>
    </cfRule>
  </conditionalFormatting>
  <conditionalFormatting sqref="F30:F227">
    <cfRule type="expression" dxfId="88" priority="19">
      <formula>OR($A30="Junction",$A30="Pipe",$A30="Volume")</formula>
    </cfRule>
  </conditionalFormatting>
  <conditionalFormatting sqref="H30:H227">
    <cfRule type="expression" dxfId="87" priority="18">
      <formula>OR($A30="Junction",$A30="Pipe",$A30="Volume")</formula>
    </cfRule>
  </conditionalFormatting>
  <conditionalFormatting sqref="K30:K227">
    <cfRule type="expression" dxfId="86" priority="17">
      <formula>OR($A30="Junction",$A30="Pipe",$A30="Volume")</formula>
    </cfRule>
  </conditionalFormatting>
  <conditionalFormatting sqref="A30:A227">
    <cfRule type="expression" dxfId="85" priority="16">
      <formula>OR($A30="Junction",$A30="Pipe",$A30="Volume")</formula>
    </cfRule>
  </conditionalFormatting>
  <conditionalFormatting sqref="G30:G227">
    <cfRule type="expression" dxfId="84" priority="15">
      <formula>OR($A30="Junction",$A30="Pipe",$A30="Volume")</formula>
    </cfRule>
  </conditionalFormatting>
  <conditionalFormatting sqref="J30:J227">
    <cfRule type="expression" dxfId="83" priority="14">
      <formula>OR($A30="Junction",$A30="Pipe",$A30="Volume")</formula>
    </cfRule>
  </conditionalFormatting>
  <conditionalFormatting sqref="M30:M227">
    <cfRule type="expression" dxfId="82" priority="13">
      <formula>OR($A30="Junction",$A30="Pipe",$A30="Volume")</formula>
    </cfRule>
  </conditionalFormatting>
  <conditionalFormatting sqref="O30:O227">
    <cfRule type="expression" dxfId="81" priority="12">
      <formula>OR($A30="Junction",$A30="Pipe",$A30="Volume")</formula>
    </cfRule>
  </conditionalFormatting>
  <conditionalFormatting sqref="Q30:Q227">
    <cfRule type="expression" dxfId="80" priority="11">
      <formula>OR($A30="Junction",$A30="Pipe",$A30="Volume")</formula>
    </cfRule>
  </conditionalFormatting>
  <conditionalFormatting sqref="S30:S227">
    <cfRule type="expression" dxfId="79" priority="10">
      <formula>OR($A30="Junction",$A30="Pipe",$A30="Volume")</formula>
    </cfRule>
  </conditionalFormatting>
  <conditionalFormatting sqref="U30:U227">
    <cfRule type="expression" dxfId="78" priority="9">
      <formula>OR($A30="Junction",$A30="Pipe",$A30="Volume")</formula>
    </cfRule>
  </conditionalFormatting>
  <conditionalFormatting sqref="E30:E227">
    <cfRule type="expression" dxfId="77" priority="8">
      <formula>OR($A30="Junction",$A30="Pipe",$A30="Volume")</formula>
    </cfRule>
  </conditionalFormatting>
  <conditionalFormatting sqref="I30:I227">
    <cfRule type="expression" dxfId="76" priority="7">
      <formula>OR($A30="Junction",$A30="Pipe",$A30="Volume")</formula>
    </cfRule>
  </conditionalFormatting>
  <conditionalFormatting sqref="L30:L227">
    <cfRule type="expression" dxfId="75" priority="6">
      <formula>OR($A30="Junction",$A30="Pipe",$A30="Volume")</formula>
    </cfRule>
  </conditionalFormatting>
  <conditionalFormatting sqref="N30:N227">
    <cfRule type="expression" dxfId="74" priority="5">
      <formula>OR($A30="Junction",$A30="Pipe",$A30="Volume")</formula>
    </cfRule>
  </conditionalFormatting>
  <conditionalFormatting sqref="P30:P227">
    <cfRule type="expression" dxfId="73" priority="4">
      <formula>OR($A30="Junction",$A30="Pipe",$A30="Volume")</formula>
    </cfRule>
  </conditionalFormatting>
  <conditionalFormatting sqref="R30:R227">
    <cfRule type="expression" dxfId="72" priority="3">
      <formula>OR($A30="Junction",$A30="Pipe",$A30="Volume")</formula>
    </cfRule>
  </conditionalFormatting>
  <conditionalFormatting sqref="T30:T227">
    <cfRule type="expression" dxfId="71" priority="2">
      <formula>OR($A30="Junction",$A30="Pipe",$A30="Volume")</formula>
    </cfRule>
  </conditionalFormatting>
  <conditionalFormatting sqref="V30:V227">
    <cfRule type="expression" dxfId="70" priority="1">
      <formula>OR($A30="Junction",$A30="Pipe",$A30="Volume")</formula>
    </cfRule>
  </conditionalFormatting>
  <dataValidations count="2">
    <dataValidation type="list" allowBlank="1" showInputMessage="1" showErrorMessage="1" sqref="D5" xr:uid="{00000000-0002-0000-0000-000000000000}">
      <formula1>"'-debug,'-verbose,'"</formula1>
    </dataValidation>
    <dataValidation type="list" allowBlank="1" showInputMessage="1" showErrorMessage="1" sqref="D6:G6" xr:uid="{00000000-0002-0000-0000-000001000000}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525780</xdr:colOff>
                    <xdr:row>1</xdr:row>
                    <xdr:rowOff>137160</xdr:rowOff>
                  </from>
                  <to>
                    <xdr:col>11</xdr:col>
                    <xdr:colOff>601980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99060</xdr:colOff>
                    <xdr:row>1</xdr:row>
                    <xdr:rowOff>7620</xdr:rowOff>
                  </from>
                  <to>
                    <xdr:col>8</xdr:col>
                    <xdr:colOff>68580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441960</xdr:colOff>
                    <xdr:row>1</xdr:row>
                    <xdr:rowOff>137160</xdr:rowOff>
                  </from>
                  <to>
                    <xdr:col>13</xdr:col>
                    <xdr:colOff>449580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274320</xdr:colOff>
                    <xdr:row>1</xdr:row>
                    <xdr:rowOff>137160</xdr:rowOff>
                  </from>
                  <to>
                    <xdr:col>15</xdr:col>
                    <xdr:colOff>350520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182880</xdr:colOff>
                    <xdr:row>1</xdr:row>
                    <xdr:rowOff>121920</xdr:rowOff>
                  </from>
                  <to>
                    <xdr:col>25</xdr:col>
                    <xdr:colOff>419100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A4EF4-6C32-4041-8EE7-81AEFAE28DD9}">
  <sheetPr codeName="Blad8"/>
  <dimension ref="A1:Z345"/>
  <sheetViews>
    <sheetView tabSelected="1" zoomScale="85" zoomScaleNormal="85" workbookViewId="0">
      <pane ySplit="4" topLeftCell="A5" activePane="bottomLeft" state="frozenSplit"/>
      <selection pane="bottomLeft" activeCell="F5" sqref="F5"/>
    </sheetView>
  </sheetViews>
  <sheetFormatPr defaultRowHeight="14.4" x14ac:dyDescent="0.3"/>
  <cols>
    <col min="1" max="3" width="12.109375" customWidth="1"/>
    <col min="4" max="5" width="10.44140625" customWidth="1"/>
    <col min="6" max="6" width="12.5546875" customWidth="1"/>
    <col min="7" max="12" width="10.44140625" customWidth="1"/>
    <col min="13" max="13" width="11.44140625" customWidth="1"/>
    <col min="14" max="14" width="10.44140625" customWidth="1"/>
    <col min="15" max="16" width="10.44140625" style="8" customWidth="1"/>
    <col min="17" max="19" width="10.44140625" customWidth="1"/>
    <col min="24" max="26" width="8.88671875" style="39"/>
  </cols>
  <sheetData>
    <row r="1" spans="1:26" s="12" customFormat="1" ht="15.6" x14ac:dyDescent="0.3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" customHeight="1" x14ac:dyDescent="0.3">
      <c r="A6" s="42" t="s">
        <v>31</v>
      </c>
      <c r="B6" s="42"/>
      <c r="C6" s="42"/>
      <c r="D6" s="43" t="s">
        <v>78</v>
      </c>
      <c r="E6" s="43"/>
      <c r="F6" s="43"/>
      <c r="G6" s="43"/>
      <c r="O6"/>
      <c r="P6"/>
    </row>
    <row r="7" spans="1:26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x14ac:dyDescent="0.3">
      <c r="A8" s="42" t="s">
        <v>32</v>
      </c>
      <c r="B8" s="42"/>
      <c r="C8" s="42"/>
      <c r="D8" s="5" t="str">
        <f>HYPERLINK("\loclib")</f>
        <v>\loclib</v>
      </c>
      <c r="O8"/>
      <c r="P8"/>
    </row>
    <row r="9" spans="1:26" x14ac:dyDescent="0.3">
      <c r="O9"/>
      <c r="P9"/>
    </row>
    <row r="10" spans="1:26" ht="18" x14ac:dyDescent="0.35">
      <c r="A10" s="15" t="s">
        <v>33</v>
      </c>
      <c r="O10"/>
      <c r="P10"/>
    </row>
    <row r="11" spans="1:26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x14ac:dyDescent="0.3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x14ac:dyDescent="0.3">
      <c r="A14" s="21"/>
      <c r="B14" s="22"/>
      <c r="C14" s="23"/>
      <c r="D14" s="24"/>
      <c r="E14" s="25"/>
      <c r="F14" s="26"/>
      <c r="O14"/>
      <c r="P14"/>
    </row>
    <row r="15" spans="1:26" x14ac:dyDescent="0.3">
      <c r="A15" s="21"/>
      <c r="B15" s="22"/>
      <c r="C15" s="23"/>
      <c r="D15" s="24"/>
      <c r="E15" s="25"/>
      <c r="F15" s="26"/>
      <c r="O15"/>
      <c r="P15"/>
    </row>
    <row r="16" spans="1:26" x14ac:dyDescent="0.3">
      <c r="A16" s="21"/>
      <c r="B16" s="22"/>
      <c r="C16" s="23"/>
      <c r="D16" s="24"/>
      <c r="E16" s="25"/>
      <c r="F16" s="26"/>
      <c r="O16"/>
      <c r="P16"/>
    </row>
    <row r="17" spans="1:22" x14ac:dyDescent="0.3">
      <c r="A17" s="21"/>
      <c r="B17" s="22"/>
      <c r="C17" s="23"/>
      <c r="D17" s="24"/>
      <c r="E17" s="25"/>
      <c r="F17" s="26"/>
      <c r="O17"/>
      <c r="P17"/>
    </row>
    <row r="18" spans="1:22" x14ac:dyDescent="0.3">
      <c r="A18" s="27"/>
      <c r="B18" s="27"/>
      <c r="C18" s="27"/>
      <c r="D18" s="28"/>
      <c r="E18" s="28"/>
      <c r="F18" s="28"/>
      <c r="O18"/>
      <c r="P18"/>
    </row>
    <row r="19" spans="1:22" x14ac:dyDescent="0.3">
      <c r="A19" t="s">
        <v>81</v>
      </c>
      <c r="O19"/>
      <c r="P19"/>
    </row>
    <row r="20" spans="1:22" ht="15.6" x14ac:dyDescent="0.35">
      <c r="A20" s="44" t="s">
        <v>35</v>
      </c>
      <c r="B20" s="45" t="s">
        <v>16</v>
      </c>
      <c r="C20" s="46" t="s">
        <v>36</v>
      </c>
      <c r="D20" s="47" t="s">
        <v>37</v>
      </c>
      <c r="E20" s="48" t="s">
        <v>38</v>
      </c>
      <c r="F20" s="46" t="s">
        <v>39</v>
      </c>
      <c r="O20"/>
      <c r="P20"/>
    </row>
    <row r="21" spans="1:22" x14ac:dyDescent="0.3">
      <c r="A21" s="21"/>
      <c r="B21" s="22"/>
      <c r="C21" s="40"/>
      <c r="D21" s="24"/>
      <c r="E21" s="25"/>
      <c r="F21" s="26"/>
      <c r="O21"/>
      <c r="P21"/>
    </row>
    <row r="22" spans="1:22" x14ac:dyDescent="0.3">
      <c r="A22" s="21"/>
      <c r="B22" s="22"/>
      <c r="C22" s="23"/>
      <c r="D22" s="24"/>
      <c r="E22" s="25"/>
      <c r="F22" s="26"/>
      <c r="O22"/>
      <c r="P22"/>
    </row>
    <row r="23" spans="1:22" x14ac:dyDescent="0.3">
      <c r="A23" s="21"/>
      <c r="B23" s="22"/>
      <c r="C23" s="23"/>
      <c r="D23" s="24"/>
      <c r="E23" s="25"/>
      <c r="F23" s="26"/>
      <c r="O23"/>
      <c r="P23"/>
    </row>
    <row r="24" spans="1:22" x14ac:dyDescent="0.3">
      <c r="A24" s="21"/>
      <c r="B24" s="22"/>
      <c r="C24" s="23"/>
      <c r="D24" s="24"/>
      <c r="E24" s="25"/>
      <c r="F24" s="26"/>
      <c r="O24"/>
      <c r="P24"/>
    </row>
    <row r="25" spans="1:22" x14ac:dyDescent="0.3">
      <c r="A25" s="21"/>
      <c r="B25" s="22"/>
      <c r="C25" s="23"/>
      <c r="D25" s="24"/>
      <c r="E25" s="25"/>
      <c r="F25" s="26"/>
      <c r="O25"/>
      <c r="P25"/>
    </row>
    <row r="26" spans="1:22" x14ac:dyDescent="0.3">
      <c r="A26" s="21"/>
      <c r="B26" s="22"/>
      <c r="C26" s="23"/>
      <c r="D26" s="24"/>
      <c r="E26" s="25"/>
      <c r="F26" s="26"/>
      <c r="O26"/>
      <c r="P26"/>
    </row>
    <row r="27" spans="1:22" x14ac:dyDescent="0.3">
      <c r="O27"/>
      <c r="P27"/>
    </row>
    <row r="28" spans="1:22" x14ac:dyDescent="0.3">
      <c r="O28"/>
      <c r="P28"/>
    </row>
    <row r="29" spans="1:22" ht="15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3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x14ac:dyDescent="0.3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x14ac:dyDescent="0.3">
      <c r="A34" s="49"/>
      <c r="B34" s="49"/>
      <c r="C34" s="50"/>
      <c r="D34" s="49"/>
      <c r="E34" s="49"/>
      <c r="F34" s="51"/>
      <c r="G34" s="52"/>
      <c r="H34" s="52"/>
      <c r="I34" s="52"/>
      <c r="J34" s="53"/>
      <c r="K34" s="53"/>
      <c r="L34" s="53"/>
      <c r="M34" s="54"/>
      <c r="N34" s="54"/>
      <c r="O34" s="55"/>
      <c r="P34" s="55"/>
      <c r="Q34" s="49"/>
      <c r="R34" s="51"/>
      <c r="S34" s="49"/>
      <c r="T34" s="51"/>
      <c r="U34" s="49"/>
      <c r="V34" s="49"/>
    </row>
    <row r="35" spans="1:22" x14ac:dyDescent="0.3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x14ac:dyDescent="0.3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x14ac:dyDescent="0.3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x14ac:dyDescent="0.3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3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3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3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3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3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3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3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3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3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3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3">
      <c r="A55" s="49" t="s">
        <v>45</v>
      </c>
      <c r="B55" s="56" t="s">
        <v>10</v>
      </c>
      <c r="C55" s="50" t="s">
        <v>20</v>
      </c>
      <c r="D55" s="49" t="str">
        <f>CONCATENATE("JUNC_",ROW())</f>
        <v>JUNC_55</v>
      </c>
      <c r="E55" s="49"/>
      <c r="F55" s="51">
        <v>0</v>
      </c>
      <c r="G55" s="52">
        <v>0</v>
      </c>
      <c r="H55" s="52">
        <v>0</v>
      </c>
      <c r="I55" s="52">
        <v>0</v>
      </c>
      <c r="J55" s="53">
        <v>0</v>
      </c>
      <c r="K55" s="53">
        <v>0</v>
      </c>
      <c r="L55" s="53">
        <v>0</v>
      </c>
      <c r="M55" s="54">
        <v>97.93</v>
      </c>
      <c r="N55" s="54">
        <v>2.02</v>
      </c>
      <c r="O55" s="55"/>
      <c r="P55" s="55"/>
      <c r="Q55" s="49" t="str">
        <f>D40</f>
        <v>PIPE_40</v>
      </c>
      <c r="R55" s="51">
        <v>0.5</v>
      </c>
      <c r="S55" s="49" t="str">
        <f ca="1">OFFSET($A$1,ROW()+1,3)</f>
        <v>PIPE_57</v>
      </c>
      <c r="T55" s="51" t="s">
        <v>41</v>
      </c>
      <c r="U55" s="49"/>
      <c r="V55" s="49"/>
    </row>
    <row r="56" spans="1:22" x14ac:dyDescent="0.3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3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3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3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3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3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3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3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3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3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3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3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3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3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3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3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3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3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3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3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3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3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3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3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3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3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3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3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3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3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3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3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3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3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3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3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3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3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3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3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3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3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3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3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3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3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3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3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3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3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3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3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3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3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3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3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3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3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3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3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3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3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3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3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3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3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3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3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3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3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3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3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3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3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3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3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3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3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3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3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3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3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3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3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3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3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3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3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3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3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3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3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3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3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3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3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3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3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3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3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3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3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3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3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3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3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3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3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3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3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3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3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3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3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3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3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3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3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3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3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3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3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3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3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3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3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3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3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3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3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3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3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3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3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3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3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3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3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3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3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3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3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3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3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3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3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3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3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3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3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3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3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3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3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3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3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3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3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3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3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3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3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3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3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3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3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3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3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3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3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3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3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3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3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3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3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3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3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3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3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3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3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3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3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3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3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3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3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3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3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3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3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3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3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3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3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3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3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3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3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3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3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3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3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3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3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3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3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3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3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3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3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3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3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3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3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3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3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3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3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3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3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3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3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3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3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3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3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3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3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3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3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3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3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3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3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3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3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3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3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3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3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3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3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3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3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3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3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3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3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3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3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3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3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3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3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3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3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3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3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3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3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3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3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3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3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3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3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3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3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3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3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3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3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3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3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3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3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3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3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3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3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3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3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3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3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3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69" priority="70" stopIfTrue="1">
      <formula>$A16="Pipe"</formula>
    </cfRule>
  </conditionalFormatting>
  <conditionalFormatting sqref="Q230:Q345 S230:S345 J230:J345 U230:U345 A230:A345 O230:O345 M230:M345">
    <cfRule type="expression" dxfId="68" priority="67">
      <formula>OR($A230="Pipe",$A230="Component",$A230="Volume")</formula>
    </cfRule>
  </conditionalFormatting>
  <conditionalFormatting sqref="T230:T345 R230:R345 E230:E345 L230:L345 P230:P345 V230:V345 N230:N345 I230:I345">
    <cfRule type="expression" dxfId="67" priority="68">
      <formula>OR($A230="Pipe",$A230="Component",$A230="Volume")</formula>
    </cfRule>
  </conditionalFormatting>
  <conditionalFormatting sqref="K230:K345 B230:D345 G230:H345">
    <cfRule type="expression" dxfId="66" priority="66">
      <formula>OR($A230="Pipe",$A230="Component",$A230="Volume")</formula>
    </cfRule>
  </conditionalFormatting>
  <conditionalFormatting sqref="U230:V345 A230:P345">
    <cfRule type="expression" dxfId="65" priority="65">
      <formula>$A230="Pipe"</formula>
    </cfRule>
  </conditionalFormatting>
  <conditionalFormatting sqref="Q230:T345">
    <cfRule type="expression" dxfId="64" priority="64">
      <formula>OR($A230="Volume",$A230="Pipe")</formula>
    </cfRule>
  </conditionalFormatting>
  <conditionalFormatting sqref="A230:V345">
    <cfRule type="expression" dxfId="63" priority="63">
      <formula>$A230="Component"</formula>
    </cfRule>
  </conditionalFormatting>
  <conditionalFormatting sqref="U230:V345 A230:P345">
    <cfRule type="expression" dxfId="62" priority="62">
      <formula>$A230="Volume"</formula>
    </cfRule>
  </conditionalFormatting>
  <conditionalFormatting sqref="J230:L345">
    <cfRule type="cellIs" dxfId="61" priority="61" operator="notEqual">
      <formula>0</formula>
    </cfRule>
  </conditionalFormatting>
  <conditionalFormatting sqref="F230:F345">
    <cfRule type="expression" dxfId="60" priority="69">
      <formula>OR($A230="Pipe",$A230="Component",$A230="Volume")</formula>
    </cfRule>
  </conditionalFormatting>
  <conditionalFormatting sqref="A228:P229">
    <cfRule type="expression" dxfId="59" priority="60">
      <formula>$A228="Pipe"</formula>
    </cfRule>
  </conditionalFormatting>
  <conditionalFormatting sqref="T228:V229">
    <cfRule type="expression" dxfId="58" priority="59">
      <formula>$A228="Pipe"</formula>
    </cfRule>
  </conditionalFormatting>
  <conditionalFormatting sqref="A228:P229">
    <cfRule type="expression" dxfId="57" priority="58">
      <formula>$A228="Volume"</formula>
    </cfRule>
  </conditionalFormatting>
  <conditionalFormatting sqref="T228:V229">
    <cfRule type="expression" dxfId="56" priority="57">
      <formula>$A228="Volume"</formula>
    </cfRule>
  </conditionalFormatting>
  <conditionalFormatting sqref="A228:V229">
    <cfRule type="expression" dxfId="55" priority="56">
      <formula>$A228="Junction"</formula>
    </cfRule>
  </conditionalFormatting>
  <conditionalFormatting sqref="A228:V229">
    <cfRule type="expression" dxfId="54" priority="55">
      <formula>$A228="Flowpath"</formula>
    </cfRule>
  </conditionalFormatting>
  <conditionalFormatting sqref="Q228:T229">
    <cfRule type="expression" dxfId="53" priority="54">
      <formula>OR($A228="Pipe",$A228="Volume")</formula>
    </cfRule>
  </conditionalFormatting>
  <conditionalFormatting sqref="J228:L229">
    <cfRule type="expression" dxfId="52" priority="53">
      <formula>AND(OR($A228="Junction",$A228="Pipe",$A228="Volume"),J228&lt;&gt;0)</formula>
    </cfRule>
  </conditionalFormatting>
  <conditionalFormatting sqref="R228:R229">
    <cfRule type="expression" dxfId="51" priority="52">
      <formula>AND($A228="Junction",ISNUMBER(R228))</formula>
    </cfRule>
  </conditionalFormatting>
  <conditionalFormatting sqref="T228:T229">
    <cfRule type="expression" dxfId="50" priority="51">
      <formula>AND($A228="Junction",ISNUMBER(T228))</formula>
    </cfRule>
  </conditionalFormatting>
  <conditionalFormatting sqref="B228:D229">
    <cfRule type="expression" dxfId="49" priority="50">
      <formula>OR($A228="Junction",$A228="Pipe",$A228="Volume")</formula>
    </cfRule>
  </conditionalFormatting>
  <conditionalFormatting sqref="F228:F229">
    <cfRule type="expression" dxfId="48" priority="49">
      <formula>OR($A228="Junction",$A228="Pipe",$A228="Volume")</formula>
    </cfRule>
  </conditionalFormatting>
  <conditionalFormatting sqref="H228:H229">
    <cfRule type="expression" dxfId="47" priority="48">
      <formula>OR($A228="Junction",$A228="Pipe",$A228="Volume")</formula>
    </cfRule>
  </conditionalFormatting>
  <conditionalFormatting sqref="K228:K229">
    <cfRule type="expression" dxfId="46" priority="47">
      <formula>OR($A228="Junction",$A228="Pipe",$A228="Volume")</formula>
    </cfRule>
  </conditionalFormatting>
  <conditionalFormatting sqref="A228:A229">
    <cfRule type="expression" dxfId="45" priority="46">
      <formula>OR($A228="Junction",$A228="Pipe",$A228="Volume")</formula>
    </cfRule>
  </conditionalFormatting>
  <conditionalFormatting sqref="G228:G229">
    <cfRule type="expression" dxfId="44" priority="45">
      <formula>OR($A228="Junction",$A228="Pipe",$A228="Volume")</formula>
    </cfRule>
  </conditionalFormatting>
  <conditionalFormatting sqref="J228:J229">
    <cfRule type="expression" dxfId="43" priority="44">
      <formula>OR($A228="Junction",$A228="Pipe",$A228="Volume")</formula>
    </cfRule>
  </conditionalFormatting>
  <conditionalFormatting sqref="M228:M229">
    <cfRule type="expression" dxfId="42" priority="43">
      <formula>OR($A228="Junction",$A228="Pipe",$A228="Volume")</formula>
    </cfRule>
  </conditionalFormatting>
  <conditionalFormatting sqref="O228:O229">
    <cfRule type="expression" dxfId="41" priority="42">
      <formula>OR($A228="Junction",$A228="Pipe",$A228="Volume")</formula>
    </cfRule>
  </conditionalFormatting>
  <conditionalFormatting sqref="Q228:Q229">
    <cfRule type="expression" dxfId="40" priority="41">
      <formula>OR($A228="Junction",$A228="Pipe",$A228="Volume")</formula>
    </cfRule>
  </conditionalFormatting>
  <conditionalFormatting sqref="S228:S229">
    <cfRule type="expression" dxfId="39" priority="40">
      <formula>OR($A228="Junction",$A228="Pipe",$A228="Volume")</formula>
    </cfRule>
  </conditionalFormatting>
  <conditionalFormatting sqref="U228:U229">
    <cfRule type="expression" dxfId="38" priority="39">
      <formula>OR($A228="Junction",$A228="Pipe",$A228="Volume")</formula>
    </cfRule>
  </conditionalFormatting>
  <conditionalFormatting sqref="E228:E229">
    <cfRule type="expression" dxfId="37" priority="38">
      <formula>OR($A228="Junction",$A228="Pipe",$A228="Volume")</formula>
    </cfRule>
  </conditionalFormatting>
  <conditionalFormatting sqref="I228:I229">
    <cfRule type="expression" dxfId="36" priority="37">
      <formula>OR($A228="Junction",$A228="Pipe",$A228="Volume")</formula>
    </cfRule>
  </conditionalFormatting>
  <conditionalFormatting sqref="L228:L229">
    <cfRule type="expression" dxfId="35" priority="36">
      <formula>OR($A228="Junction",$A228="Pipe",$A228="Volume")</formula>
    </cfRule>
  </conditionalFormatting>
  <conditionalFormatting sqref="N228:N229">
    <cfRule type="expression" dxfId="34" priority="35">
      <formula>OR($A228="Junction",$A228="Pipe",$A228="Volume")</formula>
    </cfRule>
  </conditionalFormatting>
  <conditionalFormatting sqref="P228:P229">
    <cfRule type="expression" dxfId="33" priority="34">
      <formula>OR($A228="Junction",$A228="Pipe",$A228="Volume")</formula>
    </cfRule>
  </conditionalFormatting>
  <conditionalFormatting sqref="R228:R229">
    <cfRule type="expression" dxfId="32" priority="33">
      <formula>OR($A228="Junction",$A228="Pipe",$A228="Volume")</formula>
    </cfRule>
  </conditionalFormatting>
  <conditionalFormatting sqref="T228:T229">
    <cfRule type="expression" dxfId="31" priority="32">
      <formula>OR($A228="Junction",$A228="Pipe",$A228="Volume")</formula>
    </cfRule>
  </conditionalFormatting>
  <conditionalFormatting sqref="V228:V229">
    <cfRule type="expression" dxfId="30" priority="31">
      <formula>OR($A228="Junction",$A228="Pipe",$A228="Volume")</formula>
    </cfRule>
  </conditionalFormatting>
  <conditionalFormatting sqref="A30:P227">
    <cfRule type="expression" dxfId="29" priority="30">
      <formula>$A30="Pipe"</formula>
    </cfRule>
  </conditionalFormatting>
  <conditionalFormatting sqref="T30:V227">
    <cfRule type="expression" dxfId="28" priority="29">
      <formula>$A30="Pipe"</formula>
    </cfRule>
  </conditionalFormatting>
  <conditionalFormatting sqref="A30:P227">
    <cfRule type="expression" dxfId="27" priority="28">
      <formula>$A30="Volume"</formula>
    </cfRule>
  </conditionalFormatting>
  <conditionalFormatting sqref="T30:V227">
    <cfRule type="expression" dxfId="26" priority="27">
      <formula>$A30="Volume"</formula>
    </cfRule>
  </conditionalFormatting>
  <conditionalFormatting sqref="A30:V227">
    <cfRule type="expression" dxfId="25" priority="26">
      <formula>$A30="Junction"</formula>
    </cfRule>
  </conditionalFormatting>
  <conditionalFormatting sqref="A30:V227">
    <cfRule type="expression" dxfId="24" priority="25">
      <formula>$A30="Section"</formula>
    </cfRule>
  </conditionalFormatting>
  <conditionalFormatting sqref="Q30:T227">
    <cfRule type="expression" dxfId="23" priority="24">
      <formula>OR($A30="Pipe",$A30="Volume")</formula>
    </cfRule>
  </conditionalFormatting>
  <conditionalFormatting sqref="J30:L227">
    <cfRule type="expression" dxfId="22" priority="23">
      <formula>AND(OR($A30="Junction",$A30="Pipe",$A30="Volume"),J30&lt;&gt;0)</formula>
    </cfRule>
  </conditionalFormatting>
  <conditionalFormatting sqref="R30:R227">
    <cfRule type="expression" dxfId="21" priority="22">
      <formula>AND($A30="Junction",ISNUMBER(R30))</formula>
    </cfRule>
  </conditionalFormatting>
  <conditionalFormatting sqref="T30:T227">
    <cfRule type="expression" dxfId="20" priority="21">
      <formula>AND($A30="Junction",ISNUMBER(T30))</formula>
    </cfRule>
  </conditionalFormatting>
  <conditionalFormatting sqref="B30:D227">
    <cfRule type="expression" dxfId="19" priority="20">
      <formula>OR($A30="Junction",$A30="Pipe",$A30="Volume")</formula>
    </cfRule>
  </conditionalFormatting>
  <conditionalFormatting sqref="F30:F227">
    <cfRule type="expression" dxfId="18" priority="19">
      <formula>OR($A30="Junction",$A30="Pipe",$A30="Volume")</formula>
    </cfRule>
  </conditionalFormatting>
  <conditionalFormatting sqref="H30:H227">
    <cfRule type="expression" dxfId="17" priority="18">
      <formula>OR($A30="Junction",$A30="Pipe",$A30="Volume")</formula>
    </cfRule>
  </conditionalFormatting>
  <conditionalFormatting sqref="K30:K227">
    <cfRule type="expression" dxfId="16" priority="17">
      <formula>OR($A30="Junction",$A30="Pipe",$A30="Volume")</formula>
    </cfRule>
  </conditionalFormatting>
  <conditionalFormatting sqref="A30:A227">
    <cfRule type="expression" dxfId="15" priority="16">
      <formula>OR($A30="Junction",$A30="Pipe",$A30="Volume")</formula>
    </cfRule>
  </conditionalFormatting>
  <conditionalFormatting sqref="G30:G227">
    <cfRule type="expression" dxfId="14" priority="15">
      <formula>OR($A30="Junction",$A30="Pipe",$A30="Volume")</formula>
    </cfRule>
  </conditionalFormatting>
  <conditionalFormatting sqref="J30:J227">
    <cfRule type="expression" dxfId="13" priority="14">
      <formula>OR($A30="Junction",$A30="Pipe",$A30="Volume")</formula>
    </cfRule>
  </conditionalFormatting>
  <conditionalFormatting sqref="M30:M227">
    <cfRule type="expression" dxfId="12" priority="13">
      <formula>OR($A30="Junction",$A30="Pipe",$A30="Volume")</formula>
    </cfRule>
  </conditionalFormatting>
  <conditionalFormatting sqref="O30:O227">
    <cfRule type="expression" dxfId="11" priority="12">
      <formula>OR($A30="Junction",$A30="Pipe",$A30="Volume")</formula>
    </cfRule>
  </conditionalFormatting>
  <conditionalFormatting sqref="Q30:Q227">
    <cfRule type="expression" dxfId="10" priority="11">
      <formula>OR($A30="Junction",$A30="Pipe",$A30="Volume")</formula>
    </cfRule>
  </conditionalFormatting>
  <conditionalFormatting sqref="S30:S227">
    <cfRule type="expression" dxfId="9" priority="10">
      <formula>OR($A30="Junction",$A30="Pipe",$A30="Volume")</formula>
    </cfRule>
  </conditionalFormatting>
  <conditionalFormatting sqref="U30:U227">
    <cfRule type="expression" dxfId="8" priority="9">
      <formula>OR($A30="Junction",$A30="Pipe",$A30="Volume")</formula>
    </cfRule>
  </conditionalFormatting>
  <conditionalFormatting sqref="E30:E227">
    <cfRule type="expression" dxfId="7" priority="8">
      <formula>OR($A30="Junction",$A30="Pipe",$A30="Volume")</formula>
    </cfRule>
  </conditionalFormatting>
  <conditionalFormatting sqref="I30:I227">
    <cfRule type="expression" dxfId="6" priority="7">
      <formula>OR($A30="Junction",$A30="Pipe",$A30="Volume")</formula>
    </cfRule>
  </conditionalFormatting>
  <conditionalFormatting sqref="L30:L227">
    <cfRule type="expression" dxfId="5" priority="6">
      <formula>OR($A30="Junction",$A30="Pipe",$A30="Volume")</formula>
    </cfRule>
  </conditionalFormatting>
  <conditionalFormatting sqref="N30:N227">
    <cfRule type="expression" dxfId="4" priority="5">
      <formula>OR($A30="Junction",$A30="Pipe",$A30="Volume")</formula>
    </cfRule>
  </conditionalFormatting>
  <conditionalFormatting sqref="P30:P227">
    <cfRule type="expression" dxfId="3" priority="4">
      <formula>OR($A30="Junction",$A30="Pipe",$A30="Volume")</formula>
    </cfRule>
  </conditionalFormatting>
  <conditionalFormatting sqref="R30:R227">
    <cfRule type="expression" dxfId="2" priority="3">
      <formula>OR($A30="Junction",$A30="Pipe",$A30="Volume")</formula>
    </cfRule>
  </conditionalFormatting>
  <conditionalFormatting sqref="T30:T227">
    <cfRule type="expression" dxfId="1" priority="2">
      <formula>OR($A30="Junction",$A30="Pipe",$A30="Volume")</formula>
    </cfRule>
  </conditionalFormatting>
  <conditionalFormatting sqref="V30:V227">
    <cfRule type="expression" dxfId="0" priority="1">
      <formula>OR($A30="Junction",$A30="Pipe",$A30="Volume")</formula>
    </cfRule>
  </conditionalFormatting>
  <dataValidations count="2">
    <dataValidation type="list" allowBlank="1" showInputMessage="1" showErrorMessage="1" sqref="D6:G6" xr:uid="{8EBDE0BD-A54D-4C77-8739-4E8662C51A3C}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 xr:uid="{B079A21D-EFE6-49EB-9A82-14DF4E35FFD2}">
      <formula1>"'-debug,'-verbose,'"</formula1>
    </dataValidation>
  </dataValidations>
  <hyperlinks>
    <hyperlink ref="D8" r:id="rId1" display="Components\" xr:uid="{79BD5432-F5AF-4A55-9EDC-40D955C5922C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ddPipe">
                <anchor>
                  <from>
                    <xdr:col>10</xdr:col>
                    <xdr:colOff>525780</xdr:colOff>
                    <xdr:row>1</xdr:row>
                    <xdr:rowOff>137160</xdr:rowOff>
                  </from>
                  <to>
                    <xdr:col>11</xdr:col>
                    <xdr:colOff>601980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nerateScadFile">
                <anchor>
                  <from>
                    <xdr:col>6</xdr:col>
                    <xdr:colOff>99060</xdr:colOff>
                    <xdr:row>1</xdr:row>
                    <xdr:rowOff>7620</xdr:rowOff>
                  </from>
                  <to>
                    <xdr:col>8</xdr:col>
                    <xdr:colOff>68580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AddJunction">
                <anchor>
                  <from>
                    <xdr:col>12</xdr:col>
                    <xdr:colOff>441960</xdr:colOff>
                    <xdr:row>1</xdr:row>
                    <xdr:rowOff>137160</xdr:rowOff>
                  </from>
                  <to>
                    <xdr:col>13</xdr:col>
                    <xdr:colOff>449580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AddVolume">
                <anchor>
                  <from>
                    <xdr:col>14</xdr:col>
                    <xdr:colOff>274320</xdr:colOff>
                    <xdr:row>1</xdr:row>
                    <xdr:rowOff>137160</xdr:rowOff>
                  </from>
                  <to>
                    <xdr:col>15</xdr:col>
                    <xdr:colOff>350520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Button 5">
              <controlPr defaultSize="0" print="0" autoFill="0" autoPict="0" macro="[0]!AddLoopCheck">
                <anchor>
                  <from>
                    <xdr:col>23</xdr:col>
                    <xdr:colOff>182880</xdr:colOff>
                    <xdr:row>1</xdr:row>
                    <xdr:rowOff>121920</xdr:rowOff>
                  </from>
                  <to>
                    <xdr:col>25</xdr:col>
                    <xdr:colOff>388620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BDAHSG-01</vt:lpstr>
      <vt:lpstr>Simple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Daniel Edebro</cp:lastModifiedBy>
  <dcterms:created xsi:type="dcterms:W3CDTF">2019-07-12T20:23:23Z</dcterms:created>
  <dcterms:modified xsi:type="dcterms:W3CDTF">2019-08-31T21:09:58Z</dcterms:modified>
</cp:coreProperties>
</file>