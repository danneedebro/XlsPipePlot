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/>
  </bookViews>
  <sheets>
    <sheet name="BDAHSG-01" sheetId="9" r:id="rId1"/>
    <sheet name="Simple1" sheetId="10" r:id="rId2"/>
    <sheet name="Simple1_sned" sheetId="1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62" i="11" l="1"/>
  <c r="H31" i="11"/>
  <c r="D64" i="11" l="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26" i="9" l="1"/>
  <c r="Y26" i="9"/>
  <c r="Z26" i="9"/>
  <c r="X135" i="9"/>
  <c r="X136" i="9" s="1"/>
  <c r="X137" i="9" s="1"/>
  <c r="Z134" i="9"/>
  <c r="Z135" i="9" s="1"/>
  <c r="Y134" i="9"/>
  <c r="Y135" i="9" s="1"/>
  <c r="X134" i="9"/>
  <c r="Z124" i="9"/>
  <c r="Z125" i="9" s="1"/>
  <c r="Z126" i="9" s="1"/>
  <c r="Z127" i="9" s="1"/>
  <c r="Y124" i="9"/>
  <c r="Y125" i="9" s="1"/>
  <c r="Y126" i="9" s="1"/>
  <c r="Y127" i="9" s="1"/>
  <c r="Y128" i="9" s="1"/>
  <c r="Y129" i="9" s="1"/>
  <c r="Y130" i="9" s="1"/>
  <c r="Y131" i="9" s="1"/>
  <c r="X124" i="9"/>
  <c r="X125" i="9" s="1"/>
  <c r="X126" i="9" s="1"/>
  <c r="X127" i="9" s="1"/>
  <c r="X128" i="9" s="1"/>
  <c r="X129" i="9" s="1"/>
  <c r="X130" i="9" s="1"/>
  <c r="X131" i="9" s="1"/>
  <c r="X114" i="9"/>
  <c r="X115" i="9" s="1"/>
  <c r="X116" i="9" s="1"/>
  <c r="X117" i="9" s="1"/>
  <c r="X118" i="9" s="1"/>
  <c r="X119" i="9" s="1"/>
  <c r="X120" i="9" s="1"/>
  <c r="Z113" i="9"/>
  <c r="Z114" i="9" s="1"/>
  <c r="Y113" i="9"/>
  <c r="Y114" i="9" s="1"/>
  <c r="Y115" i="9" s="1"/>
  <c r="Y116" i="9" s="1"/>
  <c r="Y117" i="9" s="1"/>
  <c r="Y118" i="9" s="1"/>
  <c r="Y119" i="9" s="1"/>
  <c r="Y120" i="9" s="1"/>
  <c r="X113" i="9"/>
  <c r="Z97" i="9"/>
  <c r="Z96" i="9"/>
  <c r="Z95" i="9"/>
  <c r="Y95" i="9"/>
  <c r="Y96" i="9" s="1"/>
  <c r="Y97" i="9" s="1"/>
  <c r="X95" i="9"/>
  <c r="X96" i="9" s="1"/>
  <c r="Z86" i="9"/>
  <c r="Z87" i="9" s="1"/>
  <c r="Y86" i="9"/>
  <c r="Y87" i="9" s="1"/>
  <c r="X86" i="9"/>
  <c r="X87" i="9" s="1"/>
  <c r="Y66" i="9"/>
  <c r="Y67" i="9" s="1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Z65" i="9"/>
  <c r="Z66" i="9" s="1"/>
  <c r="Z67" i="9" s="1"/>
  <c r="Z68" i="9" s="1"/>
  <c r="Z69" i="9" s="1"/>
  <c r="Z70" i="9" s="1"/>
  <c r="Y65" i="9"/>
  <c r="X65" i="9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 s="1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O91" i="9" s="1"/>
  <c r="D91" i="9"/>
  <c r="Q113" i="9" s="1"/>
  <c r="M86" i="9"/>
  <c r="O86" i="9" s="1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D27" i="9"/>
  <c r="B13" i="9" s="1"/>
  <c r="H98" i="9"/>
  <c r="X47" i="9" l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90" i="9"/>
  <c r="X91" i="9" s="1"/>
  <c r="X92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Z71" i="9"/>
  <c r="Z72" i="9" s="1"/>
  <c r="Z73" i="9" s="1"/>
  <c r="Z74" i="9" s="1"/>
  <c r="Z75" i="9" s="1"/>
  <c r="Z76" i="9" s="1"/>
  <c r="Z77" i="9" s="1"/>
  <c r="Y136" i="9"/>
  <c r="Y137" i="9" s="1"/>
  <c r="Z98" i="9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X97" i="9"/>
  <c r="Z115" i="9"/>
  <c r="Z116" i="9" s="1"/>
  <c r="Z117" i="9" s="1"/>
  <c r="Z118" i="9" s="1"/>
  <c r="Z119" i="9" s="1"/>
  <c r="Z120" i="9" s="1"/>
  <c r="Z136" i="9"/>
  <c r="Z137" i="9" s="1"/>
  <c r="Z128" i="9"/>
  <c r="Z129" i="9" s="1"/>
  <c r="Z130" i="9" s="1"/>
  <c r="Z131" i="9" s="1"/>
  <c r="X98" i="9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D7" i="9"/>
  <c r="B3" i="9"/>
  <c r="Z90" i="9" l="1"/>
  <c r="Z91" i="9" s="1"/>
  <c r="Z92" i="9" s="1"/>
  <c r="Z47" i="9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90" i="9"/>
  <c r="Y91" i="9" s="1"/>
  <c r="Y92" i="9" s="1"/>
</calcChain>
</file>

<file path=xl/sharedStrings.xml><?xml version="1.0" encoding="utf-8"?>
<sst xmlns="http://schemas.openxmlformats.org/spreadsheetml/2006/main" count="504" uniqueCount="81">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</sst>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133350</xdr:colOff>
          <xdr:row>1</xdr:row>
          <xdr:rowOff>123825</xdr:rowOff>
        </xdr:from>
        <xdr:to>
          <xdr:col>25</xdr:col>
          <xdr:colOff>352425</xdr:colOff>
          <xdr:row>3</xdr:row>
          <xdr:rowOff>47625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142875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37"/>
  <sheetViews>
    <sheetView tabSelected="1" zoomScale="70" zoomScaleNormal="70" workbookViewId="0">
      <pane ySplit="4" topLeftCell="A5" activePane="bottomLeft" state="frozenSplit"/>
      <selection pane="bottomLeft" activeCell="D6" sqref="D6:G6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.75" x14ac:dyDescent="0.3">
      <c r="A5" s="15" t="s">
        <v>31</v>
      </c>
      <c r="D5" s="34" t="s">
        <v>46</v>
      </c>
      <c r="O5"/>
      <c r="P5"/>
    </row>
    <row r="6" spans="1:26" ht="14.45" customHeight="1" x14ac:dyDescent="0.25">
      <c r="A6" s="40" t="s">
        <v>32</v>
      </c>
      <c r="B6" s="40"/>
      <c r="C6" s="40"/>
      <c r="D6" s="41" t="s">
        <v>80</v>
      </c>
      <c r="E6" s="41"/>
      <c r="F6" s="41"/>
      <c r="G6" s="41"/>
      <c r="O6"/>
      <c r="P6"/>
    </row>
    <row r="7" spans="1:26" x14ac:dyDescent="0.25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D27</f>
        <v>PIPE_27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6" ht="14.45" x14ac:dyDescent="0.3">
      <c r="A17" s="21"/>
      <c r="B17" s="22"/>
      <c r="C17" s="23"/>
      <c r="D17" s="24"/>
      <c r="E17" s="25"/>
      <c r="F17" s="26"/>
      <c r="O17"/>
      <c r="P17"/>
    </row>
    <row r="18" spans="1:26" ht="14.45" x14ac:dyDescent="0.3">
      <c r="A18" s="27"/>
      <c r="B18" s="27"/>
      <c r="C18" s="27"/>
      <c r="D18" s="28"/>
      <c r="E18" s="28"/>
      <c r="F18" s="28"/>
      <c r="O18"/>
      <c r="P18"/>
    </row>
    <row r="19" spans="1:26" ht="14.45" x14ac:dyDescent="0.3">
      <c r="O19"/>
      <c r="P19"/>
    </row>
    <row r="20" spans="1:26" ht="14.45" x14ac:dyDescent="0.3">
      <c r="O20"/>
      <c r="P20"/>
    </row>
    <row r="21" spans="1:26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ht="14.45" x14ac:dyDescent="0.3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ht="14.45" x14ac:dyDescent="0.3">
      <c r="A26" s="7" t="s">
        <v>25</v>
      </c>
      <c r="B26" s="7" t="s">
        <v>69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ht="14.45" x14ac:dyDescent="0.3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 t="shared" ref="X27:X40" si="2">IF(OR(A27="volume",A27="pipe",A27="junction"),X26+F27*COS(G27*PI()/180)*COS(H27*PI()/180)+J27,X26)</f>
        <v>-0.95899999999999996</v>
      </c>
      <c r="Y27" s="39">
        <f t="shared" ref="Y27:Y40" si="3">IF(OR(A27="volume",A27="pipe",A27="junction"),Y26+F27*COS(G27*PI()/180)*SIN(H27*PI()/180)+K27,Y26)</f>
        <v>1.1749173682573664E-16</v>
      </c>
      <c r="Z27" s="39">
        <f t="shared" ref="Z27:Z40" si="4">IF(OR(A27="volume",A27="pipe",A27="junction"),Z26+F27*SIN(G27*PI()/180)+L27,Z26)</f>
        <v>107.24</v>
      </c>
    </row>
    <row r="28" spans="1:26" ht="14.45" x14ac:dyDescent="0.3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 t="shared" si="2"/>
        <v>-1.859</v>
      </c>
      <c r="Y28" s="39">
        <f t="shared" si="3"/>
        <v>2.2775509776751247E-16</v>
      </c>
      <c r="Z28" s="39">
        <f t="shared" si="4"/>
        <v>107.24</v>
      </c>
    </row>
    <row r="29" spans="1:26" ht="14.45" x14ac:dyDescent="0.3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 t="shared" si="2"/>
        <v>-1.8589999999999998</v>
      </c>
      <c r="Y29" s="39">
        <f t="shared" si="3"/>
        <v>2.2775509776751247E-16</v>
      </c>
      <c r="Z29" s="39">
        <f t="shared" si="4"/>
        <v>103.961</v>
      </c>
    </row>
    <row r="30" spans="1:26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 t="shared" si="2"/>
        <v>-1.8589999999999998</v>
      </c>
      <c r="Y30" s="39">
        <f t="shared" si="3"/>
        <v>2.2775509776751247E-16</v>
      </c>
      <c r="Z30" s="39">
        <f t="shared" si="4"/>
        <v>103.961</v>
      </c>
    </row>
    <row r="31" spans="1:26" ht="14.45" x14ac:dyDescent="0.3">
      <c r="A31" s="7" t="s">
        <v>47</v>
      </c>
      <c r="B31" s="7" t="s">
        <v>9</v>
      </c>
      <c r="C31" s="30" t="s">
        <v>52</v>
      </c>
      <c r="D31" s="7" t="str">
        <f>CONCATENATE("COMP_",ROW())</f>
        <v>COMP_31</v>
      </c>
      <c r="E31" s="7" t="s">
        <v>53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 t="shared" si="2"/>
        <v>-1.8589999999999998</v>
      </c>
      <c r="Y31" s="39">
        <f t="shared" si="3"/>
        <v>2.2775509776751247E-16</v>
      </c>
      <c r="Z31" s="39">
        <f t="shared" si="4"/>
        <v>103.881</v>
      </c>
    </row>
    <row r="32" spans="1:26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 t="shared" si="2"/>
        <v>-1.8589999999999998</v>
      </c>
      <c r="Y32" s="39">
        <f t="shared" si="3"/>
        <v>2.2775509776751247E-16</v>
      </c>
      <c r="Z32" s="39">
        <f t="shared" si="4"/>
        <v>103.881</v>
      </c>
    </row>
    <row r="33" spans="1:26" ht="14.45" x14ac:dyDescent="0.3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 t="shared" si="2"/>
        <v>-1.8589999999999995</v>
      </c>
      <c r="Y33" s="39">
        <f t="shared" si="3"/>
        <v>2.2775509776751247E-16</v>
      </c>
      <c r="Z33" s="39">
        <f t="shared" si="4"/>
        <v>99.902000000000001</v>
      </c>
    </row>
    <row r="34" spans="1:26" ht="14.45" x14ac:dyDescent="0.3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 t="shared" si="2"/>
        <v>-1.8589999999999998</v>
      </c>
      <c r="Y34" s="39">
        <f t="shared" si="3"/>
        <v>-0.74999999999999978</v>
      </c>
      <c r="Z34" s="39">
        <f t="shared" si="4"/>
        <v>99.902000000000001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 t="shared" si="2"/>
        <v>-6.359</v>
      </c>
      <c r="Y35" s="39">
        <f t="shared" si="3"/>
        <v>-0.74999999999999922</v>
      </c>
      <c r="Z35" s="39">
        <f t="shared" si="4"/>
        <v>99.902000000000001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-6.359</v>
      </c>
      <c r="Y36" s="39">
        <f t="shared" si="3"/>
        <v>-0.74999999999999922</v>
      </c>
      <c r="Z36" s="39">
        <f t="shared" si="4"/>
        <v>97.902000000000001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-5.73</v>
      </c>
      <c r="Y37" s="39">
        <f t="shared" si="3"/>
        <v>-0.74999999999999922</v>
      </c>
      <c r="Z37" s="39">
        <f t="shared" si="4"/>
        <v>97.902000000000001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-5.73</v>
      </c>
      <c r="Y38" s="39">
        <f t="shared" si="3"/>
        <v>-0.74999999999999922</v>
      </c>
      <c r="Z38" s="39">
        <f t="shared" si="4"/>
        <v>97.902000000000001</v>
      </c>
    </row>
    <row r="39" spans="1:26" ht="14.45" x14ac:dyDescent="0.3">
      <c r="A39" s="7" t="s">
        <v>47</v>
      </c>
      <c r="B39" s="7" t="s">
        <v>10</v>
      </c>
      <c r="C39" s="30" t="s">
        <v>54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 t="shared" si="2"/>
        <v>-5.73</v>
      </c>
      <c r="Y39" s="39">
        <f t="shared" si="3"/>
        <v>-0.74999999999999922</v>
      </c>
      <c r="Z39" s="39">
        <f t="shared" si="4"/>
        <v>97.902000000000001</v>
      </c>
    </row>
    <row r="40" spans="1:26" ht="14.45" x14ac:dyDescent="0.3">
      <c r="A40" s="7" t="s">
        <v>65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-5.73</v>
      </c>
      <c r="Y40" s="39">
        <f t="shared" si="3"/>
        <v>-0.74999999999999922</v>
      </c>
      <c r="Z40" s="39">
        <f t="shared" si="4"/>
        <v>97.902000000000001</v>
      </c>
    </row>
    <row r="41" spans="1:26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ht="14.45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ht="14.45" x14ac:dyDescent="0.3">
      <c r="A47" s="7" t="s">
        <v>25</v>
      </c>
      <c r="B47" s="7" t="s">
        <v>66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ht="14.45" x14ac:dyDescent="0.3">
      <c r="A48" s="7" t="s">
        <v>47</v>
      </c>
      <c r="B48" s="7" t="s">
        <v>10</v>
      </c>
      <c r="C48" s="30" t="s">
        <v>54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 t="shared" ref="X48:X61" si="5">IF(OR(A48="volume",A48="pipe",A48="junction"),X47+F48*COS(G48*PI()/180)*COS(H48*PI()/180)+J48,X47)</f>
        <v>-6.9740000000000002</v>
      </c>
      <c r="Y48" s="39">
        <f t="shared" ref="Y48:Y61" si="6">IF(OR(A48="volume",A48="pipe",A48="junction"),Y47+F48*COS(G48*PI()/180)*SIN(H48*PI()/180)+K48,Y47)</f>
        <v>-0.74999999999999922</v>
      </c>
      <c r="Z48" s="39">
        <f t="shared" ref="Z48:Z61" si="7">IF(OR(A48="volume",A48="pipe",A48="junction"),Z47+F48*SIN(G48*PI()/180)+L48,Z47)</f>
        <v>97.902000000000001</v>
      </c>
    </row>
    <row r="49" spans="1:26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5"/>
        <v>-6.9740000000000002</v>
      </c>
      <c r="Y49" s="39">
        <f t="shared" si="6"/>
        <v>-0.74999999999999922</v>
      </c>
      <c r="Z49" s="39">
        <f t="shared" si="7"/>
        <v>97.902000000000001</v>
      </c>
    </row>
    <row r="50" spans="1:26" ht="14.45" x14ac:dyDescent="0.3">
      <c r="A50" s="7" t="s">
        <v>7</v>
      </c>
      <c r="B50" s="7" t="s">
        <v>7</v>
      </c>
      <c r="C50" s="30" t="s">
        <v>7</v>
      </c>
      <c r="D50" s="7" t="str">
        <f t="shared" ref="D50:D60" si="8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 t="shared" si="5"/>
        <v>-6.9740000000000002</v>
      </c>
      <c r="Y50" s="39">
        <f t="shared" si="6"/>
        <v>-0.26899999999999924</v>
      </c>
      <c r="Z50" s="39">
        <f t="shared" si="7"/>
        <v>97.902000000000001</v>
      </c>
    </row>
    <row r="51" spans="1:26" ht="14.45" x14ac:dyDescent="0.3">
      <c r="A51" s="7" t="s">
        <v>7</v>
      </c>
      <c r="B51" s="7" t="s">
        <v>7</v>
      </c>
      <c r="C51" s="30" t="s">
        <v>7</v>
      </c>
      <c r="D51" s="7" t="str">
        <f t="shared" si="8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55</v>
      </c>
      <c r="X51" s="39">
        <f t="shared" si="5"/>
        <v>-6.9740000000000002</v>
      </c>
      <c r="Y51" s="39">
        <f t="shared" si="6"/>
        <v>-0.26899999999999924</v>
      </c>
      <c r="Z51" s="39">
        <f t="shared" si="7"/>
        <v>101.80200000000001</v>
      </c>
    </row>
    <row r="52" spans="1:26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 t="shared" si="5"/>
        <v>-6.9740000000000002</v>
      </c>
      <c r="Y52" s="39">
        <f t="shared" si="6"/>
        <v>-0.26899999999999924</v>
      </c>
      <c r="Z52" s="39">
        <f t="shared" si="7"/>
        <v>101.80200000000001</v>
      </c>
    </row>
    <row r="53" spans="1:26" ht="14.45" x14ac:dyDescent="0.3">
      <c r="A53" s="7" t="s">
        <v>47</v>
      </c>
      <c r="B53" s="7" t="s">
        <v>9</v>
      </c>
      <c r="C53" s="30" t="s">
        <v>56</v>
      </c>
      <c r="D53" s="7" t="str">
        <f>CONCATENATE("COMP_",ROW())</f>
        <v>COMP_53</v>
      </c>
      <c r="E53" s="7" t="s">
        <v>53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 t="shared" si="5"/>
        <v>-6.9740000000000002</v>
      </c>
      <c r="Y53" s="39">
        <f t="shared" si="6"/>
        <v>-0.26899999999999924</v>
      </c>
      <c r="Z53" s="39">
        <f t="shared" si="7"/>
        <v>101.88200000000001</v>
      </c>
    </row>
    <row r="54" spans="1:26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 t="shared" si="5"/>
        <v>-6.9740000000000002</v>
      </c>
      <c r="Y54" s="39">
        <f t="shared" si="6"/>
        <v>-0.26899999999999924</v>
      </c>
      <c r="Z54" s="39">
        <f t="shared" si="7"/>
        <v>101.88200000000001</v>
      </c>
    </row>
    <row r="55" spans="1:26" ht="14.45" x14ac:dyDescent="0.3">
      <c r="A55" s="7" t="s">
        <v>7</v>
      </c>
      <c r="B55" s="7" t="s">
        <v>7</v>
      </c>
      <c r="C55" s="30" t="s">
        <v>7</v>
      </c>
      <c r="D55" s="7" t="str">
        <f t="shared" si="8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 t="shared" si="5"/>
        <v>-6.9740000000000002</v>
      </c>
      <c r="Y55" s="39">
        <f t="shared" si="6"/>
        <v>-0.26899999999999924</v>
      </c>
      <c r="Z55" s="39">
        <f t="shared" si="7"/>
        <v>103.78200000000001</v>
      </c>
    </row>
    <row r="56" spans="1:26" ht="14.45" x14ac:dyDescent="0.3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5"/>
        <v>-6.9740000000000002</v>
      </c>
      <c r="Y56" s="39">
        <f t="shared" si="6"/>
        <v>-0.26899999999999924</v>
      </c>
      <c r="Z56" s="39">
        <f t="shared" si="7"/>
        <v>103.78200000000001</v>
      </c>
    </row>
    <row r="57" spans="1:26" ht="14.45" x14ac:dyDescent="0.3">
      <c r="A57" s="7" t="s">
        <v>47</v>
      </c>
      <c r="B57" s="7" t="s">
        <v>9</v>
      </c>
      <c r="C57" s="30" t="s">
        <v>57</v>
      </c>
      <c r="D57" s="7" t="str">
        <f>CONCATENATE("COMP_",ROW())</f>
        <v>COMP_57</v>
      </c>
      <c r="E57" s="7" t="s">
        <v>53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 t="shared" si="5"/>
        <v>-6.9740000000000002</v>
      </c>
      <c r="Y57" s="39">
        <f t="shared" si="6"/>
        <v>-0.26899999999999924</v>
      </c>
      <c r="Z57" s="39">
        <f t="shared" si="7"/>
        <v>103.858</v>
      </c>
    </row>
    <row r="58" spans="1:26" ht="14.45" x14ac:dyDescent="0.3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103.858</v>
      </c>
    </row>
    <row r="59" spans="1:26" ht="14.45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 t="shared" si="5"/>
        <v>-6.9740000000000002</v>
      </c>
      <c r="Y59" s="39">
        <f t="shared" si="6"/>
        <v>-0.26899999999999924</v>
      </c>
      <c r="Z59" s="39">
        <f t="shared" si="7"/>
        <v>106.44800000000001</v>
      </c>
    </row>
    <row r="60" spans="1:26" ht="14.45" x14ac:dyDescent="0.3">
      <c r="A60" s="7" t="s">
        <v>7</v>
      </c>
      <c r="B60" s="7" t="s">
        <v>7</v>
      </c>
      <c r="C60" s="30" t="s">
        <v>7</v>
      </c>
      <c r="D60" s="7" t="str">
        <f t="shared" si="8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-1.1219999999999992</v>
      </c>
      <c r="Z60" s="39">
        <f t="shared" si="7"/>
        <v>106.44800000000001</v>
      </c>
    </row>
    <row r="61" spans="1:26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5"/>
        <v>-6.9740000000000002</v>
      </c>
      <c r="Y61" s="39">
        <f t="shared" si="6"/>
        <v>-1.1219999999999992</v>
      </c>
      <c r="Z61" s="39">
        <f t="shared" si="7"/>
        <v>106.44800000000001</v>
      </c>
    </row>
    <row r="62" spans="1:26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ht="14.45" x14ac:dyDescent="0.3">
      <c r="A64" s="7" t="s">
        <v>25</v>
      </c>
      <c r="B64" s="7" t="s">
        <v>67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ht="14.45" x14ac:dyDescent="0.3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ref="X65:X77" si="9">IF(OR(A65="volume",A65="pipe",A65="junction"),X64+F65*COS(G65*PI()/180)*COS(H65*PI()/180)+J65,X64)</f>
        <v>0</v>
      </c>
      <c r="Y65" s="39">
        <f t="shared" ref="Y65:Y77" si="10">IF(OR(A65="volume",A65="pipe",A65="junction"),Y64+F65*COS(G65*PI()/180)*SIN(H65*PI()/180)+K65,Y64)</f>
        <v>0</v>
      </c>
      <c r="Z65" s="39">
        <f t="shared" ref="Z65:Z77" si="11">IF(OR(A65="volume",A65="pipe",A65="junction"),Z64+F65*SIN(G65*PI()/180)+L65,Z64)</f>
        <v>0</v>
      </c>
    </row>
    <row r="66" spans="1:26" ht="14.45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9"/>
        <v>0</v>
      </c>
      <c r="Y66" s="39">
        <f t="shared" si="10"/>
        <v>0</v>
      </c>
      <c r="Z66" s="39">
        <f t="shared" si="11"/>
        <v>0</v>
      </c>
    </row>
    <row r="67" spans="1:26" ht="14.45" x14ac:dyDescent="0.3">
      <c r="A67" s="7" t="s">
        <v>7</v>
      </c>
      <c r="B67" s="7" t="s">
        <v>7</v>
      </c>
      <c r="C67" s="30" t="s">
        <v>7</v>
      </c>
      <c r="D67" s="7" t="str">
        <f t="shared" ref="D67:D72" si="12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9"/>
        <v>0.12374368670764582</v>
      </c>
      <c r="Y67" s="39">
        <f t="shared" si="10"/>
        <v>0.12374368670764579</v>
      </c>
      <c r="Z67" s="39">
        <f t="shared" si="11"/>
        <v>0</v>
      </c>
    </row>
    <row r="68" spans="1:26" ht="14.45" x14ac:dyDescent="0.3">
      <c r="A68" s="7" t="s">
        <v>7</v>
      </c>
      <c r="B68" s="7" t="s">
        <v>7</v>
      </c>
      <c r="C68" s="30" t="s">
        <v>7</v>
      </c>
      <c r="D68" s="7" t="str">
        <f t="shared" si="12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9"/>
        <v>0.59874368670764577</v>
      </c>
      <c r="Y68" s="39">
        <f t="shared" si="10"/>
        <v>0.12374368670764579</v>
      </c>
      <c r="Z68" s="39">
        <f t="shared" si="11"/>
        <v>0</v>
      </c>
    </row>
    <row r="69" spans="1:26" ht="14.45" x14ac:dyDescent="0.3">
      <c r="A69" s="7" t="s">
        <v>7</v>
      </c>
      <c r="B69" s="7" t="s">
        <v>7</v>
      </c>
      <c r="C69" s="30" t="s">
        <v>7</v>
      </c>
      <c r="D69" s="7" t="str">
        <f t="shared" si="12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 t="shared" si="9"/>
        <v>0.59874368670764577</v>
      </c>
      <c r="Y69" s="39">
        <f t="shared" si="10"/>
        <v>0.57174368670764575</v>
      </c>
      <c r="Z69" s="39">
        <f t="shared" si="11"/>
        <v>0</v>
      </c>
    </row>
    <row r="70" spans="1:26" ht="14.45" x14ac:dyDescent="0.3">
      <c r="A70" s="7" t="s">
        <v>7</v>
      </c>
      <c r="B70" s="7" t="s">
        <v>7</v>
      </c>
      <c r="C70" s="30" t="s">
        <v>7</v>
      </c>
      <c r="D70" s="7" t="str">
        <f t="shared" si="12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 t="shared" si="9"/>
        <v>0.59874368670764577</v>
      </c>
      <c r="Y70" s="39">
        <f t="shared" si="10"/>
        <v>0.57174368670764575</v>
      </c>
      <c r="Z70" s="39">
        <f t="shared" si="11"/>
        <v>0.114</v>
      </c>
    </row>
    <row r="71" spans="1:26" ht="14.45" x14ac:dyDescent="0.3">
      <c r="A71" s="7" t="s">
        <v>7</v>
      </c>
      <c r="B71" s="7" t="s">
        <v>7</v>
      </c>
      <c r="C71" s="30" t="s">
        <v>7</v>
      </c>
      <c r="D71" s="7" t="str">
        <f t="shared" si="12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 t="shared" si="9"/>
        <v>0.59874368670764577</v>
      </c>
      <c r="Y71" s="39">
        <f t="shared" si="10"/>
        <v>0.57174368670764575</v>
      </c>
      <c r="Z71" s="39">
        <f t="shared" si="11"/>
        <v>0.25700000000000001</v>
      </c>
    </row>
    <row r="72" spans="1:26" ht="14.45" x14ac:dyDescent="0.3">
      <c r="A72" s="7" t="s">
        <v>7</v>
      </c>
      <c r="B72" s="7" t="s">
        <v>7</v>
      </c>
      <c r="C72" s="30" t="s">
        <v>7</v>
      </c>
      <c r="D72" s="7" t="str">
        <f t="shared" si="12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 t="shared" si="9"/>
        <v>0.59874368670764577</v>
      </c>
      <c r="Y72" s="39">
        <f t="shared" si="10"/>
        <v>0.57174368670764575</v>
      </c>
      <c r="Z72" s="39">
        <f t="shared" si="11"/>
        <v>0.49099999999999999</v>
      </c>
    </row>
    <row r="73" spans="1:26" ht="14.45" x14ac:dyDescent="0.3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9"/>
        <v>0.59874368670764577</v>
      </c>
      <c r="Y73" s="39">
        <f t="shared" si="10"/>
        <v>0.57174368670764575</v>
      </c>
      <c r="Z73" s="39">
        <f t="shared" si="11"/>
        <v>0.49099999999999999</v>
      </c>
    </row>
    <row r="74" spans="1:26" ht="14.45" x14ac:dyDescent="0.3">
      <c r="A74" s="7" t="s">
        <v>47</v>
      </c>
      <c r="B74" s="7" t="s">
        <v>9</v>
      </c>
      <c r="C74" s="30" t="s">
        <v>64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 t="shared" si="9"/>
        <v>0.59874368670764577</v>
      </c>
      <c r="Y74" s="39">
        <f t="shared" si="10"/>
        <v>0.57174368670764575</v>
      </c>
      <c r="Z74" s="39">
        <f t="shared" si="11"/>
        <v>0.49099999999999999</v>
      </c>
    </row>
    <row r="75" spans="1:26" ht="14.45" x14ac:dyDescent="0.3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9"/>
        <v>0.59874368670764577</v>
      </c>
      <c r="Y75" s="39">
        <f t="shared" si="10"/>
        <v>0.57174368670764575</v>
      </c>
      <c r="Z75" s="39">
        <f t="shared" si="11"/>
        <v>0.49099999999999999</v>
      </c>
    </row>
    <row r="76" spans="1:26" ht="14.45" x14ac:dyDescent="0.3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9"/>
        <v>1.2437436867076457</v>
      </c>
      <c r="Y76" s="39">
        <f t="shared" si="10"/>
        <v>0.57174368670764575</v>
      </c>
      <c r="Z76" s="39">
        <f t="shared" si="11"/>
        <v>0.49099999999999999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9"/>
        <v>1.2437436867076457</v>
      </c>
      <c r="Y77" s="39">
        <f t="shared" si="10"/>
        <v>0.57174368670764575</v>
      </c>
      <c r="Z77" s="39">
        <f t="shared" si="11"/>
        <v>0.49099999999999999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25">
      <c r="A85" s="7" t="s">
        <v>25</v>
      </c>
      <c r="B85" s="7" t="s">
        <v>58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25">
      <c r="A86" s="7" t="s">
        <v>30</v>
      </c>
      <c r="B86" s="7" t="s">
        <v>21</v>
      </c>
      <c r="C86" s="30" t="s">
        <v>59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25</v>
      </c>
      <c r="B90" s="7" t="s">
        <v>60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13">Y40</f>
        <v>-0.74999999999999922</v>
      </c>
      <c r="Z90" s="39">
        <f t="shared" si="13"/>
        <v>97.902000000000001</v>
      </c>
    </row>
    <row r="91" spans="1:26" x14ac:dyDescent="0.25">
      <c r="A91" s="7" t="s">
        <v>30</v>
      </c>
      <c r="B91" s="7" t="s">
        <v>21</v>
      </c>
      <c r="C91" s="30" t="s">
        <v>61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25</v>
      </c>
      <c r="B94" s="7" t="s">
        <v>68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25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 t="shared" ref="X95:X109" si="14">IF(OR(A95="volume",A95="pipe",A95="junction"),X94+F95*COS(G95*PI()/180)*COS(H95*PI()/180)+J95,X94)</f>
        <v>0</v>
      </c>
      <c r="Y95" s="39">
        <f t="shared" ref="Y95:Y109" si="15">IF(OR(A95="volume",A95="pipe",A95="junction"),Y94+F95*COS(G95*PI()/180)*SIN(H95*PI()/180)+K95,Y94)</f>
        <v>0</v>
      </c>
      <c r="Z95" s="39">
        <f t="shared" ref="Z95:Z109" si="16"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4"/>
        <v>0</v>
      </c>
      <c r="Y96" s="39">
        <f t="shared" si="15"/>
        <v>0</v>
      </c>
      <c r="Z96" s="39">
        <f t="shared" si="16"/>
        <v>0</v>
      </c>
    </row>
    <row r="97" spans="1:26" x14ac:dyDescent="0.25">
      <c r="A97" s="7" t="s">
        <v>7</v>
      </c>
      <c r="B97" s="7" t="s">
        <v>7</v>
      </c>
      <c r="C97" s="30" t="s">
        <v>7</v>
      </c>
      <c r="D97" s="7" t="str">
        <f t="shared" ref="D97:D100" si="17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62</v>
      </c>
      <c r="V97" s="7"/>
      <c r="X97" s="39">
        <f t="shared" si="14"/>
        <v>2.5478493555393392E-17</v>
      </c>
      <c r="Y97" s="39">
        <f t="shared" si="15"/>
        <v>0</v>
      </c>
      <c r="Z97" s="39">
        <f t="shared" si="16"/>
        <v>0.41592500000000004</v>
      </c>
    </row>
    <row r="98" spans="1:26" x14ac:dyDescent="0.25">
      <c r="A98" s="7" t="s">
        <v>7</v>
      </c>
      <c r="B98" s="7" t="s">
        <v>7</v>
      </c>
      <c r="C98" s="30" t="s">
        <v>7</v>
      </c>
      <c r="D98" s="7" t="str">
        <f t="shared" si="17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62</v>
      </c>
      <c r="V98" s="7"/>
      <c r="X98" s="39">
        <f t="shared" si="14"/>
        <v>-0.16246266256606498</v>
      </c>
      <c r="Y98" s="39">
        <f t="shared" si="15"/>
        <v>-0.37511064184252013</v>
      </c>
      <c r="Z98" s="39">
        <f t="shared" si="16"/>
        <v>0.41592500000000004</v>
      </c>
    </row>
    <row r="99" spans="1:26" x14ac:dyDescent="0.25">
      <c r="A99" s="7" t="s">
        <v>7</v>
      </c>
      <c r="B99" s="7" t="s">
        <v>7</v>
      </c>
      <c r="C99" s="30" t="s">
        <v>7</v>
      </c>
      <c r="D99" s="7" t="str">
        <f t="shared" si="17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62</v>
      </c>
      <c r="V99" s="7"/>
      <c r="X99" s="39">
        <f t="shared" si="14"/>
        <v>-0.16246266256606487</v>
      </c>
      <c r="Y99" s="39">
        <f t="shared" si="15"/>
        <v>-0.37511064184252013</v>
      </c>
      <c r="Z99" s="39">
        <f t="shared" si="16"/>
        <v>-1.3779749999999997</v>
      </c>
    </row>
    <row r="100" spans="1:26" x14ac:dyDescent="0.25">
      <c r="A100" s="7" t="s">
        <v>7</v>
      </c>
      <c r="B100" s="7" t="s">
        <v>7</v>
      </c>
      <c r="C100" s="30" t="s">
        <v>7</v>
      </c>
      <c r="D100" s="7" t="str">
        <f t="shared" si="17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62</v>
      </c>
      <c r="V100" s="7"/>
      <c r="X100" s="39">
        <f t="shared" si="14"/>
        <v>0.50031858743393509</v>
      </c>
      <c r="Y100" s="39">
        <f t="shared" si="15"/>
        <v>-0.37511064184252013</v>
      </c>
      <c r="Z100" s="39">
        <f t="shared" si="16"/>
        <v>-1.3779749999999997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 t="shared" si="14"/>
        <v>0.50031858743393509</v>
      </c>
      <c r="Y101" s="39">
        <f t="shared" si="15"/>
        <v>-0.37511064184252013</v>
      </c>
      <c r="Z101" s="39">
        <f t="shared" si="16"/>
        <v>-1.3779749999999997</v>
      </c>
    </row>
    <row r="102" spans="1:26" x14ac:dyDescent="0.25">
      <c r="A102" s="7" t="s">
        <v>47</v>
      </c>
      <c r="B102" s="7" t="s">
        <v>10</v>
      </c>
      <c r="C102" s="30" t="s">
        <v>63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 t="shared" si="14"/>
        <v>0.50031858743393509</v>
      </c>
      <c r="Y102" s="39">
        <f t="shared" si="15"/>
        <v>-0.37511064184252013</v>
      </c>
      <c r="Z102" s="39">
        <f t="shared" si="16"/>
        <v>-1.3779749999999997</v>
      </c>
    </row>
    <row r="103" spans="1:26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 t="shared" si="14"/>
        <v>0.50031858743393509</v>
      </c>
      <c r="Y103" s="39">
        <f t="shared" si="15"/>
        <v>-0.37511064184252013</v>
      </c>
      <c r="Z103" s="39">
        <f t="shared" si="16"/>
        <v>-1.3779749999999997</v>
      </c>
    </row>
    <row r="104" spans="1:26" x14ac:dyDescent="0.25">
      <c r="A104" s="7" t="s">
        <v>7</v>
      </c>
      <c r="B104" s="7" t="s">
        <v>7</v>
      </c>
      <c r="C104" s="30" t="s">
        <v>7</v>
      </c>
      <c r="D104" s="7" t="str">
        <f t="shared" ref="D104:D106" si="18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62</v>
      </c>
      <c r="V104" s="7"/>
      <c r="X104" s="39">
        <f t="shared" si="14"/>
        <v>0.74161858743393505</v>
      </c>
      <c r="Y104" s="39">
        <f t="shared" si="15"/>
        <v>-0.37511064184252013</v>
      </c>
      <c r="Z104" s="39">
        <f t="shared" si="16"/>
        <v>-1.3779749999999997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si="18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62</v>
      </c>
      <c r="V105" s="7"/>
      <c r="X105" s="39">
        <f t="shared" si="14"/>
        <v>0.74161858743393505</v>
      </c>
      <c r="Y105" s="39">
        <f t="shared" si="15"/>
        <v>-0.37511064184252013</v>
      </c>
      <c r="Z105" s="39">
        <f t="shared" si="16"/>
        <v>-0.83797499999999969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8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62</v>
      </c>
      <c r="V106" s="7"/>
      <c r="X106" s="39">
        <f t="shared" si="14"/>
        <v>0.74161858743393505</v>
      </c>
      <c r="Y106" s="39">
        <f t="shared" si="15"/>
        <v>-6.4184252013266274E-7</v>
      </c>
      <c r="Z106" s="39">
        <f t="shared" si="16"/>
        <v>-0.83797499999999969</v>
      </c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 t="shared" si="14"/>
        <v>0.74161858743393505</v>
      </c>
      <c r="Y107" s="39">
        <f t="shared" si="15"/>
        <v>-6.4184252013266274E-7</v>
      </c>
      <c r="Z107" s="39">
        <f t="shared" si="16"/>
        <v>-0.83797499999999969</v>
      </c>
    </row>
    <row r="108" spans="1:26" x14ac:dyDescent="0.25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 t="shared" si="14"/>
        <v>0.74161858743393505</v>
      </c>
      <c r="Y108" s="39">
        <f t="shared" si="15"/>
        <v>-6.4184252013266274E-7</v>
      </c>
      <c r="Z108" s="39">
        <f t="shared" si="16"/>
        <v>-0.83797499999999969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0.74161858743393505</v>
      </c>
      <c r="Y109" s="39">
        <f t="shared" si="15"/>
        <v>-6.4184252013266274E-7</v>
      </c>
      <c r="Z109" s="39">
        <f t="shared" si="16"/>
        <v>-0.83797499999999969</v>
      </c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 t="s">
        <v>25</v>
      </c>
      <c r="B112" s="7" t="s">
        <v>72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25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 t="shared" ref="X113:X120" si="19">IF(OR(A113="volume",A113="pipe",A113="junction"),X112+F113*COS(G113*PI()/180)*COS(H113*PI()/180)+J113,X112)</f>
        <v>0</v>
      </c>
      <c r="Y113" s="39">
        <f t="shared" ref="Y113:Y120" si="20">IF(OR(A113="volume",A113="pipe",A113="junction"),Y112+F113*COS(G113*PI()/180)*SIN(H113*PI()/180)+K113,Y112)</f>
        <v>0</v>
      </c>
      <c r="Z113" s="39">
        <f t="shared" ref="Z113:Z120" si="21">IF(OR(A113="volume",A113="pipe",A113="junction"),Z112+F113*SIN(G113*PI()/180)+L113,Z112)</f>
        <v>0</v>
      </c>
    </row>
    <row r="114" spans="1:26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 t="shared" si="19"/>
        <v>0</v>
      </c>
      <c r="Y114" s="39">
        <f t="shared" si="20"/>
        <v>0</v>
      </c>
      <c r="Z114" s="39">
        <f t="shared" si="21"/>
        <v>0</v>
      </c>
    </row>
    <row r="115" spans="1:26" x14ac:dyDescent="0.25">
      <c r="A115" s="7" t="s">
        <v>7</v>
      </c>
      <c r="B115" s="7" t="s">
        <v>7</v>
      </c>
      <c r="C115" s="30" t="s">
        <v>7</v>
      </c>
      <c r="D115" s="7" t="str">
        <f t="shared" ref="D115:D119" si="22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62</v>
      </c>
      <c r="V115" s="7"/>
      <c r="X115" s="39">
        <f t="shared" si="19"/>
        <v>-6.9833461929791343E-17</v>
      </c>
      <c r="Y115" s="39">
        <f t="shared" si="20"/>
        <v>-0.38</v>
      </c>
      <c r="Z115" s="39">
        <f t="shared" si="21"/>
        <v>0.37999999999999995</v>
      </c>
    </row>
    <row r="116" spans="1:26" x14ac:dyDescent="0.25">
      <c r="A116" s="7" t="s">
        <v>7</v>
      </c>
      <c r="B116" s="7" t="s">
        <v>7</v>
      </c>
      <c r="C116" s="30" t="s">
        <v>7</v>
      </c>
      <c r="D116" s="7" t="str">
        <f t="shared" si="22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62</v>
      </c>
      <c r="V116" s="7"/>
      <c r="X116" s="39">
        <f t="shared" si="19"/>
        <v>0.39999999999999997</v>
      </c>
      <c r="Y116" s="39">
        <f t="shared" si="20"/>
        <v>-0.38</v>
      </c>
      <c r="Z116" s="39">
        <f t="shared" si="21"/>
        <v>0.37999999999999995</v>
      </c>
    </row>
    <row r="117" spans="1:26" x14ac:dyDescent="0.25">
      <c r="A117" s="7" t="s">
        <v>7</v>
      </c>
      <c r="B117" s="7" t="s">
        <v>7</v>
      </c>
      <c r="C117" s="30" t="s">
        <v>7</v>
      </c>
      <c r="D117" s="7" t="str">
        <f t="shared" si="22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62</v>
      </c>
      <c r="V117" s="7"/>
      <c r="X117" s="39">
        <f t="shared" si="19"/>
        <v>0.4</v>
      </c>
      <c r="Y117" s="39">
        <f t="shared" si="20"/>
        <v>-0.38</v>
      </c>
      <c r="Z117" s="39">
        <f t="shared" si="21"/>
        <v>1.24</v>
      </c>
    </row>
    <row r="118" spans="1:26" x14ac:dyDescent="0.25">
      <c r="A118" s="7" t="s">
        <v>7</v>
      </c>
      <c r="B118" s="7" t="s">
        <v>7</v>
      </c>
      <c r="C118" s="30" t="s">
        <v>7</v>
      </c>
      <c r="D118" s="7" t="str">
        <f t="shared" si="22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62</v>
      </c>
      <c r="V118" s="7"/>
      <c r="X118" s="39">
        <f t="shared" si="19"/>
        <v>0</v>
      </c>
      <c r="Y118" s="39">
        <f t="shared" si="20"/>
        <v>-0.58000000000000007</v>
      </c>
      <c r="Z118" s="39">
        <f t="shared" si="21"/>
        <v>1.24</v>
      </c>
    </row>
    <row r="119" spans="1:26" x14ac:dyDescent="0.25">
      <c r="A119" s="7" t="s">
        <v>7</v>
      </c>
      <c r="B119" s="7" t="s">
        <v>7</v>
      </c>
      <c r="C119" s="30" t="s">
        <v>7</v>
      </c>
      <c r="D119" s="7" t="str">
        <f t="shared" si="22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62</v>
      </c>
      <c r="V119" s="7"/>
      <c r="X119" s="39">
        <f t="shared" si="19"/>
        <v>0</v>
      </c>
      <c r="Y119" s="39">
        <f t="shared" si="20"/>
        <v>-0.76100000000000012</v>
      </c>
      <c r="Z119" s="39">
        <f t="shared" si="21"/>
        <v>0.82499999999999996</v>
      </c>
    </row>
    <row r="120" spans="1:26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 t="shared" si="19"/>
        <v>0</v>
      </c>
      <c r="Y120" s="39">
        <f t="shared" si="20"/>
        <v>-0.76100000000000012</v>
      </c>
      <c r="Z120" s="39">
        <f t="shared" si="21"/>
        <v>0.82499999999999996</v>
      </c>
    </row>
    <row r="121" spans="1:26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25">
      <c r="A123" s="7" t="s">
        <v>25</v>
      </c>
      <c r="B123" s="7" t="s">
        <v>70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25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 t="shared" ref="X124:X131" si="23">IF(OR(A124="volume",A124="pipe",A124="junction"),X123+F124*COS(G124*PI()/180)*COS(H124*PI()/180)+J124,X123)</f>
        <v>0</v>
      </c>
      <c r="Y124" s="39">
        <f t="shared" ref="Y124:Y131" si="24">IF(OR(A124="volume",A124="pipe",A124="junction"),Y123+F124*COS(G124*PI()/180)*SIN(H124*PI()/180)+K124,Y123)</f>
        <v>0</v>
      </c>
      <c r="Z124" s="39">
        <f t="shared" ref="Z124:Z131" si="25">IF(OR(A124="volume",A124="pipe",A124="junction"),Z123+F124*SIN(G124*PI()/180)+L124,Z123)</f>
        <v>0</v>
      </c>
    </row>
    <row r="125" spans="1:26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 t="shared" si="23"/>
        <v>0</v>
      </c>
      <c r="Y125" s="39">
        <f t="shared" si="24"/>
        <v>0</v>
      </c>
      <c r="Z125" s="39">
        <f t="shared" si="25"/>
        <v>0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ref="D126:D130" si="26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62</v>
      </c>
      <c r="V126" s="7"/>
      <c r="X126" s="39">
        <f t="shared" si="23"/>
        <v>0</v>
      </c>
      <c r="Y126" s="39">
        <f t="shared" si="24"/>
        <v>-0.18099999999999999</v>
      </c>
      <c r="Z126" s="39">
        <f t="shared" si="25"/>
        <v>0.41499999999999998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6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62</v>
      </c>
      <c r="V127" s="7"/>
      <c r="X127" s="39">
        <f t="shared" si="23"/>
        <v>0.4</v>
      </c>
      <c r="Y127" s="39">
        <f t="shared" si="24"/>
        <v>-0.38100000000000001</v>
      </c>
      <c r="Z127" s="39">
        <f t="shared" si="25"/>
        <v>0.41499999999999998</v>
      </c>
    </row>
    <row r="128" spans="1:26" x14ac:dyDescent="0.25">
      <c r="A128" s="7" t="s">
        <v>7</v>
      </c>
      <c r="B128" s="7" t="s">
        <v>7</v>
      </c>
      <c r="C128" s="30" t="s">
        <v>7</v>
      </c>
      <c r="D128" s="7" t="str">
        <f t="shared" si="26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62</v>
      </c>
      <c r="V128" s="7"/>
      <c r="X128" s="39">
        <f t="shared" si="23"/>
        <v>0.4</v>
      </c>
      <c r="Y128" s="39">
        <f t="shared" si="24"/>
        <v>-0.38100000000000001</v>
      </c>
      <c r="Z128" s="39">
        <f t="shared" si="25"/>
        <v>-0.83799999999999986</v>
      </c>
    </row>
    <row r="129" spans="1:26" x14ac:dyDescent="0.25">
      <c r="A129" s="7" t="s">
        <v>7</v>
      </c>
      <c r="B129" s="7" t="s">
        <v>7</v>
      </c>
      <c r="C129" s="30" t="s">
        <v>7</v>
      </c>
      <c r="D129" s="7" t="str">
        <f t="shared" si="26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62</v>
      </c>
      <c r="V129" s="7"/>
      <c r="X129" s="39">
        <f t="shared" si="23"/>
        <v>0</v>
      </c>
      <c r="Y129" s="39">
        <f t="shared" si="24"/>
        <v>-0.38100000000000001</v>
      </c>
      <c r="Z129" s="39">
        <f t="shared" si="25"/>
        <v>-0.83799999999999986</v>
      </c>
    </row>
    <row r="130" spans="1:26" x14ac:dyDescent="0.25">
      <c r="A130" s="7" t="s">
        <v>7</v>
      </c>
      <c r="B130" s="7" t="s">
        <v>7</v>
      </c>
      <c r="C130" s="30" t="s">
        <v>7</v>
      </c>
      <c r="D130" s="7" t="str">
        <f t="shared" si="26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62</v>
      </c>
      <c r="V130" s="7"/>
      <c r="X130" s="39">
        <f t="shared" si="23"/>
        <v>0</v>
      </c>
      <c r="Y130" s="39">
        <f t="shared" si="24"/>
        <v>0</v>
      </c>
      <c r="Z130" s="39">
        <f t="shared" si="25"/>
        <v>-0.83799999999999986</v>
      </c>
    </row>
    <row r="131" spans="1:26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 t="shared" si="23"/>
        <v>0</v>
      </c>
      <c r="Y131" s="39">
        <f t="shared" si="24"/>
        <v>0</v>
      </c>
      <c r="Z131" s="39">
        <f t="shared" si="25"/>
        <v>-0.83799999999999986</v>
      </c>
    </row>
    <row r="132" spans="1:26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25">
      <c r="A133" s="7" t="s">
        <v>25</v>
      </c>
      <c r="B133" s="7" t="s">
        <v>71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25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ref="D136" si="27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62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56" priority="39" stopIfTrue="1">
      <formula>$A16="Pipe"</formula>
    </cfRule>
  </conditionalFormatting>
  <conditionalFormatting sqref="Q183:Q337 S183:S337 J183:J337 U183:U337 A183:A337 O183:O337 M183:M337">
    <cfRule type="expression" dxfId="55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54" priority="37">
      <formula>OR($A183="Pipe",$A183="Component",$A183="Volume")</formula>
    </cfRule>
  </conditionalFormatting>
  <conditionalFormatting sqref="K183:K337 B183:D337 G183:H337">
    <cfRule type="expression" dxfId="53" priority="35">
      <formula>OR($A183="Pipe",$A183="Component",$A183="Volume")</formula>
    </cfRule>
  </conditionalFormatting>
  <conditionalFormatting sqref="U183:V337 A183:P337">
    <cfRule type="expression" dxfId="52" priority="34">
      <formula>$A183="Pipe"</formula>
    </cfRule>
  </conditionalFormatting>
  <conditionalFormatting sqref="Q183:T337">
    <cfRule type="expression" dxfId="51" priority="33">
      <formula>OR($A183="Volume",$A183="Pipe")</formula>
    </cfRule>
  </conditionalFormatting>
  <conditionalFormatting sqref="A183:V337">
    <cfRule type="expression" dxfId="50" priority="32">
      <formula>$A183="Component"</formula>
    </cfRule>
  </conditionalFormatting>
  <conditionalFormatting sqref="U183:V337 A183:P337">
    <cfRule type="expression" dxfId="49" priority="31">
      <formula>$A183="Volume"</formula>
    </cfRule>
  </conditionalFormatting>
  <conditionalFormatting sqref="J183:L337">
    <cfRule type="cellIs" dxfId="48" priority="30" operator="notEqual">
      <formula>0</formula>
    </cfRule>
  </conditionalFormatting>
  <conditionalFormatting sqref="F183:F337">
    <cfRule type="expression" dxfId="47" priority="38">
      <formula>OR($A183="Pipe",$A183="Component",$A183="Volume")</formula>
    </cfRule>
  </conditionalFormatting>
  <conditionalFormatting sqref="T22:V182 A22:P182">
    <cfRule type="expression" dxfId="46" priority="27">
      <formula>$A22="Volume"</formula>
    </cfRule>
    <cfRule type="expression" dxfId="45" priority="29">
      <formula>$A22="Pipe"</formula>
    </cfRule>
  </conditionalFormatting>
  <conditionalFormatting sqref="A22:V182">
    <cfRule type="expression" dxfId="44" priority="25">
      <formula>$A22="Junction"</formula>
    </cfRule>
  </conditionalFormatting>
  <conditionalFormatting sqref="Q22:T182">
    <cfRule type="expression" dxfId="43" priority="24">
      <formula>OR($A22="Pipe",$A22="Volume")</formula>
    </cfRule>
  </conditionalFormatting>
  <conditionalFormatting sqref="J22:L182">
    <cfRule type="expression" dxfId="42" priority="23">
      <formula>AND(OR($A22="Junction",$A22="Pipe",$A22="Volume"),J22&lt;&gt;0)</formula>
    </cfRule>
  </conditionalFormatting>
  <conditionalFormatting sqref="R22:R182 T22:T182">
    <cfRule type="expression" dxfId="41" priority="22">
      <formula>AND($A22="Junction",ISNUMBER(R22))</formula>
    </cfRule>
  </conditionalFormatting>
  <conditionalFormatting sqref="B22:D182 F22:F182 H22:H182 K22:K182">
    <cfRule type="expression" dxfId="40" priority="20">
      <formula>OR($A22="Junction",$A22="Pipe",$A22="Volume")</formula>
    </cfRule>
  </conditionalFormatting>
  <conditionalFormatting sqref="G22:G182 J22:J182 M22:M182 Q22:Q182 S22:S182 U22:U182 A22:A182 O22:O182">
    <cfRule type="expression" dxfId="39" priority="16">
      <formula>OR($A22="Junction",$A22="Pipe",$A22="Volume")</formula>
    </cfRule>
  </conditionalFormatting>
  <conditionalFormatting sqref="E22:E182 I22:I182 L22:L182 N22:N182 P22:P182 R22:R182 T22:T182 V22:V182">
    <cfRule type="expression" dxfId="38" priority="8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0" t="s">
        <v>32</v>
      </c>
      <c r="B6" s="40"/>
      <c r="C6" s="40"/>
      <c r="D6" s="41" t="s">
        <v>80</v>
      </c>
      <c r="E6" s="41"/>
      <c r="F6" s="41"/>
      <c r="G6" s="41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37" priority="19" stopIfTrue="1">
      <formula>$A16="Pipe"</formula>
    </cfRule>
  </conditionalFormatting>
  <conditionalFormatting sqref="Q183:Q337 S183:S337 J183:J337 U183:U337 A183:A337 O183:O337 M183:M337">
    <cfRule type="expression" dxfId="36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35" priority="17">
      <formula>OR($A183="Pipe",$A183="Component",$A183="Volume")</formula>
    </cfRule>
  </conditionalFormatting>
  <conditionalFormatting sqref="K183:K337 B183:D337 G183:H337">
    <cfRule type="expression" dxfId="34" priority="15">
      <formula>OR($A183="Pipe",$A183="Component",$A183="Volume")</formula>
    </cfRule>
  </conditionalFormatting>
  <conditionalFormatting sqref="U183:V337 A183:P337">
    <cfRule type="expression" dxfId="33" priority="14">
      <formula>$A183="Pipe"</formula>
    </cfRule>
  </conditionalFormatting>
  <conditionalFormatting sqref="Q183:T337">
    <cfRule type="expression" dxfId="32" priority="13">
      <formula>OR($A183="Volume",$A183="Pipe")</formula>
    </cfRule>
  </conditionalFormatting>
  <conditionalFormatting sqref="A183:V337">
    <cfRule type="expression" dxfId="31" priority="12">
      <formula>$A183="Component"</formula>
    </cfRule>
  </conditionalFormatting>
  <conditionalFormatting sqref="U183:V337 A183:P337">
    <cfRule type="expression" dxfId="30" priority="11">
      <formula>$A183="Volume"</formula>
    </cfRule>
  </conditionalFormatting>
  <conditionalFormatting sqref="J183:L337">
    <cfRule type="cellIs" dxfId="29" priority="10" operator="notEqual">
      <formula>0</formula>
    </cfRule>
  </conditionalFormatting>
  <conditionalFormatting sqref="F183:F337">
    <cfRule type="expression" dxfId="28" priority="18">
      <formula>OR($A183="Pipe",$A183="Component",$A183="Volume")</formula>
    </cfRule>
  </conditionalFormatting>
  <conditionalFormatting sqref="T22:V182 A22:P182">
    <cfRule type="expression" dxfId="27" priority="8">
      <formula>$A22="Volume"</formula>
    </cfRule>
    <cfRule type="expression" dxfId="26" priority="9">
      <formula>$A22="Pipe"</formula>
    </cfRule>
  </conditionalFormatting>
  <conditionalFormatting sqref="A22:V182">
    <cfRule type="expression" dxfId="25" priority="7">
      <formula>$A22="Junction"</formula>
    </cfRule>
  </conditionalFormatting>
  <conditionalFormatting sqref="Q22:T182">
    <cfRule type="expression" dxfId="24" priority="6">
      <formula>OR($A22="Pipe",$A22="Volume")</formula>
    </cfRule>
  </conditionalFormatting>
  <conditionalFormatting sqref="J22:L182">
    <cfRule type="expression" dxfId="23" priority="5">
      <formula>AND(OR($A22="Junction",$A22="Pipe",$A22="Volume"),J22&lt;&gt;0)</formula>
    </cfRule>
  </conditionalFormatting>
  <conditionalFormatting sqref="R22:R182 T22:T182">
    <cfRule type="expression" dxfId="22" priority="4">
      <formula>AND($A22="Junction",ISNUMBER(R22))</formula>
    </cfRule>
  </conditionalFormatting>
  <conditionalFormatting sqref="B22:D182 F22:F182 H22:H182 K22:K182">
    <cfRule type="expression" dxfId="21" priority="3">
      <formula>OR($A22="Junction",$A22="Pipe",$A22="Volume")</formula>
    </cfRule>
  </conditionalFormatting>
  <conditionalFormatting sqref="G22:G182 J22:J182 M22:M182 Q22:Q182 S22:S182 U22:U182 A22:A182 O22:O182">
    <cfRule type="expression" dxfId="20" priority="2">
      <formula>OR($A22="Junction",$A22="Pipe",$A22="Volume")</formula>
    </cfRule>
  </conditionalFormatting>
  <conditionalFormatting sqref="E22:E182 I22:I182 L22:L182 N22:N182 P22:P182 R22:R182 T22:T182 V22:V182">
    <cfRule type="expression" dxfId="19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133350</xdr:colOff>
                    <xdr:row>1</xdr:row>
                    <xdr:rowOff>123825</xdr:rowOff>
                  </from>
                  <to>
                    <xdr:col>25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Z337"/>
  <sheetViews>
    <sheetView zoomScale="85" zoomScaleNormal="85" workbookViewId="0">
      <pane ySplit="4" topLeftCell="A5" activePane="bottomLeft" state="frozenSplit"/>
      <selection pane="bottomLeft" activeCell="D6" sqref="D6:G6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0" t="s">
        <v>32</v>
      </c>
      <c r="B6" s="40"/>
      <c r="C6" s="40"/>
      <c r="D6" s="41" t="s">
        <v>80</v>
      </c>
      <c r="E6" s="41"/>
      <c r="F6" s="41"/>
      <c r="G6" s="41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>
        <v>1.0606601717798212</v>
      </c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-90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f>270+45</f>
        <v>315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D28</f>
        <v>JUNC_28</v>
      </c>
      <c r="R62" s="31">
        <v>1</v>
      </c>
      <c r="S62" s="7" t="str">
        <f ca="1">OFFSET($A$1,ROW()+1,3)</f>
        <v>PIPE_64</v>
      </c>
      <c r="T62" s="31" t="s">
        <v>43</v>
      </c>
      <c r="U62" s="7"/>
      <c r="V62" s="7"/>
    </row>
    <row r="63" spans="1:22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25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19" stopIfTrue="1">
      <formula>$A16="Pipe"</formula>
    </cfRule>
  </conditionalFormatting>
  <conditionalFormatting sqref="Q183:Q337 S183:S337 J183:J337 U183:U337 A183:A337 O183:O337 M183:M337">
    <cfRule type="expression" dxfId="17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17">
      <formula>OR($A183="Pipe",$A183="Component",$A183="Volume")</formula>
    </cfRule>
  </conditionalFormatting>
  <conditionalFormatting sqref="K183:K337 B183:D337 G183:H337">
    <cfRule type="expression" dxfId="15" priority="15">
      <formula>OR($A183="Pipe",$A183="Component",$A183="Volume")</formula>
    </cfRule>
  </conditionalFormatting>
  <conditionalFormatting sqref="U183:V337 A183:P337">
    <cfRule type="expression" dxfId="14" priority="14">
      <formula>$A183="Pipe"</formula>
    </cfRule>
  </conditionalFormatting>
  <conditionalFormatting sqref="Q183:T337">
    <cfRule type="expression" dxfId="13" priority="13">
      <formula>OR($A183="Volume",$A183="Pipe")</formula>
    </cfRule>
  </conditionalFormatting>
  <conditionalFormatting sqref="A183:V337">
    <cfRule type="expression" dxfId="12" priority="12">
      <formula>$A183="Component"</formula>
    </cfRule>
  </conditionalFormatting>
  <conditionalFormatting sqref="U183:V337 A183:P337">
    <cfRule type="expression" dxfId="11" priority="11">
      <formula>$A183="Volume"</formula>
    </cfRule>
  </conditionalFormatting>
  <conditionalFormatting sqref="J183:L337">
    <cfRule type="cellIs" dxfId="10" priority="10" operator="notEqual">
      <formula>0</formula>
    </cfRule>
  </conditionalFormatting>
  <conditionalFormatting sqref="F183:F337">
    <cfRule type="expression" dxfId="9" priority="18">
      <formula>OR($A183="Pipe",$A183="Component",$A183="Volume")</formula>
    </cfRule>
  </conditionalFormatting>
  <conditionalFormatting sqref="T22:V182 A22:P182">
    <cfRule type="expression" dxfId="8" priority="8">
      <formula>$A22="Volume"</formula>
    </cfRule>
    <cfRule type="expression" dxfId="7" priority="9">
      <formula>$A22="Pipe"</formula>
    </cfRule>
  </conditionalFormatting>
  <conditionalFormatting sqref="A22:V182">
    <cfRule type="expression" dxfId="6" priority="7">
      <formula>$A22="Junction"</formula>
    </cfRule>
  </conditionalFormatting>
  <conditionalFormatting sqref="Q22:T182">
    <cfRule type="expression" dxfId="5" priority="6">
      <formula>OR($A22="Pipe",$A22="Volume")</formula>
    </cfRule>
  </conditionalFormatting>
  <conditionalFormatting sqref="J22:L182">
    <cfRule type="expression" dxfId="4" priority="5">
      <formula>AND(OR($A22="Junction",$A22="Pipe",$A22="Volume"),J22&lt;&gt;0)</formula>
    </cfRule>
  </conditionalFormatting>
  <conditionalFormatting sqref="R22:R182 T22:T182">
    <cfRule type="expression" dxfId="3" priority="4">
      <formula>AND($A22="Junction",ISNUMBER(R22))</formula>
    </cfRule>
  </conditionalFormatting>
  <conditionalFormatting sqref="B22:D182 F22:F182 H22:H182 K22:K182">
    <cfRule type="expression" dxfId="2" priority="3">
      <formula>OR($A22="Junction",$A22="Pipe",$A22="Volume")</formula>
    </cfRule>
  </conditionalFormatting>
  <conditionalFormatting sqref="G22:G182 J22:J182 M22:M182 Q22:Q182 S22:S182 U22:U182 A22:A182 O22:O182">
    <cfRule type="expression" dxfId="1" priority="2">
      <formula>OR($A22="Junction",$A22="Pipe",$A22="Volume")</formula>
    </cfRule>
  </conditionalFormatting>
  <conditionalFormatting sqref="E22:E182 I22:I182 L22:L182 N22:N182 P22:P182 R22:R182 T22:T182 V22:V182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142875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2019-08-30T05:18:25Z</dcterms:modified>
</cp:coreProperties>
</file>