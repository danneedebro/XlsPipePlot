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8800" windowHeight="13695" activeTab="1"/>
  </bookViews>
  <sheets>
    <sheet name="System" sheetId="4" r:id="rId1"/>
    <sheet name="System2" sheetId="6" r:id="rId2"/>
    <sheet name="System2 (2)" sheetId="8" r:id="rId3"/>
    <sheet name="Blad1" sheetId="5" r:id="rId4"/>
  </sheets>
  <functionGroups builtInGroupCount="17"/>
  <calcPr calcId="1456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3" i="8" l="1"/>
  <c r="D58" i="8"/>
  <c r="D56" i="8"/>
  <c r="Q58" i="8" s="1"/>
  <c r="D55" i="8"/>
  <c r="S53" i="8" s="1"/>
  <c r="Q53" i="8"/>
  <c r="D53" i="8"/>
  <c r="D51" i="8"/>
  <c r="D50" i="8"/>
  <c r="S48" i="8"/>
  <c r="Q48" i="8"/>
  <c r="D48" i="8"/>
  <c r="D43" i="8"/>
  <c r="S41" i="8"/>
  <c r="Q41" i="8"/>
  <c r="D41" i="8"/>
  <c r="D39" i="8"/>
  <c r="D38" i="8"/>
  <c r="D37" i="8"/>
  <c r="D36" i="8"/>
  <c r="S58" i="8" s="1"/>
  <c r="Q34" i="8"/>
  <c r="D34" i="8"/>
  <c r="D32" i="8"/>
  <c r="D31" i="8"/>
  <c r="D30" i="8"/>
  <c r="D29" i="8"/>
  <c r="S27" i="8" s="1"/>
  <c r="D27" i="8"/>
  <c r="D25" i="8"/>
  <c r="Q27" i="8" s="1"/>
  <c r="C19" i="8"/>
  <c r="D19" i="8" s="1"/>
  <c r="E19" i="8" s="1"/>
  <c r="F19" i="8" s="1"/>
  <c r="G19" i="8" s="1"/>
  <c r="H19" i="8" s="1"/>
  <c r="I19" i="8" s="1"/>
  <c r="J19" i="8" s="1"/>
  <c r="K19" i="8" s="1"/>
  <c r="L19" i="8" s="1"/>
  <c r="M19" i="8" s="1"/>
  <c r="N19" i="8" s="1"/>
  <c r="O19" i="8" s="1"/>
  <c r="P19" i="8" s="1"/>
  <c r="Q19" i="8" s="1"/>
  <c r="R19" i="8" s="1"/>
  <c r="S19" i="8" s="1"/>
  <c r="T19" i="8" s="1"/>
  <c r="U19" i="8" s="1"/>
  <c r="V19" i="8" s="1"/>
  <c r="B19" i="8"/>
  <c r="D7" i="8"/>
  <c r="B3" i="8"/>
  <c r="S58" i="6"/>
  <c r="Q48" i="6"/>
  <c r="Q58" i="6"/>
  <c r="D58" i="6"/>
  <c r="D56" i="6"/>
  <c r="D55" i="6"/>
  <c r="S53" i="6" s="1"/>
  <c r="D53" i="6"/>
  <c r="D51" i="6"/>
  <c r="Q53" i="6" s="1"/>
  <c r="D50" i="6"/>
  <c r="S48" i="6" s="1"/>
  <c r="D48" i="6"/>
  <c r="D38" i="6"/>
  <c r="D43" i="6"/>
  <c r="S41" i="6" s="1"/>
  <c r="D41" i="6"/>
  <c r="D34" i="6"/>
  <c r="D39" i="6"/>
  <c r="Q41" i="6" s="1"/>
  <c r="D37" i="6"/>
  <c r="D36" i="6"/>
  <c r="S34" i="6" s="1"/>
  <c r="D32" i="6"/>
  <c r="Q34" i="6" s="1"/>
  <c r="D31" i="6"/>
  <c r="D30" i="6"/>
  <c r="D29" i="6"/>
  <c r="S27" i="6" s="1"/>
  <c r="D27" i="6"/>
  <c r="D25" i="6"/>
  <c r="Q27" i="6" s="1"/>
  <c r="B19" i="6"/>
  <c r="C19" i="6" s="1"/>
  <c r="D19" i="6" s="1"/>
  <c r="E19" i="6" s="1"/>
  <c r="F19" i="6" s="1"/>
  <c r="G19" i="6" s="1"/>
  <c r="H19" i="6" s="1"/>
  <c r="I19" i="6" s="1"/>
  <c r="J19" i="6" s="1"/>
  <c r="K19" i="6" s="1"/>
  <c r="L19" i="6" s="1"/>
  <c r="M19" i="6" s="1"/>
  <c r="N19" i="6" s="1"/>
  <c r="O19" i="6" s="1"/>
  <c r="P19" i="6" s="1"/>
  <c r="Q19" i="6" s="1"/>
  <c r="R19" i="6" s="1"/>
  <c r="S19" i="6" s="1"/>
  <c r="T19" i="6" s="1"/>
  <c r="U19" i="6" s="1"/>
  <c r="V19" i="6" s="1"/>
  <c r="D7" i="6"/>
  <c r="B3" i="6"/>
  <c r="B13" i="8" l="1"/>
  <c r="S34" i="8"/>
  <c r="B13" i="6"/>
  <c r="D175" i="4"/>
  <c r="Q167" i="4"/>
  <c r="D174" i="4"/>
  <c r="D173" i="4"/>
  <c r="D172" i="4"/>
  <c r="H171" i="4"/>
  <c r="D171" i="4"/>
  <c r="D170" i="4"/>
  <c r="D169" i="4"/>
  <c r="S167" i="4"/>
  <c r="D167" i="4"/>
  <c r="J139" i="4"/>
  <c r="L139" i="4"/>
  <c r="S139" i="4"/>
  <c r="Q139" i="4"/>
  <c r="D139" i="4"/>
  <c r="F158" i="4"/>
  <c r="D162" i="4"/>
  <c r="S160" i="4" s="1"/>
  <c r="Q160" i="4"/>
  <c r="D160" i="4"/>
  <c r="D158" i="4"/>
  <c r="D156" i="4"/>
  <c r="D157" i="4"/>
  <c r="D155" i="4"/>
  <c r="F153" i="4"/>
  <c r="D153" i="4"/>
  <c r="D152" i="4"/>
  <c r="D154" i="4"/>
  <c r="F151" i="4"/>
  <c r="F150" i="4"/>
  <c r="D150" i="4"/>
  <c r="D151" i="4"/>
  <c r="F149" i="4"/>
  <c r="D149" i="4"/>
  <c r="S147" i="4" s="1"/>
  <c r="Q147" i="4"/>
  <c r="D147" i="4"/>
  <c r="D145" i="4"/>
  <c r="D144" i="4"/>
  <c r="D143" i="4"/>
  <c r="G155" i="4"/>
  <c r="G149" i="4"/>
  <c r="G143" i="4"/>
  <c r="G154" i="4"/>
  <c r="G147" i="4"/>
  <c r="G175" i="4"/>
  <c r="G152" i="4"/>
  <c r="G145" i="4"/>
  <c r="G172" i="4"/>
  <c r="G150" i="4"/>
  <c r="H142" i="4" l="1"/>
  <c r="D142" i="4"/>
  <c r="D141" i="4"/>
  <c r="Q135" i="4"/>
  <c r="F129" i="4"/>
  <c r="D129" i="4"/>
  <c r="S127" i="4" s="1"/>
  <c r="D127" i="4"/>
  <c r="F137" i="4"/>
  <c r="D137" i="4"/>
  <c r="S135" i="4" s="1"/>
  <c r="G133" i="4"/>
  <c r="G132" i="4"/>
  <c r="D132" i="4"/>
  <c r="G131" i="4"/>
  <c r="D131" i="4"/>
  <c r="G130" i="4"/>
  <c r="D130" i="4"/>
  <c r="F89" i="4"/>
  <c r="F81" i="4"/>
  <c r="F73" i="4"/>
  <c r="F42" i="4"/>
  <c r="F38" i="4"/>
  <c r="F34" i="4"/>
  <c r="F69" i="4"/>
  <c r="G142" i="4"/>
  <c r="B15" i="5" l="1"/>
  <c r="C15" i="5" s="1"/>
  <c r="D15" i="5" s="1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7" i="5"/>
  <c r="D17" i="5"/>
  <c r="D135" i="4"/>
  <c r="D133" i="4"/>
  <c r="D125" i="4"/>
  <c r="D123" i="4"/>
  <c r="S123" i="4" l="1"/>
  <c r="Q127" i="4"/>
  <c r="D7" i="4"/>
  <c r="B3" i="4"/>
  <c r="B19" i="4" l="1"/>
  <c r="C19" i="4" s="1"/>
  <c r="D19" i="4" s="1"/>
  <c r="E19" i="4" s="1"/>
  <c r="F19" i="4" s="1"/>
  <c r="G19" i="4" s="1"/>
  <c r="H19" i="4" s="1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D113" i="4" l="1"/>
  <c r="D118" i="4" l="1"/>
  <c r="S116" i="4" s="1"/>
  <c r="M116" i="4"/>
  <c r="D116" i="4"/>
  <c r="M114" i="4"/>
  <c r="D114" i="4"/>
  <c r="Q116" i="4" s="1"/>
  <c r="F113" i="4"/>
  <c r="M113" i="4"/>
  <c r="F112" i="4"/>
  <c r="M112" i="4"/>
  <c r="D112" i="4"/>
  <c r="M110" i="4"/>
  <c r="D110" i="4"/>
  <c r="F108" i="4"/>
  <c r="M108" i="4"/>
  <c r="D108" i="4"/>
  <c r="Q110" i="4" s="1"/>
  <c r="M107" i="4"/>
  <c r="D107" i="4"/>
  <c r="M106" i="4"/>
  <c r="D106" i="4"/>
  <c r="M105" i="4"/>
  <c r="D105" i="4"/>
  <c r="M104" i="4"/>
  <c r="D104" i="4"/>
  <c r="M103" i="4"/>
  <c r="D103" i="4"/>
  <c r="S101" i="4" s="1"/>
  <c r="M101" i="4"/>
  <c r="D101" i="4"/>
  <c r="D96" i="4"/>
  <c r="D94" i="4"/>
  <c r="Q96" i="4" s="1"/>
  <c r="F93" i="4"/>
  <c r="D93" i="4"/>
  <c r="S91" i="4" s="1"/>
  <c r="D91" i="4"/>
  <c r="D89" i="4"/>
  <c r="S87" i="4" s="1"/>
  <c r="D87" i="4"/>
  <c r="F85" i="4"/>
  <c r="D85" i="4"/>
  <c r="D83" i="4"/>
  <c r="D81" i="4"/>
  <c r="D79" i="4"/>
  <c r="F77" i="4"/>
  <c r="D77" i="4"/>
  <c r="D75" i="4"/>
  <c r="D73" i="4"/>
  <c r="S71" i="4" s="1"/>
  <c r="D71" i="4"/>
  <c r="D69" i="4"/>
  <c r="Q71" i="4" s="1"/>
  <c r="D68" i="4"/>
  <c r="F67" i="4"/>
  <c r="D67" i="4"/>
  <c r="S65" i="4" s="1"/>
  <c r="D65" i="4"/>
  <c r="D63" i="4"/>
  <c r="Q65" i="4" s="1"/>
  <c r="D62" i="4"/>
  <c r="D61" i="4"/>
  <c r="D60" i="4"/>
  <c r="D56" i="4"/>
  <c r="D54" i="4"/>
  <c r="Q56" i="4" s="1"/>
  <c r="G53" i="4"/>
  <c r="F53" i="4"/>
  <c r="D53" i="4"/>
  <c r="D52" i="4"/>
  <c r="D51" i="4"/>
  <c r="D50" i="4"/>
  <c r="H49" i="4"/>
  <c r="D49" i="4"/>
  <c r="F48" i="4"/>
  <c r="D48" i="4"/>
  <c r="D47" i="4"/>
  <c r="S45" i="4" s="1"/>
  <c r="D45" i="4"/>
  <c r="F43" i="4"/>
  <c r="D43" i="4"/>
  <c r="Q45" i="4" s="1"/>
  <c r="D42" i="4"/>
  <c r="S40" i="4" s="1"/>
  <c r="D40" i="4"/>
  <c r="D38" i="4"/>
  <c r="S36" i="4" s="1"/>
  <c r="D36" i="4"/>
  <c r="D34" i="4"/>
  <c r="Q36" i="4" s="1"/>
  <c r="D33" i="4"/>
  <c r="D32" i="4"/>
  <c r="H30" i="4"/>
  <c r="D31" i="4"/>
  <c r="D30" i="4"/>
  <c r="D29" i="4"/>
  <c r="S27" i="4" s="1"/>
  <c r="D27" i="4"/>
  <c r="D25" i="4"/>
  <c r="B13" i="4" s="1"/>
  <c r="Q91" i="4" l="1"/>
  <c r="S79" i="4"/>
  <c r="S56" i="4"/>
  <c r="Q75" i="4"/>
  <c r="Q40" i="4"/>
  <c r="Q87" i="4"/>
  <c r="S83" i="4"/>
  <c r="Q83" i="4"/>
  <c r="Q123" i="4"/>
  <c r="S110" i="4"/>
  <c r="Q79" i="4"/>
  <c r="S75" i="4"/>
  <c r="S96" i="4"/>
  <c r="Q27" i="4"/>
  <c r="Q101" i="4"/>
</calcChain>
</file>

<file path=xl/sharedStrings.xml><?xml version="1.0" encoding="utf-8"?>
<sst xmlns="http://schemas.openxmlformats.org/spreadsheetml/2006/main" count="659" uniqueCount="89">
  <si>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</si>
  <si>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</si>
  <si>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</si>
  <si>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</si>
  <si>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</si>
  <si>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</si>
  <si>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</si>
  <si>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</si>
  <si>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</si>
  <si>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</si>
  <si>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</si>
  <si>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</si>
  <si>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</si>
  <si>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</si>
  <si>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</si>
  <si>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</si>
  <si>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</si>
  <si>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</si>
  <si>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</si>
  <si>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</si>
  <si>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</si>
  <si>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</si>
  <si>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</si>
  <si>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</si>
  <si>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</si>
  <si>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</si>
  <si>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</si>
  <si>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Refvol</t>
  </si>
  <si>
    <t>Flowpath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</si>
  <si>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</si>
  <si>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</si>
  <si>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</si>
  <si>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</si>
  <si>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</si>
  <si>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</si>
  <si>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</si>
  <si>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</si>
  <si>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</si>
  <si>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V8128A</t>
  </si>
  <si>
    <t>V8128B</t>
  </si>
  <si>
    <t>LCV115D</t>
  </si>
  <si>
    <t>Towards charging pump 2</t>
  </si>
  <si>
    <t>gh</t>
  </si>
  <si>
    <t>sd Tee avluftning nod 2</t>
  </si>
  <si>
    <t>Notes</t>
  </si>
  <si>
    <t>V8471B.scad</t>
  </si>
  <si>
    <t>Template</t>
  </si>
  <si>
    <t>Dwg</t>
  </si>
  <si>
    <t>Family</t>
  </si>
  <si>
    <t>Tee on Node 2</t>
  </si>
  <si>
    <t>Volume</t>
  </si>
  <si>
    <t>Component</t>
  </si>
  <si>
    <t>From RWST</t>
  </si>
  <si>
    <t>Conditional formatting below this line</t>
  </si>
  <si>
    <t>Main settings:</t>
  </si>
  <si>
    <t>Program Path:</t>
  </si>
  <si>
    <t>Local components folder:</t>
  </si>
  <si>
    <t>Components\</t>
  </si>
  <si>
    <t>Model settings:</t>
  </si>
  <si>
    <t>Reference volumes (one for each system)</t>
  </si>
  <si>
    <t>Word</t>
  </si>
  <si>
    <t>Node</t>
  </si>
  <si>
    <r>
      <t>X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</si>
  <si>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Y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</si>
  <si>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r>
      <t>Z</t>
    </r>
    <r>
      <rPr>
        <b/>
        <vertAlign val="subscript"/>
        <sz val="11"/>
        <color theme="1"/>
        <rFont val="Calibri"/>
        <family val="2"/>
        <scheme val="minor"/>
      </rPr>
      <t>0</t>
    </r>
    <r>
      <rPr>
        <b/>
        <sz val="11"/>
        <color theme="1"/>
        <rFont val="Calibri"/>
        <family val="2"/>
        <scheme val="minor"/>
      </rPr>
      <t xml:space="preserve"> (m)</t>
    </r>
  </si>
  <si>
    <t>Main components folder:</t>
  </si>
  <si>
    <t>A</t>
  </si>
  <si>
    <t>B</t>
  </si>
  <si>
    <t>Connects 0.5 m after V8471B</t>
  </si>
  <si>
    <t>Daba</t>
  </si>
  <si>
    <t>2,8,11</t>
  </si>
  <si>
    <t>4,8,11</t>
  </si>
  <si>
    <t>PIPE_17</t>
  </si>
  <si>
    <t>Tee = 0.646 m</t>
  </si>
  <si>
    <t xml:space="preserve">Tee CS-3=0.378 m in and from CS-19-1=0.834 m </t>
  </si>
  <si>
    <t>Tee CS-4=0.681 m</t>
  </si>
  <si>
    <t>Tee mot</t>
  </si>
  <si>
    <t>CSTRCH-02</t>
  </si>
  <si>
    <t>TankDefault.scad</t>
  </si>
  <si>
    <t>TankDefault2.scad</t>
  </si>
  <si>
    <t>Towards</t>
  </si>
  <si>
    <t>Debug.scad</t>
  </si>
  <si>
    <t/>
  </si>
  <si>
    <t>"C:\Danne\Kodning\XlsPipePlot\XlsPipePlotSource\bin\Debug\XlsPipePlot.exe"</t>
  </si>
  <si>
    <t>V1</t>
  </si>
  <si>
    <t>From Tank 1 to Tank 2</t>
  </si>
  <si>
    <t>T2</t>
  </si>
  <si>
    <t>V2</t>
  </si>
  <si>
    <t>Junction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</si>
</sst>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\°"/>
    <numFmt numFmtId="165" formatCode="0.000\ \m"/>
    <numFmt numFmtId="166" formatCode="0.00\ \m\m"/>
    <numFmt numFmtId="167" formatCode="0.0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80808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medium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1">
    <xf numFmtId="0" fontId="0" fillId="0" borderId="0" xfId="0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3" fillId="0" borderId="0" xfId="0" applyNumberFormat="1" applyFont="1"/>
    <xf numFmtId="0" fontId="5" fillId="0" borderId="0" xfId="1"/>
    <xf numFmtId="0" fontId="1" fillId="0" borderId="0" xfId="0" applyFont="1"/>
    <xf numFmtId="0" fontId="0" fillId="0" borderId="0" xfId="0" applyFill="1"/>
    <xf numFmtId="0" fontId="6" fillId="0" borderId="0" xfId="0" applyNumberFormat="1" applyFont="1"/>
    <xf numFmtId="0" fontId="7" fillId="0" borderId="0" xfId="0" applyNumberFormat="1" applyFont="1"/>
    <xf numFmtId="0" fontId="0" fillId="0" borderId="4" xfId="0" applyBorder="1"/>
    <xf numFmtId="0" fontId="1" fillId="2" borderId="0" xfId="0" applyFont="1" applyFill="1" applyAlignment="1">
      <alignment vertical="top"/>
    </xf>
    <xf numFmtId="0" fontId="7" fillId="2" borderId="0" xfId="0" applyNumberFormat="1" applyFont="1" applyFill="1" applyAlignment="1">
      <alignment vertical="top"/>
    </xf>
    <xf numFmtId="0" fontId="0" fillId="2" borderId="0" xfId="0" applyFill="1"/>
    <xf numFmtId="0" fontId="6" fillId="2" borderId="0" xfId="0" applyNumberFormat="1" applyFont="1" applyFill="1"/>
    <xf numFmtId="0" fontId="5" fillId="2" borderId="0" xfId="1" applyFill="1"/>
    <xf numFmtId="0" fontId="8" fillId="0" borderId="0" xfId="0" applyFont="1"/>
    <xf numFmtId="0" fontId="1" fillId="2" borderId="5" xfId="0" applyFont="1" applyFill="1" applyBorder="1"/>
    <xf numFmtId="0" fontId="1" fillId="2" borderId="1" xfId="0" applyFont="1" applyFill="1" applyBorder="1"/>
    <xf numFmtId="0" fontId="1" fillId="2" borderId="3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0" fontId="0" fillId="0" borderId="5" xfId="0" applyBorder="1"/>
    <xf numFmtId="0" fontId="0" fillId="0" borderId="1" xfId="0" applyBorder="1"/>
    <xf numFmtId="0" fontId="0" fillId="0" borderId="3" xfId="0" applyBorder="1"/>
    <xf numFmtId="167" fontId="0" fillId="0" borderId="1" xfId="0" applyNumberFormat="1" applyBorder="1"/>
    <xf numFmtId="167" fontId="0" fillId="0" borderId="2" xfId="0" applyNumberFormat="1" applyBorder="1"/>
    <xf numFmtId="167" fontId="0" fillId="0" borderId="3" xfId="0" applyNumberFormat="1" applyBorder="1"/>
    <xf numFmtId="0" fontId="0" fillId="0" borderId="0" xfId="0" applyBorder="1"/>
    <xf numFmtId="167" fontId="0" fillId="0" borderId="0" xfId="0" applyNumberFormat="1" applyBorder="1"/>
    <xf numFmtId="165" fontId="1" fillId="0" borderId="0" xfId="0" applyNumberFormat="1" applyFont="1"/>
    <xf numFmtId="165" fontId="10" fillId="0" borderId="0" xfId="0" applyNumberFormat="1" applyFont="1" applyFill="1"/>
    <xf numFmtId="0" fontId="1" fillId="0" borderId="0" xfId="0" applyFont="1" applyFill="1"/>
    <xf numFmtId="165" fontId="9" fillId="0" borderId="0" xfId="0" applyNumberFormat="1" applyFont="1" applyFill="1"/>
    <xf numFmtId="164" fontId="9" fillId="0" borderId="0" xfId="0" applyNumberFormat="1" applyFont="1" applyFill="1"/>
    <xf numFmtId="166" fontId="9" fillId="0" borderId="0" xfId="0" applyNumberFormat="1" applyFont="1" applyFill="1"/>
    <xf numFmtId="0" fontId="0" fillId="0" borderId="0" xfId="0" applyAlignment="1">
      <alignment horizontal="left"/>
    </xf>
    <xf numFmtId="0" fontId="0" fillId="0" borderId="0" xfId="0" applyAlignment="1"/>
    <xf numFmtId="0" fontId="0" fillId="0" borderId="0" xfId="0" quotePrefix="1"/>
    <xf numFmtId="0" fontId="7" fillId="0" borderId="0" xfId="0" applyNumberFormat="1" applyFont="1" applyFill="1"/>
    <xf numFmtId="0" fontId="6" fillId="0" borderId="0" xfId="0" applyNumberFormat="1" applyFont="1" applyFill="1"/>
  </cellXfs>
  <cellStyles count="2">
    <cellStyle name="Hyperlänk" xfId="1" builtinId="8"/>
    <cellStyle name="Normal" xfId="0" builtinId="0"/>
  </cellStyles>
  <dxfs count="2014"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b val="0"/>
        <i/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ont>
        <color rgb="FFFF0000"/>
      </font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color rgb="FFFF0000"/>
      </font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ont>
        <color rgb="FFFF0000"/>
      </font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ont>
        <b val="0"/>
        <i/>
        <color theme="4"/>
      </font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</border>
    </dxf>
    <dxf>
      <fill>
        <patternFill>
          <bgColor rgb="FFC0C0C0"/>
        </patternFill>
      </fill>
      <border>
        <left/>
        <right/>
        <top/>
        <bottom/>
      </border>
    </dxf>
    <dxf>
      <fill>
        <patternFill>
          <bgColor rgb="FFCCFFFF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CC"/>
        </patternFill>
      </fill>
      <border>
        <left/>
        <right/>
        <top/>
        <bottom/>
      </border>
    </dxf>
    <dxf>
      <fill>
        <patternFill>
          <bgColor rgb="FFFFFF99"/>
        </patternFill>
      </fill>
      <border>
        <left/>
        <right/>
        <top/>
        <bottom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514350</xdr:colOff>
          <xdr:row>1</xdr:row>
          <xdr:rowOff>161925</xdr:rowOff>
        </xdr:from>
        <xdr:to>
          <xdr:col>12</xdr:col>
          <xdr:colOff>590550</xdr:colOff>
          <xdr:row>3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+Pipe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9525</xdr:rowOff>
        </xdr:from>
        <xdr:to>
          <xdr:col>8</xdr:col>
          <xdr:colOff>66675</xdr:colOff>
          <xdr:row>3</xdr:row>
          <xdr:rowOff>85725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.scad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1</xdr:row>
          <xdr:rowOff>161925</xdr:rowOff>
        </xdr:from>
        <xdr:to>
          <xdr:col>14</xdr:col>
          <xdr:colOff>590550</xdr:colOff>
          <xdr:row>3</xdr:row>
          <xdr:rowOff>85725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+Junction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266700</xdr:colOff>
          <xdr:row>1</xdr:row>
          <xdr:rowOff>114300</xdr:rowOff>
        </xdr:from>
        <xdr:to>
          <xdr:col>16</xdr:col>
          <xdr:colOff>342900</xdr:colOff>
          <xdr:row>3</xdr:row>
          <xdr:rowOff>38100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+Volume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Components" TargetMode="Externa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B355"/>
  <sheetViews>
    <sheetView zoomScale="85" zoomScaleNormal="85" workbookViewId="0">
      <pane ySplit="4" topLeftCell="A35" activePane="bottomLeft" state="frozenSplit"/>
      <selection pane="bottomLeft" activeCell="A65" sqref="A6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8" t="s">
        <v>82</v>
      </c>
      <c r="O5"/>
      <c r="P5"/>
    </row>
    <row r="6" spans="1:26" x14ac:dyDescent="0.25">
      <c r="A6" s="36" t="s">
        <v>55</v>
      </c>
      <c r="B6" s="36"/>
      <c r="C6" s="36"/>
      <c r="D6" s="37" t="s">
        <v>83</v>
      </c>
      <c r="E6" s="37"/>
      <c r="F6" s="37"/>
      <c r="G6" s="37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6" t="s">
        <v>56</v>
      </c>
      <c r="B8" s="36"/>
      <c r="C8" s="36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C22" s="6"/>
      <c r="F22" s="1"/>
      <c r="G22" s="2"/>
      <c r="H22" s="2"/>
      <c r="I22" s="2"/>
      <c r="J22" s="4"/>
      <c r="K22" s="4"/>
      <c r="L22" s="4"/>
      <c r="M22" s="3"/>
      <c r="N22" s="3"/>
      <c r="O22" s="9"/>
      <c r="R22" s="1"/>
      <c r="T22" s="1"/>
    </row>
    <row r="23" spans="1:28" x14ac:dyDescent="0.25">
      <c r="C23" s="6"/>
      <c r="F23" s="1"/>
      <c r="G23" s="2"/>
      <c r="H23" s="2"/>
      <c r="I23" s="2"/>
      <c r="J23" s="4"/>
      <c r="K23" s="4"/>
      <c r="L23" s="4"/>
      <c r="M23" s="3"/>
      <c r="N23" s="3"/>
      <c r="O23" s="9"/>
      <c r="R23" s="1"/>
      <c r="T23" s="1"/>
    </row>
    <row r="24" spans="1:28" x14ac:dyDescent="0.25">
      <c r="A24" t="s">
        <v>28</v>
      </c>
      <c r="B24" t="s">
        <v>34</v>
      </c>
      <c r="C24" s="6"/>
      <c r="F24" s="1"/>
      <c r="G24" s="2"/>
      <c r="H24" s="2"/>
      <c r="I24" s="2"/>
      <c r="J24" s="4"/>
      <c r="K24" s="4"/>
      <c r="L24" s="4"/>
      <c r="M24" s="3"/>
      <c r="N24" s="3"/>
      <c r="O24" s="9"/>
      <c r="R24" s="1"/>
      <c r="T24" s="1"/>
    </row>
    <row r="25" spans="1:28" x14ac:dyDescent="0.25">
      <c r="A25" t="s">
        <v>50</v>
      </c>
      <c r="B25" t="s">
        <v>23</v>
      </c>
      <c r="C25" s="6" t="s">
        <v>24</v>
      </c>
      <c r="D25" t="str">
        <f>CONCATENATE("TANK_",ROW())</f>
        <v>TANK_25</v>
      </c>
      <c r="F25" s="1">
        <v>2</v>
      </c>
      <c r="G25" s="2">
        <v>-90</v>
      </c>
      <c r="H25" s="2">
        <v>0</v>
      </c>
      <c r="I25" s="2">
        <v>0</v>
      </c>
      <c r="J25" s="4">
        <v>0</v>
      </c>
      <c r="K25" s="4">
        <v>0</v>
      </c>
      <c r="L25" s="4">
        <v>0</v>
      </c>
      <c r="M25" s="3">
        <v>1200</v>
      </c>
      <c r="N25" s="3">
        <v>2.02</v>
      </c>
      <c r="Q25" t="s">
        <v>17</v>
      </c>
      <c r="R25" s="1"/>
      <c r="S25" t="s">
        <v>17</v>
      </c>
      <c r="T25" s="1"/>
      <c r="V25" t="s">
        <v>17</v>
      </c>
    </row>
    <row r="26" spans="1:28" x14ac:dyDescent="0.25">
      <c r="C26" s="6"/>
      <c r="F26" s="1"/>
      <c r="G26" s="2"/>
      <c r="H26" s="2"/>
      <c r="I26" s="2"/>
      <c r="J26" s="4"/>
      <c r="K26" s="4"/>
      <c r="L26" s="4"/>
      <c r="M26" s="3"/>
      <c r="N26" s="3"/>
      <c r="R26" s="1"/>
      <c r="T26" s="1"/>
    </row>
    <row r="27" spans="1:28" x14ac:dyDescent="0.25">
      <c r="A27" t="s">
        <v>51</v>
      </c>
      <c r="B27" t="s">
        <v>11</v>
      </c>
      <c r="C27" s="6" t="s">
        <v>22</v>
      </c>
      <c r="D27" t="str">
        <f>CONCATENATE("COMP_",ROW())</f>
        <v>COMP_27</v>
      </c>
      <c r="F27" s="1">
        <v>0</v>
      </c>
      <c r="G27" s="2">
        <v>0</v>
      </c>
      <c r="H27" s="2">
        <v>0</v>
      </c>
      <c r="I27" s="2">
        <v>0</v>
      </c>
      <c r="J27" s="4">
        <v>0</v>
      </c>
      <c r="K27" s="4">
        <v>0</v>
      </c>
      <c r="L27" s="4">
        <v>0</v>
      </c>
      <c r="M27" s="3">
        <v>97.93</v>
      </c>
      <c r="N27" s="3">
        <v>2.02</v>
      </c>
      <c r="Q27" t="str">
        <f ca="1">OFFSET($A$1,ROW()-3,3)</f>
        <v>TANK_25</v>
      </c>
      <c r="R27" s="1" t="s">
        <v>67</v>
      </c>
      <c r="S27" t="str">
        <f ca="1">OFFSET($A$1,ROW()+1,3)</f>
        <v>PIPE_29</v>
      </c>
      <c r="T27" s="1" t="s">
        <v>66</v>
      </c>
    </row>
    <row r="28" spans="1:28" x14ac:dyDescent="0.25">
      <c r="C28" s="6"/>
      <c r="F28" s="1"/>
      <c r="G28" s="2"/>
      <c r="H28" s="2"/>
      <c r="I28" s="2"/>
      <c r="J28" s="4"/>
      <c r="K28" s="4"/>
      <c r="L28" s="4"/>
      <c r="M28" s="3"/>
      <c r="N28" s="3"/>
      <c r="R28" s="1"/>
      <c r="T28" s="1"/>
    </row>
    <row r="29" spans="1:28" x14ac:dyDescent="0.25">
      <c r="A29" t="s">
        <v>7</v>
      </c>
      <c r="B29" t="s">
        <v>7</v>
      </c>
      <c r="C29" s="6" t="s">
        <v>7</v>
      </c>
      <c r="D29" t="str">
        <f t="shared" ref="D29:D34" si="1">CONCATENATE("PIPE_",ROW())</f>
        <v>PIPE_29</v>
      </c>
      <c r="F29" s="1">
        <v>0.5</v>
      </c>
      <c r="G29" s="2">
        <v>-90</v>
      </c>
      <c r="H29" s="2">
        <v>0</v>
      </c>
      <c r="I29" s="2">
        <v>0</v>
      </c>
      <c r="J29" s="4">
        <v>0</v>
      </c>
      <c r="K29" s="4">
        <v>0</v>
      </c>
      <c r="L29" s="4">
        <v>0</v>
      </c>
      <c r="M29" s="3">
        <v>114.3</v>
      </c>
      <c r="N29" s="3">
        <v>3.05</v>
      </c>
      <c r="O29" s="8">
        <v>1.5</v>
      </c>
      <c r="R29" s="1"/>
      <c r="T29" s="1"/>
      <c r="V29" t="s">
        <v>49</v>
      </c>
    </row>
    <row r="30" spans="1:28" x14ac:dyDescent="0.25">
      <c r="A30" t="s">
        <v>7</v>
      </c>
      <c r="B30" t="s">
        <v>7</v>
      </c>
      <c r="C30" s="6" t="s">
        <v>7</v>
      </c>
      <c r="D30" t="str">
        <f t="shared" si="1"/>
        <v>PIPE_30</v>
      </c>
      <c r="F30" s="1">
        <v>1.972</v>
      </c>
      <c r="G30" s="2">
        <v>0</v>
      </c>
      <c r="H30" s="2">
        <f>270+ATAN(1000/1700)*180/PI()</f>
        <v>300.46554491945989</v>
      </c>
      <c r="I30" s="2">
        <v>0</v>
      </c>
      <c r="J30" s="4">
        <v>0</v>
      </c>
      <c r="K30" s="4">
        <v>0</v>
      </c>
      <c r="L30" s="4">
        <v>0</v>
      </c>
      <c r="M30" s="3">
        <v>114.3</v>
      </c>
      <c r="N30" s="3">
        <v>3.05</v>
      </c>
      <c r="O30" s="8">
        <v>1.5</v>
      </c>
      <c r="R30" s="1"/>
      <c r="T30" s="1"/>
      <c r="V30" t="s">
        <v>17</v>
      </c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t="s">
        <v>7</v>
      </c>
      <c r="B31" t="s">
        <v>7</v>
      </c>
      <c r="C31" s="6" t="s">
        <v>7</v>
      </c>
      <c r="D31" t="str">
        <f t="shared" si="1"/>
        <v>PIPE_31</v>
      </c>
      <c r="F31" s="1">
        <v>1.5</v>
      </c>
      <c r="G31" s="2">
        <v>-90</v>
      </c>
      <c r="H31" s="2">
        <v>0</v>
      </c>
      <c r="I31" s="2">
        <v>0</v>
      </c>
      <c r="J31" s="4">
        <v>0</v>
      </c>
      <c r="K31" s="4">
        <v>0</v>
      </c>
      <c r="L31" s="4">
        <v>0</v>
      </c>
      <c r="M31" s="3">
        <v>114.3</v>
      </c>
      <c r="N31" s="3">
        <v>3.05</v>
      </c>
      <c r="O31" s="8">
        <v>1.5</v>
      </c>
      <c r="R31" s="1"/>
      <c r="T31" s="1"/>
    </row>
    <row r="32" spans="1:28" x14ac:dyDescent="0.25">
      <c r="A32" t="s">
        <v>7</v>
      </c>
      <c r="B32" t="s">
        <v>7</v>
      </c>
      <c r="C32" s="6" t="s">
        <v>7</v>
      </c>
      <c r="D32" t="str">
        <f t="shared" si="1"/>
        <v>PIPE_32</v>
      </c>
      <c r="F32" s="1">
        <v>0.5</v>
      </c>
      <c r="G32" s="2">
        <v>0</v>
      </c>
      <c r="H32" s="2">
        <v>270</v>
      </c>
      <c r="I32" s="2">
        <v>0</v>
      </c>
      <c r="J32" s="4">
        <v>0</v>
      </c>
      <c r="K32" s="4">
        <v>0</v>
      </c>
      <c r="L32" s="4">
        <v>0</v>
      </c>
      <c r="M32" s="3">
        <v>114.3</v>
      </c>
      <c r="N32" s="3">
        <v>3.05</v>
      </c>
      <c r="O32" s="8">
        <v>1.5</v>
      </c>
      <c r="R32" s="1"/>
      <c r="T32" s="1"/>
    </row>
    <row r="33" spans="1:20" x14ac:dyDescent="0.25">
      <c r="A33" t="s">
        <v>7</v>
      </c>
      <c r="B33" t="s">
        <v>7</v>
      </c>
      <c r="C33" s="6" t="s">
        <v>7</v>
      </c>
      <c r="D33" t="str">
        <f t="shared" si="1"/>
        <v>PIPE_33</v>
      </c>
      <c r="F33" s="1">
        <v>1.7</v>
      </c>
      <c r="G33" s="2">
        <v>-90</v>
      </c>
      <c r="H33" s="2">
        <v>0</v>
      </c>
      <c r="I33" s="2">
        <v>0</v>
      </c>
      <c r="J33" s="4">
        <v>0</v>
      </c>
      <c r="K33" s="4">
        <v>0</v>
      </c>
      <c r="L33" s="4">
        <v>0</v>
      </c>
      <c r="M33" s="3">
        <v>114.3</v>
      </c>
      <c r="N33" s="3">
        <v>3.05</v>
      </c>
      <c r="O33" s="8">
        <v>1.5</v>
      </c>
      <c r="R33" s="1"/>
      <c r="T33" s="1"/>
    </row>
    <row r="34" spans="1:20" x14ac:dyDescent="0.25">
      <c r="A34" t="s">
        <v>7</v>
      </c>
      <c r="B34" t="s">
        <v>7</v>
      </c>
      <c r="C34" s="6" t="s">
        <v>7</v>
      </c>
      <c r="D34" t="str">
        <f t="shared" si="1"/>
        <v>PIPE_34</v>
      </c>
      <c r="F34" s="1">
        <f>0.152+0.221+0.1</f>
        <v>0.47299999999999998</v>
      </c>
      <c r="G34" s="2">
        <v>0</v>
      </c>
      <c r="H34" s="2">
        <v>90</v>
      </c>
      <c r="I34" s="2">
        <v>0</v>
      </c>
      <c r="J34" s="4">
        <v>0</v>
      </c>
      <c r="K34" s="4">
        <v>0</v>
      </c>
      <c r="L34" s="4">
        <v>0</v>
      </c>
      <c r="M34" s="3">
        <v>114.3</v>
      </c>
      <c r="N34" s="3">
        <v>3.05</v>
      </c>
      <c r="O34" s="8">
        <v>1.5</v>
      </c>
      <c r="R34" s="1"/>
      <c r="T34" s="1"/>
    </row>
    <row r="35" spans="1:20" x14ac:dyDescent="0.25">
      <c r="C35" s="6"/>
      <c r="F35" s="1"/>
      <c r="G35" s="2"/>
      <c r="H35" s="2"/>
      <c r="I35" s="2"/>
      <c r="J35" s="4"/>
      <c r="K35" s="4"/>
      <c r="L35" s="4"/>
      <c r="M35" s="3"/>
      <c r="N35" s="3"/>
      <c r="R35" s="1"/>
      <c r="T35" s="1"/>
    </row>
    <row r="36" spans="1:20" x14ac:dyDescent="0.25">
      <c r="A36" t="s">
        <v>51</v>
      </c>
      <c r="B36" t="s">
        <v>10</v>
      </c>
      <c r="C36" s="6" t="s">
        <v>29</v>
      </c>
      <c r="D36" t="str">
        <f>CONCATENATE("COMP_",ROW())</f>
        <v>COMP_36</v>
      </c>
      <c r="F36" s="1">
        <v>0.35499999999999998</v>
      </c>
      <c r="G36" s="2">
        <v>0</v>
      </c>
      <c r="H36" s="2">
        <v>90</v>
      </c>
      <c r="I36" s="2">
        <v>0</v>
      </c>
      <c r="J36" s="4">
        <v>0</v>
      </c>
      <c r="K36" s="4">
        <v>0</v>
      </c>
      <c r="L36" s="4">
        <v>0</v>
      </c>
      <c r="M36" s="3">
        <v>125</v>
      </c>
      <c r="N36" s="3">
        <v>2.02</v>
      </c>
      <c r="Q36" t="str">
        <f ca="1">OFFSET($A$1,ROW()-3,3)</f>
        <v>PIPE_34</v>
      </c>
      <c r="R36" s="1" t="s">
        <v>67</v>
      </c>
      <c r="S36" t="str">
        <f ca="1">OFFSET($A$1,ROW()+1,3)</f>
        <v>PIPE_38</v>
      </c>
      <c r="T36" s="1" t="s">
        <v>66</v>
      </c>
    </row>
    <row r="37" spans="1:20" x14ac:dyDescent="0.25">
      <c r="C37" s="6"/>
      <c r="F37" s="1"/>
      <c r="G37" s="2"/>
      <c r="H37" s="2"/>
      <c r="I37" s="2"/>
      <c r="J37" s="4"/>
      <c r="K37" s="4"/>
      <c r="L37" s="4"/>
      <c r="M37" s="3"/>
      <c r="N37" s="3"/>
      <c r="R37" s="1"/>
      <c r="T37" s="1"/>
    </row>
    <row r="38" spans="1:20" x14ac:dyDescent="0.25">
      <c r="A38" t="s">
        <v>7</v>
      </c>
      <c r="B38" t="s">
        <v>7</v>
      </c>
      <c r="C38" s="6" t="s">
        <v>7</v>
      </c>
      <c r="D38" t="str">
        <f>CONCATENATE("PIPE_",ROW())</f>
        <v>PIPE_38</v>
      </c>
      <c r="F38" s="1">
        <f>0.1+0.445+0.1</f>
        <v>0.64500000000000002</v>
      </c>
      <c r="G38" s="2">
        <v>0</v>
      </c>
      <c r="H38" s="2">
        <v>90</v>
      </c>
      <c r="I38" s="2">
        <v>0</v>
      </c>
      <c r="J38" s="4">
        <v>0</v>
      </c>
      <c r="K38" s="4">
        <v>0</v>
      </c>
      <c r="L38" s="4">
        <v>0</v>
      </c>
      <c r="M38" s="3">
        <v>114.3</v>
      </c>
      <c r="N38" s="3">
        <v>3.05</v>
      </c>
      <c r="O38" s="8">
        <v>1.5</v>
      </c>
      <c r="R38" s="1"/>
      <c r="T38" s="1"/>
    </row>
    <row r="39" spans="1:20" x14ac:dyDescent="0.25">
      <c r="C39" s="6"/>
      <c r="F39" s="1"/>
      <c r="G39" s="2"/>
      <c r="H39" s="2"/>
      <c r="I39" s="2"/>
      <c r="J39" s="4"/>
      <c r="K39" s="4"/>
      <c r="L39" s="4"/>
      <c r="M39" s="3"/>
      <c r="N39" s="3"/>
      <c r="R39" s="1"/>
      <c r="T39" s="1"/>
    </row>
    <row r="40" spans="1:20" x14ac:dyDescent="0.25">
      <c r="A40" t="s">
        <v>51</v>
      </c>
      <c r="B40" t="s">
        <v>10</v>
      </c>
      <c r="C40" s="6" t="s">
        <v>30</v>
      </c>
      <c r="D40" t="str">
        <f>CONCATENATE("COMP_",ROW())</f>
        <v>COMP_40</v>
      </c>
      <c r="F40" s="1">
        <v>0.35499999999999998</v>
      </c>
      <c r="G40" s="2">
        <v>0</v>
      </c>
      <c r="H40" s="2">
        <v>90</v>
      </c>
      <c r="I40" s="2">
        <v>0</v>
      </c>
      <c r="J40" s="4">
        <v>0</v>
      </c>
      <c r="K40" s="4">
        <v>0</v>
      </c>
      <c r="L40" s="4">
        <v>0</v>
      </c>
      <c r="M40" s="3">
        <v>125</v>
      </c>
      <c r="N40" s="3">
        <v>2.02</v>
      </c>
      <c r="Q40" t="str">
        <f ca="1">OFFSET($A$1,ROW()-3,3)</f>
        <v>PIPE_38</v>
      </c>
      <c r="R40" s="1" t="s">
        <v>67</v>
      </c>
      <c r="S40" t="str">
        <f ca="1">OFFSET($A$1,ROW()+1,3)</f>
        <v>PIPE_42</v>
      </c>
      <c r="T40" s="1" t="s">
        <v>66</v>
      </c>
    </row>
    <row r="41" spans="1:20" x14ac:dyDescent="0.25">
      <c r="C41" s="6"/>
      <c r="F41" s="1"/>
      <c r="G41" s="2"/>
      <c r="H41" s="2"/>
      <c r="I41" s="2"/>
      <c r="J41" s="4"/>
      <c r="K41" s="4"/>
      <c r="L41" s="4"/>
      <c r="M41" s="3"/>
      <c r="N41" s="3"/>
      <c r="R41" s="1"/>
      <c r="T41" s="1"/>
    </row>
    <row r="42" spans="1:20" x14ac:dyDescent="0.25">
      <c r="A42" t="s">
        <v>7</v>
      </c>
      <c r="B42" t="s">
        <v>7</v>
      </c>
      <c r="C42" s="6" t="s">
        <v>7</v>
      </c>
      <c r="D42" t="str">
        <f>CONCATENATE("PIPE_",ROW())</f>
        <v>PIPE_42</v>
      </c>
      <c r="F42" s="1">
        <f>0.1+0.175+0.105</f>
        <v>0.38</v>
      </c>
      <c r="G42" s="2">
        <v>0</v>
      </c>
      <c r="H42" s="2">
        <v>90</v>
      </c>
      <c r="I42" s="2">
        <v>0</v>
      </c>
      <c r="J42" s="4">
        <v>0</v>
      </c>
      <c r="K42" s="4">
        <v>0</v>
      </c>
      <c r="L42" s="4">
        <v>0</v>
      </c>
      <c r="M42" s="3">
        <v>114.3</v>
      </c>
      <c r="N42" s="3">
        <v>3.05</v>
      </c>
      <c r="O42" s="8">
        <v>1.5</v>
      </c>
      <c r="R42" s="1"/>
      <c r="T42" s="1"/>
    </row>
    <row r="43" spans="1:20" x14ac:dyDescent="0.25">
      <c r="A43" t="s">
        <v>7</v>
      </c>
      <c r="B43" t="s">
        <v>7</v>
      </c>
      <c r="C43" s="6" t="s">
        <v>7</v>
      </c>
      <c r="D43" t="str">
        <f>CONCATENATE("PIPE_",ROW())</f>
        <v>PIPE_43</v>
      </c>
      <c r="F43" s="1">
        <f>0.105</f>
        <v>0.105</v>
      </c>
      <c r="G43" s="2">
        <v>0</v>
      </c>
      <c r="H43" s="2">
        <v>90</v>
      </c>
      <c r="I43" s="2">
        <v>0</v>
      </c>
      <c r="J43" s="4">
        <v>0</v>
      </c>
      <c r="K43" s="4">
        <v>0</v>
      </c>
      <c r="L43" s="4">
        <v>0</v>
      </c>
      <c r="M43" s="3">
        <v>114.3</v>
      </c>
      <c r="N43" s="3">
        <v>3.05</v>
      </c>
      <c r="O43" s="8">
        <v>1.5</v>
      </c>
      <c r="R43" s="1"/>
      <c r="T43" s="1"/>
    </row>
    <row r="44" spans="1:20" x14ac:dyDescent="0.25">
      <c r="C44" s="6"/>
      <c r="F44" s="1"/>
      <c r="G44" s="2"/>
      <c r="H44" s="2"/>
      <c r="I44" s="2"/>
      <c r="J44" s="4"/>
      <c r="K44" s="4"/>
      <c r="L44" s="4"/>
      <c r="M44" s="3"/>
      <c r="N44" s="3"/>
      <c r="R44" s="1"/>
      <c r="T44" s="1"/>
    </row>
    <row r="45" spans="1:20" x14ac:dyDescent="0.25">
      <c r="A45" t="s">
        <v>51</v>
      </c>
      <c r="B45" t="s">
        <v>10</v>
      </c>
      <c r="C45" s="6" t="s">
        <v>31</v>
      </c>
      <c r="D45" t="str">
        <f>CONCATENATE("COMP_",ROW())</f>
        <v>COMP_45</v>
      </c>
      <c r="F45" s="1">
        <v>0.35499999999999998</v>
      </c>
      <c r="G45" s="2">
        <v>0</v>
      </c>
      <c r="H45" s="2">
        <v>90</v>
      </c>
      <c r="I45" s="2">
        <v>0</v>
      </c>
      <c r="J45" s="4">
        <v>0</v>
      </c>
      <c r="K45" s="4">
        <v>0</v>
      </c>
      <c r="L45" s="4">
        <v>0</v>
      </c>
      <c r="M45" s="3">
        <v>125</v>
      </c>
      <c r="N45" s="3">
        <v>2.02</v>
      </c>
      <c r="Q45" t="str">
        <f ca="1">OFFSET($A$1,ROW()-3,3)</f>
        <v>PIPE_43</v>
      </c>
      <c r="R45" s="1" t="s">
        <v>67</v>
      </c>
      <c r="S45" t="str">
        <f ca="1">OFFSET($A$1,ROW()+1,3)</f>
        <v>PIPE_47</v>
      </c>
      <c r="T45" s="1" t="s">
        <v>66</v>
      </c>
    </row>
    <row r="46" spans="1:20" x14ac:dyDescent="0.25">
      <c r="C46" s="6"/>
      <c r="F46" s="1"/>
      <c r="G46" s="2"/>
      <c r="H46" s="2"/>
      <c r="I46" s="2"/>
      <c r="J46" s="4"/>
      <c r="K46" s="4"/>
      <c r="L46" s="4"/>
      <c r="M46" s="3"/>
      <c r="N46" s="3"/>
      <c r="R46" s="1"/>
      <c r="T46" s="1"/>
    </row>
    <row r="47" spans="1:20" x14ac:dyDescent="0.25">
      <c r="A47" t="s">
        <v>7</v>
      </c>
      <c r="B47" t="s">
        <v>7</v>
      </c>
      <c r="C47" s="6" t="s">
        <v>7</v>
      </c>
      <c r="D47" t="str">
        <f t="shared" ref="D47:D54" si="2">CONCATENATE("PIPE_",ROW())</f>
        <v>PIPE_47</v>
      </c>
      <c r="F47" s="1">
        <v>0.152</v>
      </c>
      <c r="G47" s="2">
        <v>0</v>
      </c>
      <c r="H47" s="2">
        <v>90</v>
      </c>
      <c r="I47" s="2">
        <v>0</v>
      </c>
      <c r="J47" s="4">
        <v>0</v>
      </c>
      <c r="K47" s="4">
        <v>0</v>
      </c>
      <c r="L47" s="4">
        <v>0</v>
      </c>
      <c r="M47" s="3">
        <v>114.3</v>
      </c>
      <c r="N47" s="3">
        <v>3.05</v>
      </c>
      <c r="O47" s="8">
        <v>1.5</v>
      </c>
      <c r="R47" s="1"/>
      <c r="T47" s="1"/>
    </row>
    <row r="48" spans="1:20" x14ac:dyDescent="0.25">
      <c r="A48" t="s">
        <v>7</v>
      </c>
      <c r="B48" t="s">
        <v>7</v>
      </c>
      <c r="C48" s="6" t="s">
        <v>7</v>
      </c>
      <c r="D48" t="str">
        <f t="shared" si="2"/>
        <v>PIPE_48</v>
      </c>
      <c r="F48" s="1">
        <f>1.15+0.064</f>
        <v>1.214</v>
      </c>
      <c r="G48" s="2">
        <v>0</v>
      </c>
      <c r="H48" s="2">
        <v>180</v>
      </c>
      <c r="I48" s="2">
        <v>0</v>
      </c>
      <c r="J48" s="4">
        <v>0</v>
      </c>
      <c r="K48" s="4">
        <v>0</v>
      </c>
      <c r="L48" s="4">
        <v>0</v>
      </c>
      <c r="M48" s="3">
        <v>114.3</v>
      </c>
      <c r="N48" s="3">
        <v>3.05</v>
      </c>
      <c r="O48" s="8">
        <v>1.5</v>
      </c>
      <c r="R48" s="1"/>
      <c r="T48" s="1"/>
    </row>
    <row r="49" spans="1:23" x14ac:dyDescent="0.25">
      <c r="A49" t="s">
        <v>7</v>
      </c>
      <c r="B49" t="s">
        <v>7</v>
      </c>
      <c r="C49" s="6" t="s">
        <v>7</v>
      </c>
      <c r="D49" t="str">
        <f t="shared" si="2"/>
        <v>PIPE_49</v>
      </c>
      <c r="F49" s="1">
        <v>0.84799999999999998</v>
      </c>
      <c r="G49" s="2">
        <v>0</v>
      </c>
      <c r="H49" s="2">
        <f>180+45</f>
        <v>225</v>
      </c>
      <c r="I49" s="2">
        <v>0</v>
      </c>
      <c r="J49" s="4">
        <v>0</v>
      </c>
      <c r="K49" s="4">
        <v>0</v>
      </c>
      <c r="L49" s="4">
        <v>0</v>
      </c>
      <c r="M49" s="3">
        <v>114.3</v>
      </c>
      <c r="N49" s="3">
        <v>3.05</v>
      </c>
      <c r="O49" s="8">
        <v>1.5</v>
      </c>
      <c r="R49" s="1"/>
      <c r="T49" s="1"/>
    </row>
    <row r="50" spans="1:23" x14ac:dyDescent="0.25">
      <c r="A50" t="s">
        <v>7</v>
      </c>
      <c r="B50" t="s">
        <v>7</v>
      </c>
      <c r="C50" s="6" t="s">
        <v>7</v>
      </c>
      <c r="D50" t="str">
        <f t="shared" si="2"/>
        <v>PIPE_50</v>
      </c>
      <c r="F50" s="1">
        <v>0.35</v>
      </c>
      <c r="G50" s="2">
        <v>0</v>
      </c>
      <c r="H50" s="2">
        <v>270</v>
      </c>
      <c r="I50" s="2">
        <v>0</v>
      </c>
      <c r="J50" s="4">
        <v>0</v>
      </c>
      <c r="K50" s="4">
        <v>0</v>
      </c>
      <c r="L50" s="4">
        <v>0</v>
      </c>
      <c r="M50" s="3">
        <v>114.3</v>
      </c>
      <c r="N50" s="3">
        <v>3.05</v>
      </c>
      <c r="O50" s="8">
        <v>1.5</v>
      </c>
      <c r="R50" s="1"/>
      <c r="T50" s="1"/>
    </row>
    <row r="51" spans="1:23" x14ac:dyDescent="0.25">
      <c r="A51" t="s">
        <v>7</v>
      </c>
      <c r="B51" t="s">
        <v>7</v>
      </c>
      <c r="C51" s="6" t="s">
        <v>7</v>
      </c>
      <c r="D51" t="str">
        <f t="shared" si="2"/>
        <v>PIPE_51</v>
      </c>
      <c r="F51" s="1">
        <v>5.3</v>
      </c>
      <c r="G51" s="2">
        <v>-90</v>
      </c>
      <c r="H51" s="2">
        <v>0</v>
      </c>
      <c r="I51" s="2">
        <v>0</v>
      </c>
      <c r="J51" s="4">
        <v>0</v>
      </c>
      <c r="K51" s="4">
        <v>0</v>
      </c>
      <c r="L51" s="4">
        <v>0</v>
      </c>
      <c r="M51" s="3">
        <v>114.3</v>
      </c>
      <c r="N51" s="3">
        <v>3.05</v>
      </c>
      <c r="O51" s="8">
        <v>1.5</v>
      </c>
      <c r="R51" s="1"/>
      <c r="T51" s="1"/>
    </row>
    <row r="52" spans="1:23" x14ac:dyDescent="0.25">
      <c r="A52" t="s">
        <v>7</v>
      </c>
      <c r="B52" t="s">
        <v>7</v>
      </c>
      <c r="C52" s="6" t="s">
        <v>7</v>
      </c>
      <c r="D52" t="str">
        <f t="shared" si="2"/>
        <v>PIPE_52</v>
      </c>
      <c r="F52" s="1">
        <v>2.0499999999999998</v>
      </c>
      <c r="G52" s="2">
        <v>0</v>
      </c>
      <c r="H52" s="2">
        <v>0</v>
      </c>
      <c r="I52" s="2">
        <v>0</v>
      </c>
      <c r="J52" s="4">
        <v>0</v>
      </c>
      <c r="K52" s="4">
        <v>0</v>
      </c>
      <c r="L52" s="4">
        <v>0</v>
      </c>
      <c r="M52" s="3">
        <v>114.3</v>
      </c>
      <c r="N52" s="3">
        <v>3.05</v>
      </c>
      <c r="O52" s="8">
        <v>1.5</v>
      </c>
      <c r="R52" s="1"/>
      <c r="T52" s="1"/>
    </row>
    <row r="53" spans="1:23" x14ac:dyDescent="0.25">
      <c r="A53" t="s">
        <v>7</v>
      </c>
      <c r="B53" t="s">
        <v>7</v>
      </c>
      <c r="C53" s="6" t="s">
        <v>7</v>
      </c>
      <c r="D53" t="str">
        <f t="shared" si="2"/>
        <v>PIPE_53</v>
      </c>
      <c r="F53" s="1">
        <f>0.152+0.055</f>
        <v>0.20699999999999999</v>
      </c>
      <c r="G53" s="2">
        <f>-(90-24.9)</f>
        <v>-65.099999999999994</v>
      </c>
      <c r="H53" s="2">
        <v>180</v>
      </c>
      <c r="I53" s="2">
        <v>0</v>
      </c>
      <c r="J53" s="4">
        <v>0</v>
      </c>
      <c r="K53" s="4">
        <v>0</v>
      </c>
      <c r="L53" s="4">
        <v>0</v>
      </c>
      <c r="M53" s="3">
        <v>114.3</v>
      </c>
      <c r="N53" s="3">
        <v>3.05</v>
      </c>
      <c r="O53" s="8">
        <v>1.5</v>
      </c>
      <c r="R53" s="1"/>
      <c r="T53" s="1"/>
      <c r="W53" t="s">
        <v>33</v>
      </c>
    </row>
    <row r="54" spans="1:23" x14ac:dyDescent="0.25">
      <c r="A54" t="s">
        <v>7</v>
      </c>
      <c r="B54" t="s">
        <v>7</v>
      </c>
      <c r="C54" s="6" t="s">
        <v>7</v>
      </c>
      <c r="D54" t="str">
        <f t="shared" si="2"/>
        <v>PIPE_54</v>
      </c>
      <c r="F54" s="1">
        <v>1.61</v>
      </c>
      <c r="G54" s="2">
        <v>-90</v>
      </c>
      <c r="H54" s="2">
        <v>0</v>
      </c>
      <c r="I54" s="2">
        <v>0</v>
      </c>
      <c r="J54" s="4">
        <v>0</v>
      </c>
      <c r="K54" s="4">
        <v>0</v>
      </c>
      <c r="L54" s="4">
        <v>0</v>
      </c>
      <c r="M54" s="3">
        <v>114.3</v>
      </c>
      <c r="N54" s="3">
        <v>3.05</v>
      </c>
      <c r="O54" s="8">
        <v>1.5</v>
      </c>
      <c r="R54" s="1"/>
      <c r="T54" s="1"/>
      <c r="W54" t="s">
        <v>32</v>
      </c>
    </row>
    <row r="55" spans="1:23" x14ac:dyDescent="0.25">
      <c r="C55" s="6"/>
      <c r="F55" s="1"/>
      <c r="G55" s="2"/>
      <c r="H55" s="2"/>
      <c r="I55" s="2"/>
      <c r="J55" s="4"/>
      <c r="K55" s="4"/>
      <c r="L55" s="4"/>
      <c r="M55" s="3"/>
      <c r="N55" s="3"/>
      <c r="R55" s="1"/>
      <c r="T55" s="1"/>
    </row>
    <row r="56" spans="1:23" x14ac:dyDescent="0.25">
      <c r="A56" t="s">
        <v>51</v>
      </c>
      <c r="B56" t="s">
        <v>11</v>
      </c>
      <c r="C56" s="6" t="s">
        <v>22</v>
      </c>
      <c r="D56" t="str">
        <f>CONCATENATE("COMP_",ROW())</f>
        <v>COMP_56</v>
      </c>
      <c r="F56" s="1">
        <v>0</v>
      </c>
      <c r="G56" s="2">
        <v>-90</v>
      </c>
      <c r="H56" s="2">
        <v>0</v>
      </c>
      <c r="I56" s="2">
        <v>0</v>
      </c>
      <c r="J56" s="4">
        <v>0</v>
      </c>
      <c r="K56" s="4">
        <v>0</v>
      </c>
      <c r="L56" s="4">
        <v>0</v>
      </c>
      <c r="M56" s="3">
        <v>125</v>
      </c>
      <c r="N56" s="3">
        <v>2.02</v>
      </c>
      <c r="Q56" t="str">
        <f ca="1">OFFSET($A$1,ROW()-3,3)</f>
        <v>PIPE_54</v>
      </c>
      <c r="R56" s="1" t="s">
        <v>67</v>
      </c>
      <c r="S56" t="str">
        <f>D81</f>
        <v>PIPE_81</v>
      </c>
      <c r="T56" s="1">
        <v>0.83399999999999996</v>
      </c>
    </row>
    <row r="57" spans="1:23" x14ac:dyDescent="0.25">
      <c r="C57" s="6"/>
      <c r="F57" s="1"/>
      <c r="G57" s="2"/>
      <c r="H57" s="2"/>
      <c r="I57" s="2"/>
      <c r="J57" s="4"/>
      <c r="K57" s="4"/>
      <c r="L57" s="4"/>
      <c r="M57" s="3"/>
      <c r="N57" s="3"/>
      <c r="R57" s="1"/>
      <c r="T57" s="1"/>
    </row>
    <row r="58" spans="1:23" x14ac:dyDescent="0.25">
      <c r="C58" s="6"/>
      <c r="F58" s="1"/>
      <c r="G58" s="2"/>
      <c r="H58" s="2"/>
      <c r="I58" s="2"/>
      <c r="J58" s="4"/>
      <c r="K58" s="4"/>
      <c r="L58" s="4"/>
      <c r="M58" s="3"/>
      <c r="N58" s="3"/>
      <c r="R58" s="1"/>
      <c r="T58" s="1"/>
    </row>
    <row r="59" spans="1:23" x14ac:dyDescent="0.25">
      <c r="A59" t="s">
        <v>28</v>
      </c>
      <c r="B59" t="s">
        <v>52</v>
      </c>
      <c r="C59" s="6"/>
      <c r="F59" s="1"/>
      <c r="G59" s="2"/>
      <c r="H59" s="2"/>
      <c r="I59" s="2"/>
      <c r="J59" s="4"/>
      <c r="K59" s="4"/>
      <c r="L59" s="4"/>
      <c r="M59" s="3"/>
      <c r="N59" s="3"/>
      <c r="R59" s="1"/>
      <c r="T59" s="1"/>
    </row>
    <row r="60" spans="1:23" x14ac:dyDescent="0.25">
      <c r="A60" t="s">
        <v>7</v>
      </c>
      <c r="B60" t="s">
        <v>7</v>
      </c>
      <c r="C60" s="6" t="s">
        <v>7</v>
      </c>
      <c r="D60" t="str">
        <f>CONCATENATE("PIPE_",ROW())</f>
        <v>PIPE_60</v>
      </c>
      <c r="F60" s="1">
        <v>12</v>
      </c>
      <c r="G60" s="2">
        <v>0</v>
      </c>
      <c r="H60" s="2">
        <v>270</v>
      </c>
      <c r="I60" s="2">
        <v>0</v>
      </c>
      <c r="J60" s="4">
        <v>0</v>
      </c>
      <c r="K60" s="4">
        <v>0</v>
      </c>
      <c r="L60" s="4">
        <v>0</v>
      </c>
      <c r="M60" s="3">
        <v>273</v>
      </c>
      <c r="N60" s="3">
        <v>4.1900000000000004</v>
      </c>
      <c r="O60" s="8">
        <v>1.5</v>
      </c>
      <c r="R60" s="1"/>
      <c r="T60" s="1"/>
    </row>
    <row r="61" spans="1:23" x14ac:dyDescent="0.25">
      <c r="A61" t="s">
        <v>7</v>
      </c>
      <c r="B61" t="s">
        <v>7</v>
      </c>
      <c r="C61" s="6" t="s">
        <v>7</v>
      </c>
      <c r="D61" t="str">
        <f>CONCATENATE("PIPE_",ROW())</f>
        <v>PIPE_61</v>
      </c>
      <c r="F61" s="1">
        <v>5.25</v>
      </c>
      <c r="G61" s="2">
        <v>0</v>
      </c>
      <c r="H61" s="2">
        <v>0</v>
      </c>
      <c r="I61" s="2">
        <v>0</v>
      </c>
      <c r="J61" s="4">
        <v>0</v>
      </c>
      <c r="K61" s="4">
        <v>0</v>
      </c>
      <c r="L61" s="4">
        <v>0</v>
      </c>
      <c r="M61" s="3">
        <v>273</v>
      </c>
      <c r="N61" s="3">
        <v>4.1900000000000004</v>
      </c>
      <c r="O61" s="8">
        <v>1.5</v>
      </c>
      <c r="R61" s="1"/>
      <c r="T61" s="1"/>
    </row>
    <row r="62" spans="1:23" x14ac:dyDescent="0.25">
      <c r="A62" t="s">
        <v>7</v>
      </c>
      <c r="B62" t="s">
        <v>7</v>
      </c>
      <c r="C62" s="6" t="s">
        <v>7</v>
      </c>
      <c r="D62" t="str">
        <f>CONCATENATE("PIPE_",ROW())</f>
        <v>PIPE_62</v>
      </c>
      <c r="F62" s="1">
        <v>8</v>
      </c>
      <c r="G62" s="2">
        <v>0</v>
      </c>
      <c r="H62" s="2">
        <v>270</v>
      </c>
      <c r="I62" s="2">
        <v>0</v>
      </c>
      <c r="J62" s="4">
        <v>0</v>
      </c>
      <c r="K62" s="4">
        <v>0</v>
      </c>
      <c r="L62" s="4">
        <v>0</v>
      </c>
      <c r="M62" s="3">
        <v>273</v>
      </c>
      <c r="N62" s="3">
        <v>4.1900000000000004</v>
      </c>
      <c r="O62" s="8">
        <v>1.5</v>
      </c>
      <c r="R62" s="1"/>
      <c r="T62" s="1"/>
    </row>
    <row r="63" spans="1:23" x14ac:dyDescent="0.25">
      <c r="A63" t="s">
        <v>7</v>
      </c>
      <c r="B63" t="s">
        <v>7</v>
      </c>
      <c r="C63" s="6" t="s">
        <v>7</v>
      </c>
      <c r="D63" t="str">
        <f>CONCATENATE("PIPE_",ROW())</f>
        <v>PIPE_63</v>
      </c>
      <c r="F63" s="1">
        <v>0.216</v>
      </c>
      <c r="G63" s="2">
        <v>0</v>
      </c>
      <c r="H63" s="2">
        <v>270</v>
      </c>
      <c r="I63" s="2">
        <v>0</v>
      </c>
      <c r="J63" s="4">
        <v>0</v>
      </c>
      <c r="K63" s="4">
        <v>0</v>
      </c>
      <c r="L63" s="4">
        <v>0</v>
      </c>
      <c r="M63" s="3">
        <v>273</v>
      </c>
      <c r="N63" s="3">
        <v>4.1900000000000004</v>
      </c>
      <c r="O63" s="8">
        <v>1.5</v>
      </c>
      <c r="R63" s="1"/>
      <c r="T63" s="1"/>
    </row>
    <row r="64" spans="1:23" x14ac:dyDescent="0.25">
      <c r="C64" s="6"/>
      <c r="F64" s="1"/>
      <c r="G64" s="2"/>
      <c r="H64" s="2"/>
      <c r="I64" s="2"/>
      <c r="J64" s="4"/>
      <c r="K64" s="4"/>
      <c r="L64" s="4"/>
      <c r="M64" s="3"/>
      <c r="N64" s="3"/>
      <c r="R64" s="1"/>
      <c r="T64" s="1"/>
    </row>
    <row r="65" spans="1:22" x14ac:dyDescent="0.25">
      <c r="A65" t="s">
        <v>51</v>
      </c>
      <c r="B65" t="s">
        <v>9</v>
      </c>
      <c r="C65" s="6" t="s">
        <v>22</v>
      </c>
      <c r="D65" t="str">
        <f>CONCATENATE("COMP_",ROW())</f>
        <v>COMP_65</v>
      </c>
      <c r="F65" s="1">
        <v>0.17799999999999999</v>
      </c>
      <c r="G65" s="2">
        <v>0</v>
      </c>
      <c r="H65" s="2">
        <v>270</v>
      </c>
      <c r="I65" s="2">
        <v>0</v>
      </c>
      <c r="J65" s="4">
        <v>0</v>
      </c>
      <c r="K65" s="4">
        <v>0</v>
      </c>
      <c r="L65" s="4">
        <v>0</v>
      </c>
      <c r="M65" s="3">
        <v>273</v>
      </c>
      <c r="N65" s="3">
        <v>4.1900000000000004</v>
      </c>
      <c r="O65" s="8">
        <v>0.2198</v>
      </c>
      <c r="Q65" t="str">
        <f ca="1">OFFSET($A$1,ROW()-3,3)</f>
        <v>PIPE_63</v>
      </c>
      <c r="R65" s="1" t="s">
        <v>67</v>
      </c>
      <c r="S65" t="str">
        <f ca="1">OFFSET($A$1,ROW()+1,3)</f>
        <v>PIPE_67</v>
      </c>
      <c r="T65" s="1" t="s">
        <v>66</v>
      </c>
    </row>
    <row r="66" spans="1:22" x14ac:dyDescent="0.25">
      <c r="C66" s="6"/>
      <c r="F66" s="1"/>
      <c r="G66" s="2"/>
      <c r="H66" s="2"/>
      <c r="I66" s="2"/>
      <c r="J66" s="4"/>
      <c r="K66" s="4"/>
      <c r="L66" s="4"/>
      <c r="M66" s="3"/>
      <c r="N66" s="3"/>
      <c r="R66" s="1"/>
      <c r="T66" s="1"/>
    </row>
    <row r="67" spans="1:22" x14ac:dyDescent="0.25">
      <c r="A67" t="s">
        <v>7</v>
      </c>
      <c r="B67" t="s">
        <v>7</v>
      </c>
      <c r="C67" s="6" t="s">
        <v>7</v>
      </c>
      <c r="D67" t="str">
        <f>CONCATENATE("PIPE_",ROW())</f>
        <v>PIPE_67</v>
      </c>
      <c r="F67" s="1">
        <f>9.851+0.305</f>
        <v>10.156000000000001</v>
      </c>
      <c r="G67" s="2">
        <v>0</v>
      </c>
      <c r="H67" s="2">
        <v>270</v>
      </c>
      <c r="I67" s="2">
        <v>0</v>
      </c>
      <c r="J67" s="4">
        <v>0</v>
      </c>
      <c r="K67" s="4">
        <v>0</v>
      </c>
      <c r="L67" s="4">
        <v>0</v>
      </c>
      <c r="M67" s="3">
        <v>219.8</v>
      </c>
      <c r="N67" s="3">
        <v>3.76</v>
      </c>
      <c r="O67" s="8">
        <v>1.5</v>
      </c>
      <c r="R67" s="1"/>
      <c r="T67" s="1"/>
    </row>
    <row r="68" spans="1:22" x14ac:dyDescent="0.25">
      <c r="A68" t="s">
        <v>7</v>
      </c>
      <c r="B68" t="s">
        <v>7</v>
      </c>
      <c r="C68" s="6" t="s">
        <v>7</v>
      </c>
      <c r="D68" t="str">
        <f>CONCATENATE("PIPE_",ROW())</f>
        <v>PIPE_68</v>
      </c>
      <c r="F68" s="1">
        <v>1.35</v>
      </c>
      <c r="G68" s="2">
        <v>0</v>
      </c>
      <c r="H68" s="2">
        <v>180</v>
      </c>
      <c r="I68" s="2">
        <v>0</v>
      </c>
      <c r="J68" s="4">
        <v>0</v>
      </c>
      <c r="K68" s="4">
        <v>0</v>
      </c>
      <c r="L68" s="4">
        <v>0</v>
      </c>
      <c r="M68" s="3">
        <v>219.8</v>
      </c>
      <c r="N68" s="3">
        <v>3.76</v>
      </c>
      <c r="O68" s="8">
        <v>1.5</v>
      </c>
      <c r="R68" s="1"/>
      <c r="T68" s="1"/>
    </row>
    <row r="69" spans="1:22" x14ac:dyDescent="0.25">
      <c r="A69" t="s">
        <v>7</v>
      </c>
      <c r="B69" t="s">
        <v>7</v>
      </c>
      <c r="C69" s="6" t="s">
        <v>7</v>
      </c>
      <c r="D69" t="str">
        <f>CONCATENATE("PIPE_",ROW())</f>
        <v>PIPE_69</v>
      </c>
      <c r="F69" s="1">
        <f>0.305+0.1+0.241</f>
        <v>0.64600000000000002</v>
      </c>
      <c r="G69" s="2">
        <v>0</v>
      </c>
      <c r="H69" s="2">
        <v>90</v>
      </c>
      <c r="I69" s="2">
        <v>0</v>
      </c>
      <c r="J69" s="4">
        <v>0</v>
      </c>
      <c r="K69" s="4">
        <v>0</v>
      </c>
      <c r="L69" s="4">
        <v>0</v>
      </c>
      <c r="M69" s="3">
        <v>219.8</v>
      </c>
      <c r="N69" s="3">
        <v>3.76</v>
      </c>
      <c r="O69" s="8">
        <v>1.5</v>
      </c>
      <c r="R69" s="1"/>
      <c r="T69" s="1"/>
    </row>
    <row r="70" spans="1:22" x14ac:dyDescent="0.25">
      <c r="C70" s="6"/>
      <c r="F70" s="1"/>
      <c r="G70" s="2"/>
      <c r="H70" s="2"/>
      <c r="I70" s="2"/>
      <c r="J70" s="4"/>
      <c r="K70" s="4"/>
      <c r="L70" s="4"/>
      <c r="M70" s="3"/>
      <c r="N70" s="3"/>
      <c r="R70" s="1"/>
      <c r="T70" s="1"/>
    </row>
    <row r="71" spans="1:22" x14ac:dyDescent="0.25">
      <c r="A71" t="s">
        <v>51</v>
      </c>
      <c r="B71" t="s">
        <v>10</v>
      </c>
      <c r="C71" s="6" t="s">
        <v>35</v>
      </c>
      <c r="D71" t="str">
        <f>CONCATENATE("COMP_",ROW())</f>
        <v>COMP_71</v>
      </c>
      <c r="F71" s="1">
        <v>0.50800000000000001</v>
      </c>
      <c r="G71" s="2">
        <v>0</v>
      </c>
      <c r="H71" s="2">
        <v>90</v>
      </c>
      <c r="I71" s="2">
        <v>0</v>
      </c>
      <c r="J71" s="4">
        <v>0</v>
      </c>
      <c r="K71" s="4">
        <v>0</v>
      </c>
      <c r="L71" s="4">
        <v>0</v>
      </c>
      <c r="M71" s="3">
        <v>220</v>
      </c>
      <c r="N71" s="3">
        <v>3.76</v>
      </c>
      <c r="Q71" t="str">
        <f ca="1">OFFSET($A$1,ROW()-3,3)</f>
        <v>PIPE_69</v>
      </c>
      <c r="R71" s="1" t="s">
        <v>67</v>
      </c>
      <c r="S71" t="str">
        <f ca="1">OFFSET($A$1,ROW()+1,3)</f>
        <v>PIPE_73</v>
      </c>
      <c r="T71" s="1" t="s">
        <v>66</v>
      </c>
    </row>
    <row r="72" spans="1:22" x14ac:dyDescent="0.25">
      <c r="C72" s="6"/>
      <c r="F72" s="1"/>
      <c r="G72" s="2"/>
      <c r="H72" s="2"/>
      <c r="I72" s="2"/>
      <c r="J72" s="4"/>
      <c r="K72" s="4"/>
      <c r="L72" s="4"/>
      <c r="M72" s="3"/>
      <c r="N72" s="3"/>
      <c r="R72" s="1"/>
      <c r="T72" s="1"/>
    </row>
    <row r="73" spans="1:22" x14ac:dyDescent="0.25">
      <c r="A73" t="s">
        <v>7</v>
      </c>
      <c r="B73" t="s">
        <v>7</v>
      </c>
      <c r="C73" s="6" t="s">
        <v>7</v>
      </c>
      <c r="D73" t="str">
        <f>CONCATENATE("PIPE_",ROW())</f>
        <v>PIPE_73</v>
      </c>
      <c r="F73" s="1">
        <f>0.2+0.268+0.178+0.178+0.2</f>
        <v>1.024</v>
      </c>
      <c r="G73" s="2">
        <v>0</v>
      </c>
      <c r="H73" s="2">
        <v>90</v>
      </c>
      <c r="I73" s="2">
        <v>0</v>
      </c>
      <c r="J73" s="4">
        <v>0</v>
      </c>
      <c r="K73" s="4">
        <v>0</v>
      </c>
      <c r="L73" s="4">
        <v>0</v>
      </c>
      <c r="M73" s="3">
        <v>219.8</v>
      </c>
      <c r="N73" s="3">
        <v>3.76</v>
      </c>
      <c r="O73" s="8">
        <v>1.5</v>
      </c>
      <c r="R73" s="1"/>
      <c r="T73" s="1"/>
      <c r="V73" t="s">
        <v>73</v>
      </c>
    </row>
    <row r="74" spans="1:22" x14ac:dyDescent="0.25">
      <c r="C74" s="6"/>
      <c r="F74" s="1"/>
      <c r="G74" s="2"/>
      <c r="H74" s="2"/>
      <c r="I74" s="2"/>
      <c r="J74" s="4"/>
      <c r="K74" s="4"/>
      <c r="L74" s="4"/>
      <c r="M74" s="3"/>
      <c r="N74" s="3"/>
      <c r="R74" s="1"/>
      <c r="T74" s="1"/>
    </row>
    <row r="75" spans="1:22" x14ac:dyDescent="0.25">
      <c r="A75" t="s">
        <v>51</v>
      </c>
      <c r="B75" t="s">
        <v>10</v>
      </c>
      <c r="C75" s="6" t="s">
        <v>36</v>
      </c>
      <c r="D75" t="str">
        <f>CONCATENATE("COMP_",ROW())</f>
        <v>COMP_75</v>
      </c>
      <c r="F75" s="1">
        <v>0.50800000000000001</v>
      </c>
      <c r="G75" s="2">
        <v>0</v>
      </c>
      <c r="H75" s="2">
        <v>90</v>
      </c>
      <c r="I75" s="2">
        <v>0</v>
      </c>
      <c r="J75" s="4">
        <v>0</v>
      </c>
      <c r="K75" s="4">
        <v>0</v>
      </c>
      <c r="L75" s="4">
        <v>0</v>
      </c>
      <c r="M75" s="3">
        <v>220</v>
      </c>
      <c r="N75" s="3">
        <v>3.76</v>
      </c>
      <c r="Q75" t="str">
        <f ca="1">OFFSET($A$1,ROW()-3,3)</f>
        <v>PIPE_73</v>
      </c>
      <c r="R75" s="1" t="s">
        <v>67</v>
      </c>
      <c r="S75" t="str">
        <f ca="1">OFFSET($A$1,ROW()+1,3)</f>
        <v>PIPE_77</v>
      </c>
      <c r="T75" s="1" t="s">
        <v>66</v>
      </c>
    </row>
    <row r="76" spans="1:22" x14ac:dyDescent="0.25">
      <c r="C76" s="6"/>
      <c r="F76" s="1"/>
      <c r="G76" s="2"/>
      <c r="H76" s="2"/>
      <c r="I76" s="2"/>
      <c r="J76" s="4"/>
      <c r="K76" s="4"/>
      <c r="L76" s="4"/>
      <c r="M76" s="3"/>
      <c r="N76" s="3"/>
      <c r="R76" s="1"/>
      <c r="T76" s="1"/>
    </row>
    <row r="77" spans="1:22" x14ac:dyDescent="0.25">
      <c r="A77" t="s">
        <v>7</v>
      </c>
      <c r="B77" t="s">
        <v>7</v>
      </c>
      <c r="C77" s="6" t="s">
        <v>7</v>
      </c>
      <c r="D77" t="str">
        <f>CONCATENATE("PIPE_",ROW())</f>
        <v>PIPE_77</v>
      </c>
      <c r="F77" s="1">
        <f>0.2+0.478+0.2</f>
        <v>0.87799999999999989</v>
      </c>
      <c r="G77" s="2">
        <v>0</v>
      </c>
      <c r="H77" s="2">
        <v>90</v>
      </c>
      <c r="I77" s="2">
        <v>0</v>
      </c>
      <c r="J77" s="4">
        <v>0</v>
      </c>
      <c r="K77" s="4">
        <v>0</v>
      </c>
      <c r="L77" s="4">
        <v>0</v>
      </c>
      <c r="M77" s="3">
        <v>219.8</v>
      </c>
      <c r="N77" s="3">
        <v>3.76</v>
      </c>
      <c r="O77" s="8">
        <v>1.5</v>
      </c>
      <c r="R77" s="1"/>
      <c r="T77" s="1"/>
    </row>
    <row r="78" spans="1:22" x14ac:dyDescent="0.25">
      <c r="C78" s="6"/>
      <c r="F78" s="1"/>
      <c r="G78" s="2"/>
      <c r="H78" s="2"/>
      <c r="I78" s="2"/>
      <c r="J78" s="4"/>
      <c r="K78" s="4"/>
      <c r="L78" s="4"/>
      <c r="M78" s="3"/>
      <c r="N78" s="3"/>
      <c r="R78" s="1"/>
      <c r="T78" s="1"/>
    </row>
    <row r="79" spans="1:22" x14ac:dyDescent="0.25">
      <c r="A79" t="s">
        <v>51</v>
      </c>
      <c r="B79" t="s">
        <v>10</v>
      </c>
      <c r="C79" s="6" t="s">
        <v>37</v>
      </c>
      <c r="D79" t="str">
        <f>CONCATENATE("COMP_",ROW())</f>
        <v>COMP_79</v>
      </c>
      <c r="F79" s="1">
        <v>0.50800000000000001</v>
      </c>
      <c r="G79" s="2">
        <v>0</v>
      </c>
      <c r="H79" s="2">
        <v>90</v>
      </c>
      <c r="I79" s="2">
        <v>0</v>
      </c>
      <c r="J79" s="4">
        <v>0</v>
      </c>
      <c r="K79" s="4">
        <v>0</v>
      </c>
      <c r="L79" s="4">
        <v>0</v>
      </c>
      <c r="M79" s="3">
        <v>220</v>
      </c>
      <c r="N79" s="3">
        <v>3.76</v>
      </c>
      <c r="Q79" t="str">
        <f ca="1">OFFSET($A$1,ROW()-3,3)</f>
        <v>PIPE_77</v>
      </c>
      <c r="R79" s="1" t="s">
        <v>67</v>
      </c>
      <c r="S79" t="str">
        <f ca="1">OFFSET($A$1,ROW()+1,3)</f>
        <v>PIPE_81</v>
      </c>
      <c r="T79" s="1" t="s">
        <v>66</v>
      </c>
    </row>
    <row r="80" spans="1:22" x14ac:dyDescent="0.25">
      <c r="C80" s="6"/>
      <c r="F80" s="1"/>
      <c r="G80" s="2"/>
      <c r="H80" s="2"/>
      <c r="I80" s="2"/>
      <c r="J80" s="4"/>
      <c r="K80" s="4"/>
      <c r="L80" s="4"/>
      <c r="M80" s="3"/>
      <c r="N80" s="3"/>
      <c r="R80" s="1"/>
      <c r="T80" s="1"/>
    </row>
    <row r="81" spans="1:22" x14ac:dyDescent="0.25">
      <c r="A81" t="s">
        <v>7</v>
      </c>
      <c r="B81" t="s">
        <v>7</v>
      </c>
      <c r="C81" s="6" t="s">
        <v>7</v>
      </c>
      <c r="D81" t="str">
        <f>CONCATENATE("PIPE_",ROW())</f>
        <v>PIPE_81</v>
      </c>
      <c r="F81" s="1">
        <f>0.2+0.178+0.178+0.1+0.178+0.178+0.412+0.2</f>
        <v>1.6239999999999999</v>
      </c>
      <c r="G81" s="2">
        <v>0</v>
      </c>
      <c r="H81" s="2">
        <v>90</v>
      </c>
      <c r="I81" s="2">
        <v>0</v>
      </c>
      <c r="J81" s="4">
        <v>0</v>
      </c>
      <c r="K81" s="4">
        <v>0</v>
      </c>
      <c r="L81" s="4">
        <v>0</v>
      </c>
      <c r="M81" s="3">
        <v>219.8</v>
      </c>
      <c r="N81" s="3">
        <v>3.76</v>
      </c>
      <c r="O81" s="8">
        <v>1.5</v>
      </c>
      <c r="R81" s="1"/>
      <c r="T81" s="1"/>
      <c r="V81" t="s">
        <v>74</v>
      </c>
    </row>
    <row r="82" spans="1:22" x14ac:dyDescent="0.25">
      <c r="C82" s="6"/>
      <c r="F82" s="1"/>
      <c r="G82" s="2"/>
      <c r="H82" s="2"/>
      <c r="I82" s="2"/>
      <c r="J82" s="4"/>
      <c r="K82" s="4"/>
      <c r="L82" s="4"/>
      <c r="M82" s="3"/>
      <c r="N82" s="3"/>
      <c r="R82" s="1"/>
      <c r="T82" s="1"/>
    </row>
    <row r="83" spans="1:22" x14ac:dyDescent="0.25">
      <c r="A83" t="s">
        <v>51</v>
      </c>
      <c r="B83" t="s">
        <v>10</v>
      </c>
      <c r="C83" s="6" t="s">
        <v>38</v>
      </c>
      <c r="D83" t="str">
        <f>CONCATENATE("COMP_",ROW())</f>
        <v>COMP_83</v>
      </c>
      <c r="F83" s="1">
        <v>0.50800000000000001</v>
      </c>
      <c r="G83" s="2">
        <v>0</v>
      </c>
      <c r="H83" s="2">
        <v>90</v>
      </c>
      <c r="I83" s="2">
        <v>0</v>
      </c>
      <c r="J83" s="4">
        <v>0</v>
      </c>
      <c r="K83" s="4">
        <v>0</v>
      </c>
      <c r="L83" s="4">
        <v>0</v>
      </c>
      <c r="M83" s="3">
        <v>220</v>
      </c>
      <c r="N83" s="3">
        <v>3.76</v>
      </c>
      <c r="Q83" t="str">
        <f ca="1">OFFSET($A$1,ROW()-3,3)</f>
        <v>PIPE_81</v>
      </c>
      <c r="R83" s="1" t="s">
        <v>67</v>
      </c>
      <c r="S83" t="str">
        <f ca="1">OFFSET($A$1,ROW()+1,3)</f>
        <v>PIPE_85</v>
      </c>
      <c r="T83" s="1" t="s">
        <v>66</v>
      </c>
    </row>
    <row r="84" spans="1:22" x14ac:dyDescent="0.25">
      <c r="C84" s="6"/>
      <c r="F84" s="1"/>
      <c r="G84" s="2"/>
      <c r="H84" s="2"/>
      <c r="I84" s="2"/>
      <c r="J84" s="4"/>
      <c r="K84" s="4"/>
      <c r="L84" s="4"/>
      <c r="M84" s="3"/>
      <c r="N84" s="3"/>
      <c r="R84" s="1"/>
      <c r="T84" s="1"/>
    </row>
    <row r="85" spans="1:22" x14ac:dyDescent="0.25">
      <c r="A85" t="s">
        <v>7</v>
      </c>
      <c r="B85" t="s">
        <v>7</v>
      </c>
      <c r="C85" s="6" t="s">
        <v>7</v>
      </c>
      <c r="D85" t="str">
        <f>CONCATENATE("PIPE_",ROW())</f>
        <v>PIPE_85</v>
      </c>
      <c r="F85" s="1">
        <f>0.2+0.592+0.2</f>
        <v>0.99199999999999999</v>
      </c>
      <c r="G85" s="2">
        <v>0</v>
      </c>
      <c r="H85" s="2">
        <v>90</v>
      </c>
      <c r="I85" s="2">
        <v>0</v>
      </c>
      <c r="J85" s="4">
        <v>0</v>
      </c>
      <c r="K85" s="4">
        <v>0</v>
      </c>
      <c r="L85" s="4">
        <v>0</v>
      </c>
      <c r="M85" s="3">
        <v>219.8</v>
      </c>
      <c r="N85" s="3">
        <v>3.76</v>
      </c>
      <c r="O85" s="8">
        <v>1.5</v>
      </c>
      <c r="R85" s="1"/>
      <c r="T85" s="1"/>
    </row>
    <row r="86" spans="1:22" x14ac:dyDescent="0.25">
      <c r="C86" s="6"/>
      <c r="F86" s="1"/>
      <c r="G86" s="2"/>
      <c r="H86" s="2"/>
      <c r="I86" s="2"/>
      <c r="J86" s="4"/>
      <c r="K86" s="4"/>
      <c r="L86" s="4"/>
      <c r="M86" s="3"/>
      <c r="N86" s="3"/>
      <c r="R86" s="1"/>
      <c r="T86" s="1"/>
    </row>
    <row r="87" spans="1:22" x14ac:dyDescent="0.25">
      <c r="A87" t="s">
        <v>51</v>
      </c>
      <c r="B87" t="s">
        <v>10</v>
      </c>
      <c r="C87" s="6" t="s">
        <v>39</v>
      </c>
      <c r="D87" t="str">
        <f>CONCATENATE("COMP_",ROW())</f>
        <v>COMP_87</v>
      </c>
      <c r="F87" s="1">
        <v>0.50800000000000001</v>
      </c>
      <c r="G87" s="2">
        <v>0</v>
      </c>
      <c r="H87" s="2">
        <v>90</v>
      </c>
      <c r="I87" s="2">
        <v>0</v>
      </c>
      <c r="J87" s="4">
        <v>0</v>
      </c>
      <c r="K87" s="4">
        <v>0</v>
      </c>
      <c r="L87" s="4">
        <v>0</v>
      </c>
      <c r="M87" s="3">
        <v>220</v>
      </c>
      <c r="N87" s="3">
        <v>3.76</v>
      </c>
      <c r="Q87" t="str">
        <f ca="1">OFFSET($A$1,ROW()-3,3)</f>
        <v>PIPE_85</v>
      </c>
      <c r="R87" s="1" t="s">
        <v>67</v>
      </c>
      <c r="S87" t="str">
        <f ca="1">OFFSET($A$1,ROW()+1,3)</f>
        <v>PIPE_89</v>
      </c>
      <c r="T87" s="1" t="s">
        <v>66</v>
      </c>
    </row>
    <row r="88" spans="1:22" x14ac:dyDescent="0.25">
      <c r="C88" s="6"/>
      <c r="F88" s="1"/>
      <c r="G88" s="2"/>
      <c r="H88" s="2"/>
      <c r="I88" s="2"/>
      <c r="J88" s="4"/>
      <c r="K88" s="4"/>
      <c r="L88" s="4"/>
      <c r="M88" s="3"/>
      <c r="N88" s="3"/>
      <c r="R88" s="1"/>
      <c r="T88" s="1"/>
    </row>
    <row r="89" spans="1:22" x14ac:dyDescent="0.25">
      <c r="A89" t="s">
        <v>7</v>
      </c>
      <c r="B89" t="s">
        <v>7</v>
      </c>
      <c r="C89" s="6" t="s">
        <v>7</v>
      </c>
      <c r="D89" t="str">
        <f>CONCATENATE("PIPE_",ROW())</f>
        <v>PIPE_89</v>
      </c>
      <c r="F89" s="1">
        <f>0.2+0.303+0.178+0.178+0.733+0.2</f>
        <v>1.792</v>
      </c>
      <c r="G89" s="2">
        <v>0</v>
      </c>
      <c r="H89" s="2">
        <v>90</v>
      </c>
      <c r="I89" s="2">
        <v>0</v>
      </c>
      <c r="J89" s="4">
        <v>0</v>
      </c>
      <c r="K89" s="4">
        <v>0</v>
      </c>
      <c r="L89" s="4">
        <v>0</v>
      </c>
      <c r="M89" s="3">
        <v>219.8</v>
      </c>
      <c r="N89" s="3">
        <v>3.76</v>
      </c>
      <c r="O89" s="8">
        <v>1.5</v>
      </c>
      <c r="R89" s="1"/>
      <c r="T89" s="1"/>
      <c r="V89" t="s">
        <v>75</v>
      </c>
    </row>
    <row r="90" spans="1:22" x14ac:dyDescent="0.25">
      <c r="C90" s="6"/>
      <c r="F90" s="1"/>
      <c r="G90" s="2"/>
      <c r="H90" s="2"/>
      <c r="I90" s="2"/>
      <c r="J90" s="4"/>
      <c r="K90" s="4"/>
      <c r="L90" s="4"/>
      <c r="M90" s="3"/>
      <c r="N90" s="3"/>
      <c r="R90" s="1"/>
      <c r="T90" s="1"/>
    </row>
    <row r="91" spans="1:22" x14ac:dyDescent="0.25">
      <c r="A91" t="s">
        <v>51</v>
      </c>
      <c r="B91" t="s">
        <v>10</v>
      </c>
      <c r="C91" s="6" t="s">
        <v>40</v>
      </c>
      <c r="D91" t="str">
        <f>CONCATENATE("COMP_",ROW())</f>
        <v>COMP_91</v>
      </c>
      <c r="F91" s="1">
        <v>0.50800000000000001</v>
      </c>
      <c r="G91" s="2">
        <v>0</v>
      </c>
      <c r="H91" s="2">
        <v>90</v>
      </c>
      <c r="I91" s="2">
        <v>0</v>
      </c>
      <c r="J91" s="4">
        <v>0</v>
      </c>
      <c r="K91" s="4">
        <v>0</v>
      </c>
      <c r="L91" s="4">
        <v>0</v>
      </c>
      <c r="M91" s="3">
        <v>220</v>
      </c>
      <c r="N91" s="3">
        <v>3.76</v>
      </c>
      <c r="Q91" t="str">
        <f ca="1">OFFSET($A$1,ROW()-3,3)</f>
        <v>PIPE_89</v>
      </c>
      <c r="R91" s="1" t="s">
        <v>67</v>
      </c>
      <c r="S91" t="str">
        <f ca="1">OFFSET($A$1,ROW()+1,3)</f>
        <v>PIPE_93</v>
      </c>
      <c r="T91" s="1" t="s">
        <v>66</v>
      </c>
    </row>
    <row r="92" spans="1:22" x14ac:dyDescent="0.25">
      <c r="C92" s="6"/>
      <c r="F92" s="1"/>
      <c r="G92" s="2"/>
      <c r="H92" s="2"/>
      <c r="I92" s="2"/>
      <c r="J92" s="4"/>
      <c r="K92" s="4"/>
      <c r="L92" s="4"/>
      <c r="M92" s="3"/>
      <c r="N92" s="3"/>
      <c r="R92" s="1"/>
      <c r="T92" s="1"/>
    </row>
    <row r="93" spans="1:22" x14ac:dyDescent="0.25">
      <c r="A93" t="s">
        <v>7</v>
      </c>
      <c r="B93" t="s">
        <v>7</v>
      </c>
      <c r="C93" s="6" t="s">
        <v>7</v>
      </c>
      <c r="D93" t="str">
        <f>CONCATENATE("PIPE_",ROW())</f>
        <v>PIPE_93</v>
      </c>
      <c r="F93" s="1">
        <f>0.241+0.305</f>
        <v>0.54600000000000004</v>
      </c>
      <c r="G93" s="2">
        <v>0</v>
      </c>
      <c r="H93" s="2">
        <v>90</v>
      </c>
      <c r="I93" s="2">
        <v>0</v>
      </c>
      <c r="J93" s="4">
        <v>0</v>
      </c>
      <c r="K93" s="4">
        <v>0</v>
      </c>
      <c r="L93" s="4">
        <v>0</v>
      </c>
      <c r="M93" s="3">
        <v>219.8</v>
      </c>
      <c r="N93" s="3">
        <v>3.76</v>
      </c>
      <c r="O93" s="8">
        <v>1.5</v>
      </c>
      <c r="R93" s="1"/>
      <c r="T93" s="1"/>
    </row>
    <row r="94" spans="1:22" x14ac:dyDescent="0.25">
      <c r="A94" t="s">
        <v>7</v>
      </c>
      <c r="B94" t="s">
        <v>7</v>
      </c>
      <c r="C94" s="6" t="s">
        <v>7</v>
      </c>
      <c r="D94" t="str">
        <f>CONCATENATE("PIPE_",ROW())</f>
        <v>PIPE_94</v>
      </c>
      <c r="F94" s="1">
        <v>1.35</v>
      </c>
      <c r="G94" s="2">
        <v>0</v>
      </c>
      <c r="H94" s="2">
        <v>0</v>
      </c>
      <c r="I94" s="2">
        <v>0</v>
      </c>
      <c r="J94" s="4">
        <v>0</v>
      </c>
      <c r="K94" s="4">
        <v>0</v>
      </c>
      <c r="L94" s="4">
        <v>0</v>
      </c>
      <c r="M94" s="3">
        <v>219.8</v>
      </c>
      <c r="N94" s="3">
        <v>3.76</v>
      </c>
      <c r="O94" s="8">
        <v>1.5</v>
      </c>
      <c r="R94" s="1"/>
      <c r="T94" s="1"/>
    </row>
    <row r="95" spans="1:22" x14ac:dyDescent="0.25">
      <c r="C95" s="6"/>
      <c r="F95" s="1"/>
      <c r="G95" s="2"/>
      <c r="H95" s="2"/>
      <c r="I95" s="2"/>
      <c r="J95" s="4"/>
      <c r="K95" s="4"/>
      <c r="L95" s="4"/>
      <c r="M95" s="3"/>
      <c r="N95" s="3"/>
      <c r="R95" s="1"/>
      <c r="T95" s="1"/>
    </row>
    <row r="96" spans="1:22" x14ac:dyDescent="0.25">
      <c r="A96" t="s">
        <v>51</v>
      </c>
      <c r="B96" t="s">
        <v>11</v>
      </c>
      <c r="C96" s="6" t="s">
        <v>22</v>
      </c>
      <c r="D96" t="str">
        <f>CONCATENATE("COMP_",ROW())</f>
        <v>COMP_96</v>
      </c>
      <c r="F96" s="1">
        <v>0</v>
      </c>
      <c r="G96" s="2">
        <v>0</v>
      </c>
      <c r="H96" s="2">
        <v>0</v>
      </c>
      <c r="I96" s="2">
        <v>0</v>
      </c>
      <c r="J96" s="4">
        <v>0</v>
      </c>
      <c r="K96" s="4">
        <v>0</v>
      </c>
      <c r="L96" s="4">
        <v>0</v>
      </c>
      <c r="M96" s="3">
        <v>220</v>
      </c>
      <c r="N96" s="3">
        <v>3.76</v>
      </c>
      <c r="Q96" t="str">
        <f ca="1">OFFSET($A$1,ROW()-3,3)</f>
        <v>PIPE_94</v>
      </c>
      <c r="R96" s="1" t="s">
        <v>67</v>
      </c>
      <c r="S96" t="str">
        <f>D63</f>
        <v>PIPE_63</v>
      </c>
      <c r="T96" s="1" t="s">
        <v>66</v>
      </c>
    </row>
    <row r="97" spans="1:23" x14ac:dyDescent="0.25">
      <c r="C97" s="6"/>
      <c r="F97" s="1"/>
      <c r="G97" s="2"/>
      <c r="H97" s="2"/>
      <c r="I97" s="2"/>
      <c r="J97" s="4"/>
      <c r="K97" s="4"/>
      <c r="L97" s="4"/>
      <c r="M97" s="3"/>
      <c r="N97" s="3"/>
      <c r="R97" s="1"/>
      <c r="T97" s="1"/>
    </row>
    <row r="98" spans="1:23" x14ac:dyDescent="0.25">
      <c r="C98" s="6"/>
      <c r="F98" s="1"/>
      <c r="G98" s="2"/>
      <c r="H98" s="2"/>
      <c r="I98" s="2"/>
      <c r="J98" s="4"/>
      <c r="K98" s="4"/>
      <c r="L98" s="4"/>
      <c r="M98" s="3"/>
      <c r="N98" s="3"/>
      <c r="R98" s="1"/>
      <c r="T98" s="1"/>
    </row>
    <row r="99" spans="1:23" x14ac:dyDescent="0.25">
      <c r="C99" s="6"/>
      <c r="F99" s="1"/>
      <c r="G99" s="2"/>
      <c r="H99" s="2"/>
      <c r="I99" s="2"/>
      <c r="J99" s="4"/>
      <c r="K99" s="4"/>
      <c r="L99" s="4"/>
      <c r="M99" s="3"/>
      <c r="N99" s="3"/>
      <c r="R99" s="1"/>
      <c r="T99" s="1"/>
    </row>
    <row r="100" spans="1:23" x14ac:dyDescent="0.25">
      <c r="A100" t="s">
        <v>28</v>
      </c>
      <c r="B100" t="s">
        <v>41</v>
      </c>
      <c r="C100" s="6"/>
      <c r="F100" s="1"/>
      <c r="G100" s="2"/>
      <c r="H100" s="2"/>
      <c r="I100" s="2"/>
      <c r="J100" s="4"/>
      <c r="K100" s="4"/>
      <c r="L100" s="4"/>
      <c r="M100" s="3"/>
      <c r="N100" s="3"/>
      <c r="R100" s="1"/>
      <c r="T100" s="1"/>
    </row>
    <row r="101" spans="1:23" x14ac:dyDescent="0.25">
      <c r="A101" t="s">
        <v>51</v>
      </c>
      <c r="B101" t="s">
        <v>11</v>
      </c>
      <c r="C101" s="6" t="s">
        <v>22</v>
      </c>
      <c r="D101" t="str">
        <f>CONCATENATE("COMP_",ROW())</f>
        <v>COMP_101</v>
      </c>
      <c r="F101" s="1">
        <v>0</v>
      </c>
      <c r="G101" s="2">
        <v>0</v>
      </c>
      <c r="H101" s="2">
        <v>0</v>
      </c>
      <c r="I101" s="2">
        <v>0</v>
      </c>
      <c r="J101" s="4">
        <v>0</v>
      </c>
      <c r="K101" s="4">
        <v>0</v>
      </c>
      <c r="L101" s="4">
        <v>0</v>
      </c>
      <c r="M101" s="3">
        <f>6*25.4</f>
        <v>152.39999999999998</v>
      </c>
      <c r="N101" s="3">
        <v>3.76</v>
      </c>
      <c r="Q101" t="str">
        <f>D81</f>
        <v>PIPE_81</v>
      </c>
      <c r="R101" s="1">
        <v>0.378</v>
      </c>
      <c r="S101" t="str">
        <f ca="1">OFFSET($A$1,ROW()+1,3)</f>
        <v>PIPE_103</v>
      </c>
      <c r="T101" s="1" t="s">
        <v>66</v>
      </c>
    </row>
    <row r="102" spans="1:23" x14ac:dyDescent="0.25">
      <c r="C102" s="6"/>
      <c r="F102" s="1"/>
      <c r="G102" s="2"/>
      <c r="H102" s="2"/>
      <c r="I102" s="2"/>
      <c r="J102" s="4"/>
      <c r="K102" s="4"/>
      <c r="L102" s="4"/>
      <c r="M102" s="3"/>
      <c r="N102" s="3"/>
      <c r="R102" s="1"/>
      <c r="T102" s="1"/>
    </row>
    <row r="103" spans="1:23" x14ac:dyDescent="0.25">
      <c r="A103" t="s">
        <v>7</v>
      </c>
      <c r="B103" t="s">
        <v>7</v>
      </c>
      <c r="C103" s="6" t="s">
        <v>7</v>
      </c>
      <c r="D103" t="str">
        <f t="shared" ref="D103:D108" si="3">CONCATENATE("PIPE_",ROW())</f>
        <v>PIPE_103</v>
      </c>
      <c r="F103" s="1">
        <v>0.5</v>
      </c>
      <c r="G103" s="2">
        <v>0</v>
      </c>
      <c r="H103" s="2">
        <v>0</v>
      </c>
      <c r="I103" s="2">
        <v>0</v>
      </c>
      <c r="J103" s="4">
        <v>0</v>
      </c>
      <c r="K103" s="4">
        <v>0</v>
      </c>
      <c r="L103" s="4">
        <v>0</v>
      </c>
      <c r="M103" s="3">
        <f t="shared" ref="M103:M108" si="4">6*25.4</f>
        <v>152.39999999999998</v>
      </c>
      <c r="N103" s="3">
        <v>3.76</v>
      </c>
      <c r="O103" s="8">
        <v>1.5</v>
      </c>
      <c r="R103" s="1"/>
      <c r="T103" s="1"/>
    </row>
    <row r="104" spans="1:23" x14ac:dyDescent="0.25">
      <c r="A104" t="s">
        <v>7</v>
      </c>
      <c r="B104" t="s">
        <v>7</v>
      </c>
      <c r="C104" s="6" t="s">
        <v>7</v>
      </c>
      <c r="D104" t="str">
        <f t="shared" si="3"/>
        <v>PIPE_104</v>
      </c>
      <c r="F104" s="1">
        <v>1.49</v>
      </c>
      <c r="G104" s="2">
        <v>90</v>
      </c>
      <c r="H104" s="2">
        <v>0</v>
      </c>
      <c r="I104" s="2">
        <v>0</v>
      </c>
      <c r="J104" s="4">
        <v>0</v>
      </c>
      <c r="K104" s="4">
        <v>0</v>
      </c>
      <c r="L104" s="4">
        <v>0</v>
      </c>
      <c r="M104" s="3">
        <f t="shared" si="4"/>
        <v>152.39999999999998</v>
      </c>
      <c r="N104" s="3">
        <v>3.76</v>
      </c>
      <c r="O104" s="8">
        <v>1.5</v>
      </c>
      <c r="R104" s="1"/>
      <c r="T104" s="1"/>
    </row>
    <row r="105" spans="1:23" x14ac:dyDescent="0.25">
      <c r="A105" t="s">
        <v>7</v>
      </c>
      <c r="B105" t="s">
        <v>7</v>
      </c>
      <c r="C105" s="6" t="s">
        <v>7</v>
      </c>
      <c r="D105" t="str">
        <f t="shared" si="3"/>
        <v>PIPE_105</v>
      </c>
      <c r="F105" s="1">
        <v>1.49</v>
      </c>
      <c r="G105" s="2">
        <v>0</v>
      </c>
      <c r="H105" s="2">
        <v>270</v>
      </c>
      <c r="I105" s="2">
        <v>0</v>
      </c>
      <c r="J105" s="4">
        <v>0</v>
      </c>
      <c r="K105" s="4">
        <v>0</v>
      </c>
      <c r="L105" s="4">
        <v>0</v>
      </c>
      <c r="M105" s="3">
        <f t="shared" si="4"/>
        <v>152.39999999999998</v>
      </c>
      <c r="N105" s="3">
        <v>3.76</v>
      </c>
      <c r="O105" s="8">
        <v>1.5</v>
      </c>
      <c r="R105" s="1"/>
      <c r="T105" s="1"/>
      <c r="W105" t="s">
        <v>42</v>
      </c>
    </row>
    <row r="106" spans="1:23" x14ac:dyDescent="0.25">
      <c r="A106" t="s">
        <v>7</v>
      </c>
      <c r="B106" t="s">
        <v>7</v>
      </c>
      <c r="C106" s="6" t="s">
        <v>7</v>
      </c>
      <c r="D106" t="str">
        <f t="shared" si="3"/>
        <v>PIPE_106</v>
      </c>
      <c r="F106" s="1">
        <v>1.49</v>
      </c>
      <c r="G106" s="2">
        <v>0</v>
      </c>
      <c r="H106" s="2">
        <v>0</v>
      </c>
      <c r="I106" s="2">
        <v>0</v>
      </c>
      <c r="J106" s="4">
        <v>0</v>
      </c>
      <c r="K106" s="4">
        <v>0</v>
      </c>
      <c r="L106" s="4">
        <v>0</v>
      </c>
      <c r="M106" s="3">
        <f t="shared" si="4"/>
        <v>152.39999999999998</v>
      </c>
      <c r="N106" s="3">
        <v>3.76</v>
      </c>
      <c r="O106" s="8">
        <v>1.5</v>
      </c>
      <c r="R106" s="1"/>
      <c r="T106" s="1"/>
      <c r="W106" t="s">
        <v>42</v>
      </c>
    </row>
    <row r="107" spans="1:23" x14ac:dyDescent="0.25">
      <c r="A107" t="s">
        <v>7</v>
      </c>
      <c r="B107" t="s">
        <v>7</v>
      </c>
      <c r="C107" s="6" t="s">
        <v>7</v>
      </c>
      <c r="D107" t="str">
        <f t="shared" si="3"/>
        <v>PIPE_107</v>
      </c>
      <c r="F107" s="1">
        <v>3.2</v>
      </c>
      <c r="G107" s="2">
        <v>90</v>
      </c>
      <c r="H107" s="2">
        <v>0</v>
      </c>
      <c r="I107" s="2">
        <v>0</v>
      </c>
      <c r="J107" s="4">
        <v>0</v>
      </c>
      <c r="K107" s="4">
        <v>0</v>
      </c>
      <c r="L107" s="4">
        <v>0</v>
      </c>
      <c r="M107" s="3">
        <f t="shared" si="4"/>
        <v>152.39999999999998</v>
      </c>
      <c r="N107" s="3">
        <v>3.76</v>
      </c>
      <c r="O107" s="8">
        <v>1.5</v>
      </c>
      <c r="R107" s="1"/>
      <c r="T107" s="1"/>
    </row>
    <row r="108" spans="1:23" x14ac:dyDescent="0.25">
      <c r="A108" t="s">
        <v>7</v>
      </c>
      <c r="B108" t="s">
        <v>7</v>
      </c>
      <c r="C108" s="6" t="s">
        <v>7</v>
      </c>
      <c r="D108" t="str">
        <f t="shared" si="3"/>
        <v>PIPE_108</v>
      </c>
      <c r="F108" s="1">
        <f>0.229+0.1</f>
        <v>0.32900000000000001</v>
      </c>
      <c r="G108" s="2">
        <v>0</v>
      </c>
      <c r="H108" s="2">
        <v>51</v>
      </c>
      <c r="I108" s="2">
        <v>0</v>
      </c>
      <c r="J108" s="4">
        <v>0</v>
      </c>
      <c r="K108" s="4">
        <v>0</v>
      </c>
      <c r="L108" s="4">
        <v>0</v>
      </c>
      <c r="M108" s="3">
        <f t="shared" si="4"/>
        <v>152.39999999999998</v>
      </c>
      <c r="N108" s="3">
        <v>3.76</v>
      </c>
      <c r="O108" s="8">
        <v>1.5</v>
      </c>
      <c r="R108" s="1"/>
      <c r="T108" s="1"/>
    </row>
    <row r="109" spans="1:23" x14ac:dyDescent="0.25">
      <c r="C109" s="6"/>
      <c r="F109" s="1"/>
      <c r="G109" s="2"/>
      <c r="H109" s="2"/>
      <c r="I109" s="2"/>
      <c r="J109" s="4"/>
      <c r="K109" s="4"/>
      <c r="L109" s="4"/>
      <c r="M109" s="3"/>
      <c r="N109" s="3"/>
      <c r="R109" s="1"/>
      <c r="T109" s="1"/>
    </row>
    <row r="110" spans="1:23" x14ac:dyDescent="0.25">
      <c r="A110" t="s">
        <v>51</v>
      </c>
      <c r="B110" t="s">
        <v>10</v>
      </c>
      <c r="C110" s="6" t="s">
        <v>45</v>
      </c>
      <c r="D110" t="str">
        <f>CONCATENATE("COMP_",ROW())</f>
        <v>COMP_110</v>
      </c>
      <c r="F110" s="1">
        <v>0.50800000000000001</v>
      </c>
      <c r="G110" s="2">
        <v>0</v>
      </c>
      <c r="H110" s="2">
        <v>51</v>
      </c>
      <c r="I110" s="2">
        <v>0</v>
      </c>
      <c r="J110" s="4">
        <v>0</v>
      </c>
      <c r="K110" s="4">
        <v>0</v>
      </c>
      <c r="L110" s="4">
        <v>0</v>
      </c>
      <c r="M110" s="3">
        <f>6*25.4</f>
        <v>152.39999999999998</v>
      </c>
      <c r="N110" s="3">
        <v>3.76</v>
      </c>
      <c r="Q110" t="str">
        <f ca="1">OFFSET($A$1,ROW()-3,3)</f>
        <v>PIPE_108</v>
      </c>
      <c r="R110" s="1" t="s">
        <v>67</v>
      </c>
      <c r="S110" t="str">
        <f ca="1">OFFSET($A$1,ROW()+1,3)</f>
        <v>PIPE_112</v>
      </c>
      <c r="T110" s="1" t="s">
        <v>66</v>
      </c>
    </row>
    <row r="111" spans="1:23" x14ac:dyDescent="0.25">
      <c r="C111" s="6"/>
      <c r="F111" s="1"/>
      <c r="G111" s="2"/>
      <c r="H111" s="2"/>
      <c r="I111" s="2"/>
      <c r="J111" s="4"/>
      <c r="K111" s="4"/>
      <c r="L111" s="4"/>
      <c r="M111" s="3"/>
      <c r="N111" s="3"/>
      <c r="R111" s="1"/>
      <c r="T111" s="1"/>
    </row>
    <row r="112" spans="1:23" x14ac:dyDescent="0.25">
      <c r="A112" t="s">
        <v>7</v>
      </c>
      <c r="B112" t="s">
        <v>7</v>
      </c>
      <c r="C112" s="6" t="s">
        <v>7</v>
      </c>
      <c r="D112" t="str">
        <f>CONCATENATE("PIPE_",ROW())</f>
        <v>PIPE_112</v>
      </c>
      <c r="F112" s="1">
        <f>0.15+0.15</f>
        <v>0.3</v>
      </c>
      <c r="G112" s="2">
        <v>0</v>
      </c>
      <c r="H112" s="2">
        <v>51</v>
      </c>
      <c r="I112" s="2">
        <v>0</v>
      </c>
      <c r="J112" s="4">
        <v>0</v>
      </c>
      <c r="K112" s="4">
        <v>0</v>
      </c>
      <c r="L112" s="4">
        <v>0</v>
      </c>
      <c r="M112" s="3">
        <f>6*25.4</f>
        <v>152.39999999999998</v>
      </c>
      <c r="N112" s="3">
        <v>3.76</v>
      </c>
      <c r="O112" s="8">
        <v>1.5</v>
      </c>
      <c r="R112" s="1"/>
      <c r="T112" s="1"/>
      <c r="V112" t="s">
        <v>76</v>
      </c>
      <c r="W112" t="s">
        <v>43</v>
      </c>
    </row>
    <row r="113" spans="1:20" x14ac:dyDescent="0.25">
      <c r="A113" t="s">
        <v>7</v>
      </c>
      <c r="B113" t="s">
        <v>7</v>
      </c>
      <c r="C113" s="6" t="s">
        <v>7</v>
      </c>
      <c r="D113" t="str">
        <f>CONCATENATE("PIPE_",ROW())</f>
        <v>PIPE_113</v>
      </c>
      <c r="F113" s="1">
        <f>0.322-0.15+0.089*2+0.332+0.229</f>
        <v>0.91099999999999992</v>
      </c>
      <c r="G113" s="2">
        <v>0</v>
      </c>
      <c r="H113" s="2">
        <v>51</v>
      </c>
      <c r="I113" s="2">
        <v>0</v>
      </c>
      <c r="J113" s="4">
        <v>0</v>
      </c>
      <c r="K113" s="4">
        <v>0</v>
      </c>
      <c r="L113" s="4">
        <v>0</v>
      </c>
      <c r="M113" s="3">
        <f>6*25.4</f>
        <v>152.39999999999998</v>
      </c>
      <c r="N113" s="3">
        <v>3.76</v>
      </c>
      <c r="O113" s="8">
        <v>1.5</v>
      </c>
      <c r="R113" s="1"/>
      <c r="T113" s="1"/>
    </row>
    <row r="114" spans="1:20" x14ac:dyDescent="0.25">
      <c r="A114" t="s">
        <v>7</v>
      </c>
      <c r="B114" t="s">
        <v>7</v>
      </c>
      <c r="C114" s="6" t="s">
        <v>7</v>
      </c>
      <c r="D114" t="str">
        <f>CONCATENATE("PIPE_",ROW())</f>
        <v>PIPE_114</v>
      </c>
      <c r="F114" s="1">
        <v>0.22900000000000001</v>
      </c>
      <c r="G114" s="2">
        <v>-90</v>
      </c>
      <c r="H114" s="2">
        <v>0</v>
      </c>
      <c r="I114" s="2">
        <v>0</v>
      </c>
      <c r="J114" s="4">
        <v>0</v>
      </c>
      <c r="K114" s="4">
        <v>0</v>
      </c>
      <c r="L114" s="4">
        <v>0</v>
      </c>
      <c r="M114" s="3">
        <f>6*25.4</f>
        <v>152.39999999999998</v>
      </c>
      <c r="N114" s="3">
        <v>3.76</v>
      </c>
      <c r="O114" s="8">
        <v>1.5</v>
      </c>
      <c r="R114" s="1"/>
      <c r="T114" s="1"/>
    </row>
    <row r="115" spans="1:20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0" x14ac:dyDescent="0.25">
      <c r="A116" t="s">
        <v>51</v>
      </c>
      <c r="B116" t="s">
        <v>9</v>
      </c>
      <c r="C116" s="6" t="s">
        <v>22</v>
      </c>
      <c r="D116" t="str">
        <f>CONCATENATE("COMP_",ROW())</f>
        <v>COMP_116</v>
      </c>
      <c r="F116" s="1">
        <v>0.152</v>
      </c>
      <c r="G116" s="2">
        <v>-90</v>
      </c>
      <c r="H116" s="2">
        <v>0</v>
      </c>
      <c r="I116" s="2">
        <v>0</v>
      </c>
      <c r="J116" s="4">
        <v>0</v>
      </c>
      <c r="K116" s="4">
        <v>0</v>
      </c>
      <c r="L116" s="4">
        <v>0</v>
      </c>
      <c r="M116" s="3">
        <f>6*25.4</f>
        <v>152.39999999999998</v>
      </c>
      <c r="N116" s="3">
        <v>3.76</v>
      </c>
      <c r="O116" s="8">
        <v>0.2198</v>
      </c>
      <c r="Q116" t="str">
        <f ca="1">OFFSET($A$1,ROW()-3,3)</f>
        <v>PIPE_114</v>
      </c>
      <c r="R116" s="1" t="s">
        <v>67</v>
      </c>
      <c r="S116" t="str">
        <f ca="1">OFFSET($A$1,ROW()+1,3)</f>
        <v>PIPE_118</v>
      </c>
      <c r="T116" s="1" t="s">
        <v>66</v>
      </c>
    </row>
    <row r="117" spans="1:20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0" x14ac:dyDescent="0.25">
      <c r="A118" t="s">
        <v>7</v>
      </c>
      <c r="B118" t="s">
        <v>7</v>
      </c>
      <c r="C118" s="6" t="s">
        <v>7</v>
      </c>
      <c r="D118" t="str">
        <f>CONCATENATE("PIPE_",ROW())</f>
        <v>PIPE_118</v>
      </c>
      <c r="F118" s="1">
        <v>0.22900000000000001</v>
      </c>
      <c r="G118" s="2">
        <v>-90</v>
      </c>
      <c r="H118" s="2">
        <v>0</v>
      </c>
      <c r="I118" s="2">
        <v>0</v>
      </c>
      <c r="J118" s="4">
        <v>0</v>
      </c>
      <c r="K118" s="4">
        <v>0</v>
      </c>
      <c r="L118" s="4">
        <v>0</v>
      </c>
      <c r="M118" s="3">
        <v>219.8</v>
      </c>
      <c r="N118" s="3">
        <v>3.76</v>
      </c>
      <c r="O118" s="8">
        <v>1.5</v>
      </c>
      <c r="R118" s="1"/>
      <c r="T118" s="1"/>
    </row>
    <row r="119" spans="1:20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0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0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0" x14ac:dyDescent="0.25">
      <c r="A122" t="s">
        <v>28</v>
      </c>
      <c r="B122" t="s">
        <v>68</v>
      </c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0" x14ac:dyDescent="0.25">
      <c r="A123" t="s">
        <v>51</v>
      </c>
      <c r="B123" t="s">
        <v>11</v>
      </c>
      <c r="C123" s="6" t="s">
        <v>22</v>
      </c>
      <c r="D123" t="str">
        <f>CONCATENATE("COMP_",ROW())</f>
        <v>COMP_123</v>
      </c>
      <c r="F123" s="1">
        <v>0</v>
      </c>
      <c r="G123" s="2">
        <v>0</v>
      </c>
      <c r="H123" s="2">
        <v>0</v>
      </c>
      <c r="I123" s="2">
        <v>0</v>
      </c>
      <c r="J123" s="4">
        <v>0</v>
      </c>
      <c r="K123" s="4">
        <v>0</v>
      </c>
      <c r="L123" s="4">
        <v>0</v>
      </c>
      <c r="M123" s="3">
        <v>26.67</v>
      </c>
      <c r="N123" s="3">
        <v>2.87</v>
      </c>
      <c r="Q123" t="str">
        <f>D112</f>
        <v>PIPE_112</v>
      </c>
      <c r="R123" s="1">
        <v>0.5</v>
      </c>
      <c r="S123" t="str">
        <f ca="1">OFFSET($A$1,ROW()+1,3)</f>
        <v>PIPE_125</v>
      </c>
      <c r="T123" s="1" t="s">
        <v>66</v>
      </c>
    </row>
    <row r="124" spans="1:20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0" x14ac:dyDescent="0.25">
      <c r="A125" t="s">
        <v>7</v>
      </c>
      <c r="B125" t="s">
        <v>7</v>
      </c>
      <c r="C125" s="6" t="s">
        <v>7</v>
      </c>
      <c r="D125" t="str">
        <f t="shared" ref="D125:D133" si="5">CONCATENATE("PIPE_",ROW())</f>
        <v>PIPE_125</v>
      </c>
      <c r="F125" s="1">
        <v>0.1</v>
      </c>
      <c r="G125" s="2">
        <v>90</v>
      </c>
      <c r="H125" s="2">
        <v>0</v>
      </c>
      <c r="I125" s="2">
        <v>0</v>
      </c>
      <c r="J125" s="4">
        <v>0</v>
      </c>
      <c r="K125" s="4">
        <v>0</v>
      </c>
      <c r="L125" s="4">
        <v>0</v>
      </c>
      <c r="M125" s="3">
        <v>26.67</v>
      </c>
      <c r="N125" s="3">
        <v>2.87</v>
      </c>
      <c r="O125" s="8">
        <v>1.5</v>
      </c>
      <c r="R125" s="1"/>
      <c r="T125" s="1"/>
    </row>
    <row r="126" spans="1:20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0" x14ac:dyDescent="0.25">
      <c r="A127" t="s">
        <v>51</v>
      </c>
      <c r="B127" t="s">
        <v>9</v>
      </c>
      <c r="C127" s="6" t="s">
        <v>11</v>
      </c>
      <c r="D127" t="str">
        <f>CONCATENATE("COMP_",ROW())</f>
        <v>COMP_127</v>
      </c>
      <c r="F127" s="1">
        <v>0.03</v>
      </c>
      <c r="G127" s="2">
        <v>90</v>
      </c>
      <c r="H127" s="2">
        <v>0</v>
      </c>
      <c r="I127" s="2">
        <v>0</v>
      </c>
      <c r="J127" s="4">
        <v>0</v>
      </c>
      <c r="K127" s="4">
        <v>0</v>
      </c>
      <c r="L127" s="4">
        <v>0</v>
      </c>
      <c r="M127" s="3">
        <v>26.67</v>
      </c>
      <c r="N127" s="3">
        <v>2.87</v>
      </c>
      <c r="O127" s="8">
        <v>2.1299999999999999E-2</v>
      </c>
      <c r="Q127" t="str">
        <f ca="1">OFFSET($A$1,ROW()-3,3)</f>
        <v>PIPE_125</v>
      </c>
      <c r="R127" s="1" t="s">
        <v>67</v>
      </c>
      <c r="S127" t="str">
        <f ca="1">OFFSET($A$1,ROW()+1,3)</f>
        <v>PIPE_129</v>
      </c>
      <c r="T127" s="1" t="s">
        <v>66</v>
      </c>
    </row>
    <row r="128" spans="1:20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1:20" x14ac:dyDescent="0.25">
      <c r="A129" t="s">
        <v>7</v>
      </c>
      <c r="B129" t="s">
        <v>7</v>
      </c>
      <c r="C129" s="6" t="s">
        <v>7</v>
      </c>
      <c r="D129" t="str">
        <f t="shared" si="5"/>
        <v>PIPE_129</v>
      </c>
      <c r="F129" s="1">
        <f>0.29-0.1-0.03</f>
        <v>0.15999999999999998</v>
      </c>
      <c r="G129" s="2">
        <v>90</v>
      </c>
      <c r="H129" s="2">
        <v>0</v>
      </c>
      <c r="I129" s="2">
        <v>0</v>
      </c>
      <c r="J129" s="4">
        <v>0</v>
      </c>
      <c r="K129" s="4">
        <v>0</v>
      </c>
      <c r="L129" s="4">
        <v>0</v>
      </c>
      <c r="M129" s="3">
        <v>21.3</v>
      </c>
      <c r="N129" s="3">
        <v>2.77</v>
      </c>
      <c r="O129" s="8">
        <v>1.5</v>
      </c>
      <c r="R129" s="1"/>
      <c r="T129" s="1"/>
    </row>
    <row r="130" spans="1:20" x14ac:dyDescent="0.25">
      <c r="A130" t="s">
        <v>7</v>
      </c>
      <c r="B130" t="s">
        <v>7</v>
      </c>
      <c r="C130" s="6" t="s">
        <v>7</v>
      </c>
      <c r="D130" t="str">
        <f t="shared" si="5"/>
        <v>PIPE_130</v>
      </c>
      <c r="F130" s="1">
        <v>0.161</v>
      </c>
      <c r="G130" s="2">
        <f>ATAN(60/150)*180/PI()</f>
        <v>21.801409486351812</v>
      </c>
      <c r="H130" s="2">
        <v>90</v>
      </c>
      <c r="I130" s="2">
        <v>0</v>
      </c>
      <c r="J130" s="4">
        <v>0</v>
      </c>
      <c r="K130" s="4">
        <v>0</v>
      </c>
      <c r="L130" s="4">
        <v>0</v>
      </c>
      <c r="M130" s="3">
        <v>21.3</v>
      </c>
      <c r="N130" s="3">
        <v>2.77</v>
      </c>
      <c r="O130" s="8">
        <v>1.5</v>
      </c>
      <c r="R130" s="1"/>
      <c r="T130" s="1"/>
    </row>
    <row r="131" spans="1:20" x14ac:dyDescent="0.25">
      <c r="A131" t="s">
        <v>7</v>
      </c>
      <c r="B131" t="s">
        <v>7</v>
      </c>
      <c r="C131" s="6" t="s">
        <v>7</v>
      </c>
      <c r="D131" t="str">
        <f t="shared" si="5"/>
        <v>PIPE_131</v>
      </c>
      <c r="F131" s="1">
        <v>0.33</v>
      </c>
      <c r="G131" s="2">
        <f>ATAN(140/358)*180/PI()</f>
        <v>21.358552377060573</v>
      </c>
      <c r="H131" s="2">
        <v>180</v>
      </c>
      <c r="I131" s="2">
        <v>0</v>
      </c>
      <c r="J131" s="4">
        <v>0</v>
      </c>
      <c r="K131" s="4">
        <v>0</v>
      </c>
      <c r="L131" s="4">
        <v>0</v>
      </c>
      <c r="M131" s="3">
        <v>21.3</v>
      </c>
      <c r="N131" s="3">
        <v>2.77</v>
      </c>
      <c r="O131" s="8">
        <v>1.5</v>
      </c>
      <c r="R131" s="1"/>
      <c r="T131" s="1"/>
    </row>
    <row r="132" spans="1:20" x14ac:dyDescent="0.25">
      <c r="A132" t="s">
        <v>7</v>
      </c>
      <c r="B132" t="s">
        <v>7</v>
      </c>
      <c r="C132" s="6" t="s">
        <v>7</v>
      </c>
      <c r="D132" t="str">
        <f t="shared" si="5"/>
        <v>PIPE_132</v>
      </c>
      <c r="F132" s="1">
        <v>0.317</v>
      </c>
      <c r="G132" s="2">
        <f>ATAN(120/293)*180/PI()</f>
        <v>22.271862792135984</v>
      </c>
      <c r="H132" s="2">
        <v>270</v>
      </c>
      <c r="I132" s="2">
        <v>0</v>
      </c>
      <c r="J132" s="4">
        <v>0</v>
      </c>
      <c r="K132" s="4">
        <v>0</v>
      </c>
      <c r="L132" s="4">
        <v>0</v>
      </c>
      <c r="M132" s="3">
        <v>21.3</v>
      </c>
      <c r="N132" s="3">
        <v>2.77</v>
      </c>
      <c r="O132" s="8">
        <v>1.5</v>
      </c>
      <c r="R132" s="1"/>
      <c r="T132" s="1"/>
    </row>
    <row r="133" spans="1:20" x14ac:dyDescent="0.25">
      <c r="A133" t="s">
        <v>7</v>
      </c>
      <c r="B133" t="s">
        <v>7</v>
      </c>
      <c r="C133" s="6" t="s">
        <v>7</v>
      </c>
      <c r="D133" t="str">
        <f t="shared" si="5"/>
        <v>PIPE_133</v>
      </c>
      <c r="F133" s="1">
        <v>0.22800000000000001</v>
      </c>
      <c r="G133" s="2">
        <f>ATAN(90/210)*180/PI()</f>
        <v>23.198590513648188</v>
      </c>
      <c r="H133" s="2">
        <v>0</v>
      </c>
      <c r="I133" s="2">
        <v>0</v>
      </c>
      <c r="J133" s="4">
        <v>0</v>
      </c>
      <c r="K133" s="4">
        <v>0</v>
      </c>
      <c r="L133" s="4">
        <v>0</v>
      </c>
      <c r="M133" s="3">
        <v>21.3</v>
      </c>
      <c r="N133" s="3">
        <v>2.77</v>
      </c>
      <c r="O133" s="8">
        <v>1.5</v>
      </c>
      <c r="R133" s="1"/>
      <c r="T133" s="1"/>
    </row>
    <row r="134" spans="1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1:20" x14ac:dyDescent="0.25">
      <c r="A135" t="s">
        <v>51</v>
      </c>
      <c r="B135" t="s">
        <v>11</v>
      </c>
      <c r="C135" s="6" t="s">
        <v>22</v>
      </c>
      <c r="D135" t="str">
        <f>CONCATENATE("COMP_",ROW())</f>
        <v>COMP_135</v>
      </c>
      <c r="F135" s="1">
        <v>0</v>
      </c>
      <c r="G135" s="2">
        <v>0</v>
      </c>
      <c r="H135" s="2">
        <v>0</v>
      </c>
      <c r="I135" s="2">
        <v>0</v>
      </c>
      <c r="J135" s="4">
        <v>-0.05</v>
      </c>
      <c r="K135" s="4">
        <v>0</v>
      </c>
      <c r="L135" s="4">
        <v>7.0000000000000007E-2</v>
      </c>
      <c r="M135" s="3">
        <v>21.3</v>
      </c>
      <c r="N135" s="3">
        <v>2.77</v>
      </c>
      <c r="Q135" t="str">
        <f ca="1">OFFSET($A$1,ROW()-3,3)</f>
        <v>PIPE_133</v>
      </c>
      <c r="R135" s="1" t="s">
        <v>67</v>
      </c>
      <c r="S135" t="str">
        <f ca="1">OFFSET($A$1,ROW()+1,3)</f>
        <v>VOL_137</v>
      </c>
      <c r="T135" s="1" t="s">
        <v>66</v>
      </c>
    </row>
    <row r="136" spans="1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1:20" x14ac:dyDescent="0.25">
      <c r="A137" t="s">
        <v>50</v>
      </c>
      <c r="B137" t="s">
        <v>23</v>
      </c>
      <c r="C137" s="6" t="s">
        <v>77</v>
      </c>
      <c r="D137" t="str">
        <f>CONCATENATE("VOL_",ROW())</f>
        <v>VOL_137</v>
      </c>
      <c r="E137" t="s">
        <v>79</v>
      </c>
      <c r="F137" s="1">
        <f>0.115*2+0.22</f>
        <v>0.45</v>
      </c>
      <c r="G137" s="2">
        <v>0</v>
      </c>
      <c r="H137" s="2">
        <v>0</v>
      </c>
      <c r="I137" s="2">
        <v>0</v>
      </c>
      <c r="J137" s="4">
        <v>0</v>
      </c>
      <c r="K137" s="4">
        <v>0</v>
      </c>
      <c r="L137" s="4">
        <v>0</v>
      </c>
      <c r="M137" s="3">
        <v>273.10000000000002</v>
      </c>
      <c r="N137" s="3">
        <v>4.1900000000000004</v>
      </c>
      <c r="O137" s="8">
        <v>0.27300000000000002</v>
      </c>
      <c r="R137" s="1"/>
      <c r="T137" s="1"/>
    </row>
    <row r="138" spans="1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1:20" x14ac:dyDescent="0.25">
      <c r="A139" t="s">
        <v>51</v>
      </c>
      <c r="B139" t="s">
        <v>11</v>
      </c>
      <c r="C139" s="6" t="s">
        <v>22</v>
      </c>
      <c r="D139" t="str">
        <f>CONCATENATE("COMP_",ROW())</f>
        <v>COMP_139</v>
      </c>
      <c r="F139" s="1">
        <v>0</v>
      </c>
      <c r="G139" s="2">
        <v>0</v>
      </c>
      <c r="H139" s="2">
        <v>0</v>
      </c>
      <c r="I139" s="2">
        <v>0</v>
      </c>
      <c r="J139" s="4">
        <f>-(0.155-0.05)</f>
        <v>-0.105</v>
      </c>
      <c r="K139" s="4">
        <v>0</v>
      </c>
      <c r="L139" s="4">
        <f>0.2731/2</f>
        <v>0.13655</v>
      </c>
      <c r="M139" s="3">
        <v>21.3</v>
      </c>
      <c r="N139" s="3">
        <v>2.77</v>
      </c>
      <c r="Q139" t="str">
        <f ca="1">OFFSET($A$1,ROW()-3,3)</f>
        <v>VOL_137</v>
      </c>
      <c r="R139" s="1" t="s">
        <v>67</v>
      </c>
      <c r="S139" t="str">
        <f ca="1">OFFSET($A$1,ROW()+1,3)</f>
        <v>PIPE_141</v>
      </c>
      <c r="T139" s="1" t="s">
        <v>66</v>
      </c>
    </row>
    <row r="140" spans="1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1:20" x14ac:dyDescent="0.25">
      <c r="A141" t="s">
        <v>7</v>
      </c>
      <c r="B141" t="s">
        <v>7</v>
      </c>
      <c r="C141" s="6" t="s">
        <v>7</v>
      </c>
      <c r="D141" t="str">
        <f t="shared" ref="D141:D145" si="6">CONCATENATE("PIPE_",ROW())</f>
        <v>PIPE_141</v>
      </c>
      <c r="F141" s="1">
        <v>0.1</v>
      </c>
      <c r="G141" s="2">
        <v>85</v>
      </c>
      <c r="H141" s="2">
        <v>180</v>
      </c>
      <c r="I141" s="2">
        <v>0</v>
      </c>
      <c r="J141" s="4">
        <v>0</v>
      </c>
      <c r="K141" s="4">
        <v>0</v>
      </c>
      <c r="L141" s="4">
        <v>0</v>
      </c>
      <c r="M141" s="3">
        <v>21.3</v>
      </c>
      <c r="N141" s="3">
        <v>2.77</v>
      </c>
      <c r="O141" s="8">
        <v>1.5</v>
      </c>
      <c r="R141" s="1"/>
      <c r="T141" s="1"/>
    </row>
    <row r="142" spans="1:20" x14ac:dyDescent="0.25">
      <c r="A142" t="s">
        <v>7</v>
      </c>
      <c r="B142" t="s">
        <v>7</v>
      </c>
      <c r="C142" s="6" t="s">
        <v>7</v>
      </c>
      <c r="D142" t="str">
        <f t="shared" si="6"/>
        <v>PIPE_142</v>
      </c>
      <c r="F142" s="1">
        <v>0.7</v>
      </c>
      <c r="G142" s="2">
        <f>GetAngle_DyDz(1,10)</f>
        <v>5.7105931376628636</v>
      </c>
      <c r="H142" s="2">
        <f>270+45</f>
        <v>315</v>
      </c>
      <c r="I142" s="2">
        <v>0</v>
      </c>
      <c r="J142" s="4">
        <v>0</v>
      </c>
      <c r="K142" s="4">
        <v>0</v>
      </c>
      <c r="L142" s="4">
        <v>0</v>
      </c>
      <c r="M142" s="3">
        <v>21.3</v>
      </c>
      <c r="N142" s="3">
        <v>2.77</v>
      </c>
      <c r="O142" s="8">
        <v>1.5</v>
      </c>
      <c r="R142" s="1"/>
      <c r="T142" s="1"/>
    </row>
    <row r="143" spans="1:20" x14ac:dyDescent="0.25">
      <c r="A143" t="s">
        <v>7</v>
      </c>
      <c r="B143" t="s">
        <v>7</v>
      </c>
      <c r="C143" s="6" t="s">
        <v>7</v>
      </c>
      <c r="D143" t="str">
        <f t="shared" si="6"/>
        <v>PIPE_143</v>
      </c>
      <c r="F143" s="1">
        <v>0.52</v>
      </c>
      <c r="G143" s="2">
        <f>GetAngle_DyDz(1,10)</f>
        <v>5.7105931376628636</v>
      </c>
      <c r="H143" s="2">
        <v>270</v>
      </c>
      <c r="I143" s="2">
        <v>0</v>
      </c>
      <c r="J143" s="4">
        <v>0</v>
      </c>
      <c r="K143" s="4">
        <v>0</v>
      </c>
      <c r="L143" s="4">
        <v>0</v>
      </c>
      <c r="M143" s="3">
        <v>21.3</v>
      </c>
      <c r="N143" s="3">
        <v>2.77</v>
      </c>
      <c r="O143" s="8">
        <v>1.5</v>
      </c>
      <c r="R143" s="1"/>
      <c r="T143" s="1"/>
    </row>
    <row r="144" spans="1:20" x14ac:dyDescent="0.25">
      <c r="A144" t="s">
        <v>7</v>
      </c>
      <c r="B144" t="s">
        <v>7</v>
      </c>
      <c r="C144" s="6" t="s">
        <v>7</v>
      </c>
      <c r="D144" t="str">
        <f t="shared" si="6"/>
        <v>PIPE_144</v>
      </c>
      <c r="F144" s="1">
        <v>1</v>
      </c>
      <c r="G144" s="2">
        <v>90</v>
      </c>
      <c r="H144" s="2">
        <v>0</v>
      </c>
      <c r="I144" s="2">
        <v>0</v>
      </c>
      <c r="J144" s="4">
        <v>0</v>
      </c>
      <c r="K144" s="4">
        <v>0</v>
      </c>
      <c r="L144" s="4">
        <v>0</v>
      </c>
      <c r="M144" s="3">
        <v>21.3</v>
      </c>
      <c r="N144" s="3">
        <v>2.77</v>
      </c>
      <c r="O144" s="8">
        <v>1.5</v>
      </c>
      <c r="R144" s="1"/>
      <c r="T144" s="1"/>
    </row>
    <row r="145" spans="1:20" x14ac:dyDescent="0.25">
      <c r="A145" t="s">
        <v>7</v>
      </c>
      <c r="B145" t="s">
        <v>7</v>
      </c>
      <c r="C145" s="6" t="s">
        <v>7</v>
      </c>
      <c r="D145" t="str">
        <f t="shared" si="6"/>
        <v>PIPE_145</v>
      </c>
      <c r="F145" s="1">
        <v>0.5</v>
      </c>
      <c r="G145" s="2">
        <f>GetAngle_DyDz(1,10)</f>
        <v>5.7105931376628636</v>
      </c>
      <c r="H145" s="2">
        <v>180</v>
      </c>
      <c r="I145" s="2">
        <v>0</v>
      </c>
      <c r="J145" s="4">
        <v>0</v>
      </c>
      <c r="K145" s="4">
        <v>0</v>
      </c>
      <c r="L145" s="4">
        <v>0</v>
      </c>
      <c r="M145" s="3">
        <v>21.3</v>
      </c>
      <c r="N145" s="3">
        <v>2.77</v>
      </c>
      <c r="O145" s="8">
        <v>1.5</v>
      </c>
      <c r="R145" s="1"/>
      <c r="T145" s="1"/>
    </row>
    <row r="146" spans="1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1:20" x14ac:dyDescent="0.25">
      <c r="A147" t="s">
        <v>51</v>
      </c>
      <c r="B147" t="s">
        <v>10</v>
      </c>
      <c r="C147" s="6" t="s">
        <v>11</v>
      </c>
      <c r="D147" t="str">
        <f>CONCATENATE("COMP_",ROW())</f>
        <v>COMP_147</v>
      </c>
      <c r="F147" s="1">
        <v>0.05</v>
      </c>
      <c r="G147" s="2">
        <f>GetAngle_DyDz(1,10)</f>
        <v>5.7105931376628636</v>
      </c>
      <c r="H147" s="2">
        <v>180</v>
      </c>
      <c r="I147" s="2">
        <v>0</v>
      </c>
      <c r="J147" s="4">
        <v>0</v>
      </c>
      <c r="K147" s="4">
        <v>0</v>
      </c>
      <c r="L147" s="4">
        <v>0</v>
      </c>
      <c r="M147" s="3">
        <v>21.3</v>
      </c>
      <c r="N147" s="3">
        <v>2.77</v>
      </c>
      <c r="Q147" t="str">
        <f ca="1">OFFSET($A$1,ROW()-3,3)</f>
        <v>PIPE_145</v>
      </c>
      <c r="R147" s="1" t="s">
        <v>67</v>
      </c>
      <c r="S147" t="str">
        <f ca="1">OFFSET($A$1,ROW()+1,3)</f>
        <v>PIPE_149</v>
      </c>
      <c r="T147" s="1" t="s">
        <v>66</v>
      </c>
    </row>
    <row r="148" spans="1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1:20" x14ac:dyDescent="0.25">
      <c r="A149" t="s">
        <v>7</v>
      </c>
      <c r="B149" t="s">
        <v>7</v>
      </c>
      <c r="C149" s="6" t="s">
        <v>7</v>
      </c>
      <c r="D149" t="str">
        <f t="shared" ref="D149:D158" si="7">CONCATENATE("PIPE_",ROW())</f>
        <v>PIPE_149</v>
      </c>
      <c r="F149" s="1">
        <f>2.475-0.5</f>
        <v>1.9750000000000001</v>
      </c>
      <c r="G149" s="2">
        <f>GetAngle_DyDz(1,10)</f>
        <v>5.7105931376628636</v>
      </c>
      <c r="H149" s="2">
        <v>180</v>
      </c>
      <c r="I149" s="2">
        <v>0</v>
      </c>
      <c r="J149" s="4">
        <v>0</v>
      </c>
      <c r="K149" s="4">
        <v>0</v>
      </c>
      <c r="L149" s="4">
        <v>0</v>
      </c>
      <c r="M149" s="3">
        <v>21.3</v>
      </c>
      <c r="N149" s="3">
        <v>2.77</v>
      </c>
      <c r="O149" s="8">
        <v>1.5</v>
      </c>
      <c r="R149" s="1"/>
      <c r="T149" s="1"/>
    </row>
    <row r="150" spans="1:20" x14ac:dyDescent="0.25">
      <c r="A150" t="s">
        <v>7</v>
      </c>
      <c r="B150" t="s">
        <v>7</v>
      </c>
      <c r="C150" s="6" t="s">
        <v>7</v>
      </c>
      <c r="D150" t="str">
        <f t="shared" si="7"/>
        <v>PIPE_150</v>
      </c>
      <c r="F150" s="1">
        <f>SQRT(0.2^2+0.1^2)</f>
        <v>0.22360679774997899</v>
      </c>
      <c r="G150" s="2">
        <f>GetAngle_DyDz(200,100)</f>
        <v>63.434948824735109</v>
      </c>
      <c r="H150" s="2">
        <v>270</v>
      </c>
      <c r="I150" s="2">
        <v>0</v>
      </c>
      <c r="J150" s="4">
        <v>0</v>
      </c>
      <c r="K150" s="4">
        <v>0</v>
      </c>
      <c r="L150" s="4">
        <v>0</v>
      </c>
      <c r="M150" s="3">
        <v>21.3</v>
      </c>
      <c r="N150" s="3">
        <v>2.77</v>
      </c>
      <c r="O150" s="8">
        <v>1.5</v>
      </c>
      <c r="R150" s="1"/>
      <c r="T150" s="1"/>
    </row>
    <row r="151" spans="1:20" x14ac:dyDescent="0.25">
      <c r="A151" t="s">
        <v>7</v>
      </c>
      <c r="B151" t="s">
        <v>7</v>
      </c>
      <c r="C151" s="6" t="s">
        <v>7</v>
      </c>
      <c r="D151" t="str">
        <f t="shared" si="7"/>
        <v>PIPE_151</v>
      </c>
      <c r="F151" s="1">
        <f>1.42-0.2</f>
        <v>1.22</v>
      </c>
      <c r="G151" s="2">
        <v>90</v>
      </c>
      <c r="H151" s="2">
        <v>0</v>
      </c>
      <c r="I151" s="2">
        <v>0</v>
      </c>
      <c r="J151" s="4">
        <v>0</v>
      </c>
      <c r="K151" s="4">
        <v>0</v>
      </c>
      <c r="L151" s="4">
        <v>0</v>
      </c>
      <c r="M151" s="3">
        <v>21.3</v>
      </c>
      <c r="N151" s="3">
        <v>2.77</v>
      </c>
      <c r="O151" s="8">
        <v>1.5</v>
      </c>
      <c r="R151" s="1"/>
      <c r="T151" s="1"/>
    </row>
    <row r="152" spans="1:20" x14ac:dyDescent="0.25">
      <c r="A152" t="s">
        <v>7</v>
      </c>
      <c r="B152" t="s">
        <v>7</v>
      </c>
      <c r="C152" s="6" t="s">
        <v>7</v>
      </c>
      <c r="D152" t="str">
        <f t="shared" si="7"/>
        <v>PIPE_152</v>
      </c>
      <c r="F152" s="1">
        <v>0.57499999999999996</v>
      </c>
      <c r="G152" s="2">
        <f>GetAngle_DyDz(1,10)</f>
        <v>5.7105931376628636</v>
      </c>
      <c r="H152" s="2">
        <v>90</v>
      </c>
      <c r="I152" s="2">
        <v>0</v>
      </c>
      <c r="J152" s="4">
        <v>0</v>
      </c>
      <c r="K152" s="4">
        <v>0</v>
      </c>
      <c r="L152" s="4">
        <v>0</v>
      </c>
      <c r="M152" s="3">
        <v>21.3</v>
      </c>
      <c r="N152" s="3">
        <v>2.77</v>
      </c>
      <c r="O152" s="8">
        <v>1.5</v>
      </c>
      <c r="R152" s="1"/>
      <c r="T152" s="1"/>
    </row>
    <row r="153" spans="1:20" x14ac:dyDescent="0.25">
      <c r="A153" t="s">
        <v>7</v>
      </c>
      <c r="B153" t="s">
        <v>7</v>
      </c>
      <c r="C153" s="6" t="s">
        <v>7</v>
      </c>
      <c r="D153" t="str">
        <f t="shared" si="7"/>
        <v>PIPE_153</v>
      </c>
      <c r="F153" s="1">
        <f>110.9-109.28</f>
        <v>1.6200000000000045</v>
      </c>
      <c r="G153" s="2">
        <v>90</v>
      </c>
      <c r="H153" s="2">
        <v>0</v>
      </c>
      <c r="I153" s="2">
        <v>0</v>
      </c>
      <c r="J153" s="4">
        <v>0</v>
      </c>
      <c r="K153" s="4">
        <v>0</v>
      </c>
      <c r="L153" s="4">
        <v>0</v>
      </c>
      <c r="M153" s="3">
        <v>21.3</v>
      </c>
      <c r="N153" s="3">
        <v>2.77</v>
      </c>
      <c r="O153" s="8">
        <v>1.5</v>
      </c>
      <c r="R153" s="1"/>
      <c r="T153" s="1"/>
    </row>
    <row r="154" spans="1:20" x14ac:dyDescent="0.25">
      <c r="A154" t="s">
        <v>7</v>
      </c>
      <c r="B154" t="s">
        <v>7</v>
      </c>
      <c r="C154" s="6" t="s">
        <v>7</v>
      </c>
      <c r="D154" t="str">
        <f t="shared" si="7"/>
        <v>PIPE_154</v>
      </c>
      <c r="F154" s="1">
        <v>0.15</v>
      </c>
      <c r="G154" s="2">
        <f>GetAngle_DyDz(1,10)</f>
        <v>5.7105931376628636</v>
      </c>
      <c r="H154" s="2">
        <v>270</v>
      </c>
      <c r="I154" s="2">
        <v>0</v>
      </c>
      <c r="J154" s="4">
        <v>0</v>
      </c>
      <c r="K154" s="4">
        <v>0</v>
      </c>
      <c r="L154" s="4">
        <v>0</v>
      </c>
      <c r="M154" s="3">
        <v>21.3</v>
      </c>
      <c r="N154" s="3">
        <v>2.77</v>
      </c>
      <c r="O154" s="8">
        <v>1.5</v>
      </c>
      <c r="R154" s="1"/>
      <c r="T154" s="1"/>
    </row>
    <row r="155" spans="1:20" x14ac:dyDescent="0.25">
      <c r="A155" t="s">
        <v>7</v>
      </c>
      <c r="B155" t="s">
        <v>7</v>
      </c>
      <c r="C155" s="6" t="s">
        <v>7</v>
      </c>
      <c r="D155" t="str">
        <f t="shared" si="7"/>
        <v>PIPE_155</v>
      </c>
      <c r="F155" s="1">
        <v>3.05</v>
      </c>
      <c r="G155" s="2">
        <f>GetAngle_DyDz(1,10)</f>
        <v>5.7105931376628636</v>
      </c>
      <c r="H155" s="2">
        <v>180</v>
      </c>
      <c r="I155" s="2">
        <v>0</v>
      </c>
      <c r="J155" s="4">
        <v>0</v>
      </c>
      <c r="K155" s="4">
        <v>0</v>
      </c>
      <c r="L155" s="4">
        <v>0</v>
      </c>
      <c r="M155" s="3">
        <v>21.3</v>
      </c>
      <c r="N155" s="3">
        <v>2.77</v>
      </c>
      <c r="O155" s="8">
        <v>1.5</v>
      </c>
      <c r="R155" s="1"/>
      <c r="T155" s="1"/>
    </row>
    <row r="156" spans="1:20" x14ac:dyDescent="0.25">
      <c r="A156" t="s">
        <v>7</v>
      </c>
      <c r="B156" t="s">
        <v>7</v>
      </c>
      <c r="C156" s="6" t="s">
        <v>7</v>
      </c>
      <c r="D156" t="str">
        <f t="shared" si="7"/>
        <v>PIPE_156</v>
      </c>
      <c r="F156" s="1">
        <v>2.1</v>
      </c>
      <c r="G156" s="2">
        <v>90</v>
      </c>
      <c r="H156" s="2">
        <v>0</v>
      </c>
      <c r="I156" s="2">
        <v>0</v>
      </c>
      <c r="J156" s="4">
        <v>0</v>
      </c>
      <c r="K156" s="4">
        <v>0</v>
      </c>
      <c r="L156" s="4">
        <v>0</v>
      </c>
      <c r="M156" s="3">
        <v>21.3</v>
      </c>
      <c r="N156" s="3">
        <v>2.77</v>
      </c>
      <c r="O156" s="8">
        <v>1.5</v>
      </c>
      <c r="R156" s="1"/>
      <c r="T156" s="1"/>
    </row>
    <row r="157" spans="1:20" x14ac:dyDescent="0.25">
      <c r="A157" t="s">
        <v>7</v>
      </c>
      <c r="B157" t="s">
        <v>7</v>
      </c>
      <c r="C157" s="6" t="s">
        <v>7</v>
      </c>
      <c r="D157" t="str">
        <f t="shared" si="7"/>
        <v>PIPE_157</v>
      </c>
      <c r="F157" s="1">
        <v>0.28199999999999997</v>
      </c>
      <c r="G157" s="2">
        <v>45</v>
      </c>
      <c r="H157" s="2">
        <v>90</v>
      </c>
      <c r="I157" s="2">
        <v>0</v>
      </c>
      <c r="J157" s="4">
        <v>0</v>
      </c>
      <c r="K157" s="4">
        <v>0</v>
      </c>
      <c r="L157" s="4">
        <v>0</v>
      </c>
      <c r="M157" s="3">
        <v>21.3</v>
      </c>
      <c r="N157" s="3">
        <v>2.77</v>
      </c>
      <c r="O157" s="8">
        <v>1.5</v>
      </c>
      <c r="R157" s="1"/>
      <c r="T157" s="1"/>
    </row>
    <row r="158" spans="1:20" x14ac:dyDescent="0.25">
      <c r="A158" t="s">
        <v>7</v>
      </c>
      <c r="B158" t="s">
        <v>7</v>
      </c>
      <c r="C158" s="6" t="s">
        <v>7</v>
      </c>
      <c r="D158" t="str">
        <f t="shared" si="7"/>
        <v>PIPE_158</v>
      </c>
      <c r="F158" s="1">
        <f>0.79-0.1</f>
        <v>0.69000000000000006</v>
      </c>
      <c r="G158" s="2">
        <v>90</v>
      </c>
      <c r="H158" s="2">
        <v>0</v>
      </c>
      <c r="I158" s="2">
        <v>0</v>
      </c>
      <c r="J158" s="4">
        <v>0</v>
      </c>
      <c r="K158" s="4">
        <v>0</v>
      </c>
      <c r="L158" s="4">
        <v>0</v>
      </c>
      <c r="M158" s="3">
        <v>21.3</v>
      </c>
      <c r="N158" s="3">
        <v>2.77</v>
      </c>
      <c r="O158" s="8">
        <v>1.5</v>
      </c>
      <c r="R158" s="1"/>
      <c r="T158" s="1"/>
    </row>
    <row r="159" spans="1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1:20" x14ac:dyDescent="0.25">
      <c r="A160" t="s">
        <v>51</v>
      </c>
      <c r="B160" t="s">
        <v>10</v>
      </c>
      <c r="C160" s="6" t="s">
        <v>11</v>
      </c>
      <c r="D160" t="str">
        <f>CONCATENATE("COMP_",ROW())</f>
        <v>COMP_160</v>
      </c>
      <c r="E160" t="s">
        <v>78</v>
      </c>
      <c r="F160" s="1">
        <v>0.1</v>
      </c>
      <c r="G160" s="2">
        <v>90</v>
      </c>
      <c r="H160" s="2">
        <v>0</v>
      </c>
      <c r="I160" s="2">
        <v>0</v>
      </c>
      <c r="J160" s="4">
        <v>0.01</v>
      </c>
      <c r="K160" s="4">
        <v>0</v>
      </c>
      <c r="L160" s="4">
        <v>0</v>
      </c>
      <c r="M160" s="3">
        <v>60</v>
      </c>
      <c r="N160" s="3">
        <v>2.77</v>
      </c>
      <c r="Q160" t="str">
        <f ca="1">OFFSET($A$1,ROW()-3,3)</f>
        <v>PIPE_158</v>
      </c>
      <c r="R160" s="1" t="s">
        <v>67</v>
      </c>
      <c r="S160" t="str">
        <f ca="1">OFFSET($A$1,ROW()+1,3)</f>
        <v>PIPE_162</v>
      </c>
      <c r="T160" s="1" t="s">
        <v>66</v>
      </c>
    </row>
    <row r="161" spans="1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1:20" x14ac:dyDescent="0.25">
      <c r="A162" t="s">
        <v>7</v>
      </c>
      <c r="B162" t="s">
        <v>7</v>
      </c>
      <c r="C162" s="6" t="s">
        <v>7</v>
      </c>
      <c r="D162" t="str">
        <f t="shared" ref="D162" si="8">CONCATENATE("PIPE_",ROW())</f>
        <v>PIPE_162</v>
      </c>
      <c r="F162" s="1">
        <v>0.28199999999999997</v>
      </c>
      <c r="G162" s="2">
        <v>90</v>
      </c>
      <c r="H162" s="2">
        <v>0</v>
      </c>
      <c r="I162" s="2">
        <v>0</v>
      </c>
      <c r="J162" s="4">
        <v>0</v>
      </c>
      <c r="K162" s="4">
        <v>0</v>
      </c>
      <c r="L162" s="4">
        <v>0</v>
      </c>
      <c r="M162" s="3">
        <v>21.3</v>
      </c>
      <c r="N162" s="3">
        <v>2.77</v>
      </c>
      <c r="O162" s="8">
        <v>1.5</v>
      </c>
      <c r="R162" s="1"/>
      <c r="T162" s="1"/>
    </row>
    <row r="163" spans="1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1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1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1:20" x14ac:dyDescent="0.25">
      <c r="A166" t="s">
        <v>28</v>
      </c>
      <c r="B166" t="s">
        <v>80</v>
      </c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1:20" x14ac:dyDescent="0.25">
      <c r="A167" t="s">
        <v>51</v>
      </c>
      <c r="B167" t="s">
        <v>11</v>
      </c>
      <c r="C167" s="6" t="s">
        <v>22</v>
      </c>
      <c r="D167" t="str">
        <f>CONCATENATE("COMP_",ROW())</f>
        <v>COMP_167</v>
      </c>
      <c r="F167" s="1">
        <v>0</v>
      </c>
      <c r="G167" s="2">
        <v>0</v>
      </c>
      <c r="H167" s="2">
        <v>0</v>
      </c>
      <c r="I167" s="2">
        <v>0</v>
      </c>
      <c r="J167" s="4">
        <v>-0.05</v>
      </c>
      <c r="K167" s="4">
        <v>0</v>
      </c>
      <c r="L167" s="4">
        <v>0.1</v>
      </c>
      <c r="M167" s="3">
        <v>21.3</v>
      </c>
      <c r="N167" s="3">
        <v>2.77</v>
      </c>
      <c r="Q167" t="str">
        <f>D137</f>
        <v>VOL_137</v>
      </c>
      <c r="R167" s="1" t="s">
        <v>67</v>
      </c>
      <c r="S167" t="str">
        <f ca="1">OFFSET($A$1,ROW()+1,3)</f>
        <v>PIPE_169</v>
      </c>
      <c r="T167" s="1" t="s">
        <v>66</v>
      </c>
    </row>
    <row r="168" spans="1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1:20" x14ac:dyDescent="0.25">
      <c r="A169" t="s">
        <v>7</v>
      </c>
      <c r="B169" t="s">
        <v>7</v>
      </c>
      <c r="C169" s="6" t="s">
        <v>7</v>
      </c>
      <c r="D169" t="str">
        <f t="shared" ref="D169:D175" si="9">CONCATENATE("PIPE_",ROW())</f>
        <v>PIPE_169</v>
      </c>
      <c r="F169" s="1">
        <v>0.1</v>
      </c>
      <c r="G169" s="2">
        <v>33</v>
      </c>
      <c r="H169" s="2">
        <v>0</v>
      </c>
      <c r="I169" s="2">
        <v>0</v>
      </c>
      <c r="J169" s="4">
        <v>0</v>
      </c>
      <c r="K169" s="4">
        <v>0</v>
      </c>
      <c r="L169" s="4">
        <v>0</v>
      </c>
      <c r="M169" s="3">
        <v>21.3</v>
      </c>
      <c r="N169" s="3">
        <v>2.77</v>
      </c>
      <c r="O169" s="8">
        <v>1.5</v>
      </c>
      <c r="R169" s="1"/>
      <c r="T169" s="1"/>
    </row>
    <row r="170" spans="1:20" x14ac:dyDescent="0.25">
      <c r="A170" t="s">
        <v>7</v>
      </c>
      <c r="B170" t="s">
        <v>7</v>
      </c>
      <c r="C170" s="6" t="s">
        <v>7</v>
      </c>
      <c r="D170" t="str">
        <f t="shared" si="9"/>
        <v>PIPE_170</v>
      </c>
      <c r="F170" s="1">
        <v>0.2</v>
      </c>
      <c r="G170" s="2">
        <v>20</v>
      </c>
      <c r="H170" s="2">
        <v>270</v>
      </c>
      <c r="I170" s="2">
        <v>0</v>
      </c>
      <c r="J170" s="4">
        <v>0</v>
      </c>
      <c r="K170" s="4">
        <v>0</v>
      </c>
      <c r="L170" s="4">
        <v>0</v>
      </c>
      <c r="M170" s="3">
        <v>21.3</v>
      </c>
      <c r="N170" s="3">
        <v>2.77</v>
      </c>
      <c r="O170" s="8">
        <v>1.5</v>
      </c>
      <c r="R170" s="1"/>
      <c r="T170" s="1"/>
    </row>
    <row r="171" spans="1:20" x14ac:dyDescent="0.25">
      <c r="A171" t="s">
        <v>7</v>
      </c>
      <c r="B171" t="s">
        <v>7</v>
      </c>
      <c r="C171" s="6" t="s">
        <v>7</v>
      </c>
      <c r="D171" t="str">
        <f t="shared" si="9"/>
        <v>PIPE_171</v>
      </c>
      <c r="F171" s="1">
        <v>0.43</v>
      </c>
      <c r="G171" s="2">
        <v>0</v>
      </c>
      <c r="H171" s="2">
        <f>270+45</f>
        <v>315</v>
      </c>
      <c r="I171" s="2">
        <v>0</v>
      </c>
      <c r="J171" s="4">
        <v>0</v>
      </c>
      <c r="K171" s="4">
        <v>0</v>
      </c>
      <c r="L171" s="4">
        <v>0</v>
      </c>
      <c r="M171" s="3">
        <v>21.3</v>
      </c>
      <c r="N171" s="3">
        <v>2.77</v>
      </c>
      <c r="O171" s="8">
        <v>1.5</v>
      </c>
      <c r="R171" s="1"/>
      <c r="T171" s="1"/>
    </row>
    <row r="172" spans="1:20" x14ac:dyDescent="0.25">
      <c r="A172" t="s">
        <v>7</v>
      </c>
      <c r="B172" t="s">
        <v>7</v>
      </c>
      <c r="C172" s="6" t="s">
        <v>7</v>
      </c>
      <c r="D172" t="str">
        <f t="shared" si="9"/>
        <v>PIPE_172</v>
      </c>
      <c r="F172" s="1">
        <v>0.56999999999999995</v>
      </c>
      <c r="G172" s="2">
        <f>GetAngle_DyDz(1,10)</f>
        <v>5.7105931376628636</v>
      </c>
      <c r="H172" s="2">
        <v>270</v>
      </c>
      <c r="I172" s="2">
        <v>0</v>
      </c>
      <c r="J172" s="4">
        <v>0</v>
      </c>
      <c r="K172" s="4">
        <v>0</v>
      </c>
      <c r="L172" s="4">
        <v>0</v>
      </c>
      <c r="M172" s="3">
        <v>21.3</v>
      </c>
      <c r="N172" s="3">
        <v>2.77</v>
      </c>
      <c r="O172" s="8">
        <v>1.5</v>
      </c>
      <c r="R172" s="1"/>
      <c r="T172" s="1"/>
    </row>
    <row r="173" spans="1:20" x14ac:dyDescent="0.25">
      <c r="A173" t="s">
        <v>7</v>
      </c>
      <c r="B173" t="s">
        <v>7</v>
      </c>
      <c r="C173" s="6" t="s">
        <v>7</v>
      </c>
      <c r="D173" t="str">
        <f t="shared" si="9"/>
        <v>PIPE_173</v>
      </c>
      <c r="F173" s="1">
        <v>0.85</v>
      </c>
      <c r="G173" s="2">
        <v>90</v>
      </c>
      <c r="H173" s="2">
        <v>0</v>
      </c>
      <c r="I173" s="2">
        <v>0</v>
      </c>
      <c r="J173" s="4">
        <v>0</v>
      </c>
      <c r="K173" s="4">
        <v>0</v>
      </c>
      <c r="L173" s="4">
        <v>0</v>
      </c>
      <c r="M173" s="3">
        <v>21.3</v>
      </c>
      <c r="N173" s="3">
        <v>2.77</v>
      </c>
      <c r="O173" s="8">
        <v>1.5</v>
      </c>
      <c r="R173" s="1"/>
      <c r="T173" s="1"/>
    </row>
    <row r="174" spans="1:20" x14ac:dyDescent="0.25">
      <c r="A174" t="s">
        <v>7</v>
      </c>
      <c r="B174" t="s">
        <v>7</v>
      </c>
      <c r="C174" s="6" t="s">
        <v>7</v>
      </c>
      <c r="D174" t="str">
        <f t="shared" si="9"/>
        <v>PIPE_174</v>
      </c>
      <c r="F174" s="1">
        <v>0.85</v>
      </c>
      <c r="G174" s="2">
        <v>90</v>
      </c>
      <c r="H174" s="2">
        <v>0</v>
      </c>
      <c r="I174" s="2">
        <v>0</v>
      </c>
      <c r="J174" s="4">
        <v>0</v>
      </c>
      <c r="K174" s="4">
        <v>0</v>
      </c>
      <c r="L174" s="4">
        <v>0</v>
      </c>
      <c r="M174" s="3">
        <v>21.3</v>
      </c>
      <c r="N174" s="3">
        <v>2.77</v>
      </c>
      <c r="O174" s="8">
        <v>1.5</v>
      </c>
      <c r="R174" s="1"/>
      <c r="T174" s="1"/>
    </row>
    <row r="175" spans="1:20" x14ac:dyDescent="0.25">
      <c r="A175" t="s">
        <v>7</v>
      </c>
      <c r="B175" t="s">
        <v>7</v>
      </c>
      <c r="C175" s="6" t="s">
        <v>7</v>
      </c>
      <c r="D175" t="str">
        <f t="shared" si="9"/>
        <v>PIPE_175</v>
      </c>
      <c r="F175" s="1">
        <v>0.17</v>
      </c>
      <c r="G175" s="2">
        <f>GetAngle_DyDz(38,170)</f>
        <v>12.600159826440812</v>
      </c>
      <c r="H175" s="2">
        <v>0</v>
      </c>
      <c r="I175" s="2">
        <v>0</v>
      </c>
      <c r="J175" s="4">
        <v>0</v>
      </c>
      <c r="K175" s="4">
        <v>0</v>
      </c>
      <c r="L175" s="4">
        <v>0</v>
      </c>
      <c r="M175" s="3">
        <v>21.3</v>
      </c>
      <c r="N175" s="3">
        <v>2.77</v>
      </c>
      <c r="O175" s="8">
        <v>1.5</v>
      </c>
      <c r="R175" s="1"/>
      <c r="T175" s="1"/>
    </row>
    <row r="176" spans="1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</sheetData>
  <mergeCells count="3">
    <mergeCell ref="A6:C6"/>
    <mergeCell ref="D6:G6"/>
    <mergeCell ref="A8:C8"/>
  </mergeCells>
  <conditionalFormatting sqref="M16">
    <cfRule type="expression" dxfId="2013" priority="777" stopIfTrue="1">
      <formula>$A16="Pipe"</formula>
    </cfRule>
  </conditionalFormatting>
  <conditionalFormatting sqref="J22:J128 U22:U128 A22:A128 O22:O128 S22:S128 Q22:Q128 M134 O133:O138 A133:A138 U133:U138 J133:J138 M22:M128 M136:M138 S133:S138 Q133:Q138 Q146:Q148 S146:S148 M146 J146:J148 U146:U148 A146:A148 O146:O148 M148 M159 O159 A159 U159 J159 S159 Q159 Q161 S161 J161 U161 A161 O161 M161 M163:M166 O163:O166 A163:A166 U163:U166 J163:J166 S163:S166 Q163:Q166 Q140 S140 M140 J140 U140 A140 O140 Q176:Q355 S176:S355 J176:J355 U176:U355 A176:A355 O176:O355 M176:M355">
    <cfRule type="expression" dxfId="2012" priority="774">
      <formula>OR($A22="Pipe",$A22="Component",$A22="Volume")</formula>
    </cfRule>
  </conditionalFormatting>
  <conditionalFormatting sqref="T22:T23 E22:E128 I22:I128 L22:L128 P22:P128 V22:V128 R22:R128 T26:T128 N134 V133:V138 P133:P138 L133:L138 I133:I138 E133:E138 N22:N128 N136:N138 R133:R138 T133:T138 T146:T148 R146:R148 N146 E146:E148 I146 L146:L148 P146:P148 V146:V148 N148 I148 I159 N159 V159 P159 L159 E159 R159 T159 T161 R161 E161 L161 P161 V161 N161 I161 I163:I166 N163:N166 V163:V166 P163:P166 L163:L166 E163:E166 R163:R166 T163:T166 T140 R140 N140 E140 I140 L140 P140 V140 T176:T355 R176:R355 E176:E355 L176:L355 P176:P355 V176:V355 N176:N355 I176:I355">
    <cfRule type="expression" dxfId="2011" priority="775">
      <formula>OR($A22="Pipe",$A22="Component",$A22="Volume")</formula>
    </cfRule>
  </conditionalFormatting>
  <conditionalFormatting sqref="G22:H128 K22:K128 B22:D128 B133:D138 K133:K138 G134:H138 H133 G146:H146 K146:K148 B146:D148 G148:H148 G159:H159 B159:D159 K159 K161 B161:D161 G161:H161 G163:H166 B163:D166 K163:K166 G140:H140 K140 B140:D140 K176:K355 B176:D355 G176:H355">
    <cfRule type="expression" dxfId="2010" priority="773">
      <formula>OR($A22="Pipe",$A22="Component",$A22="Volume")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2009" priority="772">
      <formula>$A22="Pipe"</formula>
    </cfRule>
  </conditionalFormatting>
  <conditionalFormatting sqref="Q22:T23 Q24:S25 Q26:T128 Q133:T138 Q146:T148 Q159:T159 Q161:T161 Q163:T166 Q140:T140 Q176:T355">
    <cfRule type="expression" dxfId="2008" priority="771">
      <formula>OR($A22="Volume",$A22="Pipe")</formula>
    </cfRule>
  </conditionalFormatting>
  <conditionalFormatting sqref="A22:V23 A24:S25 U24:V25 A134:V134 A133:F133 H133:L133 A26:V128 O133:V133 A136:V138 A135:L135 O135:V135 A146:V146 A148:V148 A147:F147 O147:V147 J147:L147 A159:V159 A161:V161 A163:V166 A140:V140 A176:V355">
    <cfRule type="expression" dxfId="2007" priority="770">
      <formula>$A22="Component"</formula>
    </cfRule>
  </conditionalFormatting>
  <conditionalFormatting sqref="U22:V128 A134:P134 U133:V138 A133:F133 H133:L133 A22:P128 O133:P133 A136:P138 A135:L135 O135:P135 A146:P146 U146:V148 A148:P148 A147:F147 O147:P147 J147:L147 A159:P159 U159:V159 U161:V161 A161:P161 A163:P166 U163:V166 A140:P140 U140:V140 U176:V355 A176:P355">
    <cfRule type="expression" dxfId="2006" priority="769">
      <formula>$A22="Volume"</formula>
    </cfRule>
  </conditionalFormatting>
  <conditionalFormatting sqref="J22:L128 J133:L138 J146:L148 J159:L159 J161:L161 J163:L166 J140:L140 J176:L355">
    <cfRule type="cellIs" dxfId="2005" priority="751" operator="notEqual">
      <formula>0</formula>
    </cfRule>
  </conditionalFormatting>
  <conditionalFormatting sqref="B22:C24">
    <cfRule type="expression" dxfId="2004" priority="768">
      <formula>OR($A22="Pipe",$A22="Valve",$A22="Connection",$A22="Tank",$A22="Reducer")</formula>
    </cfRule>
  </conditionalFormatting>
  <conditionalFormatting sqref="F22:F128 F133:F138 F146:F148 F159 F161 F163:F166 F140 F176:F355">
    <cfRule type="expression" dxfId="2003" priority="776">
      <formula>OR($A22="Pipe",$A22="Component",$A22="Volume")</formula>
    </cfRule>
  </conditionalFormatting>
  <conditionalFormatting sqref="T24:T25">
    <cfRule type="expression" dxfId="2002" priority="747">
      <formula>OR($A24="Pipe",$A24="Component",$A24="Volume")</formula>
    </cfRule>
  </conditionalFormatting>
  <conditionalFormatting sqref="T24:T25">
    <cfRule type="expression" dxfId="2001" priority="746">
      <formula>OR($A24="Volume",$A24="Pipe")</formula>
    </cfRule>
  </conditionalFormatting>
  <conditionalFormatting sqref="T24:T25">
    <cfRule type="expression" dxfId="2000" priority="745">
      <formula>$A24="Component"</formula>
    </cfRule>
  </conditionalFormatting>
  <conditionalFormatting sqref="Q130 S130 O130 A130 U130 J130">
    <cfRule type="expression" dxfId="1999" priority="556">
      <formula>OR($A130="Pipe",$A130="Component",$A130="Volume")</formula>
    </cfRule>
  </conditionalFormatting>
  <conditionalFormatting sqref="T130 R130 V130 P130 L130 I130 E130">
    <cfRule type="expression" dxfId="1998" priority="557">
      <formula>OR($A130="Pipe",$A130="Component",$A130="Volume")</formula>
    </cfRule>
  </conditionalFormatting>
  <conditionalFormatting sqref="B130:D130 K130 G130:H130">
    <cfRule type="expression" dxfId="1997" priority="555">
      <formula>OR($A130="Pipe",$A130="Component",$A130="Volume")</formula>
    </cfRule>
  </conditionalFormatting>
  <conditionalFormatting sqref="A130:L130 U130:V130 O130:P130">
    <cfRule type="expression" dxfId="1996" priority="554">
      <formula>$A130="Pipe"</formula>
    </cfRule>
  </conditionalFormatting>
  <conditionalFormatting sqref="Q130:T130">
    <cfRule type="expression" dxfId="1995" priority="553">
      <formula>OR($A130="Volume",$A130="Pipe")</formula>
    </cfRule>
  </conditionalFormatting>
  <conditionalFormatting sqref="A130:L130 O130:V130">
    <cfRule type="expression" dxfId="1994" priority="552">
      <formula>$A130="Component"</formula>
    </cfRule>
  </conditionalFormatting>
  <conditionalFormatting sqref="A130:L130 U130:V130 O130:P130">
    <cfRule type="expression" dxfId="1993" priority="551">
      <formula>$A130="Volume"</formula>
    </cfRule>
  </conditionalFormatting>
  <conditionalFormatting sqref="J130:L130">
    <cfRule type="cellIs" dxfId="1992" priority="550" operator="notEqual">
      <formula>0</formula>
    </cfRule>
  </conditionalFormatting>
  <conditionalFormatting sqref="F130">
    <cfRule type="expression" dxfId="1991" priority="558">
      <formula>OR($A130="Pipe",$A130="Component",$A130="Volume")</formula>
    </cfRule>
  </conditionalFormatting>
  <conditionalFormatting sqref="G133">
    <cfRule type="expression" dxfId="1990" priority="549">
      <formula>OR($A133="Pipe",$A133="Component",$A133="Volume")</formula>
    </cfRule>
  </conditionalFormatting>
  <conditionalFormatting sqref="G133">
    <cfRule type="expression" dxfId="1989" priority="548">
      <formula>$A133="Pipe"</formula>
    </cfRule>
  </conditionalFormatting>
  <conditionalFormatting sqref="G133">
    <cfRule type="expression" dxfId="1988" priority="547">
      <formula>$A133="Component"</formula>
    </cfRule>
  </conditionalFormatting>
  <conditionalFormatting sqref="G133">
    <cfRule type="expression" dxfId="1987" priority="546">
      <formula>$A133="Volume"</formula>
    </cfRule>
  </conditionalFormatting>
  <conditionalFormatting sqref="Q131 S131 O131 A131 U131 J131">
    <cfRule type="expression" dxfId="1986" priority="543">
      <formula>OR($A131="Pipe",$A131="Component",$A131="Volume")</formula>
    </cfRule>
  </conditionalFormatting>
  <conditionalFormatting sqref="T131 R131 V131 P131 L131 I131 E131">
    <cfRule type="expression" dxfId="1985" priority="544">
      <formula>OR($A131="Pipe",$A131="Component",$A131="Volume")</formula>
    </cfRule>
  </conditionalFormatting>
  <conditionalFormatting sqref="B131:D131 K131 H131">
    <cfRule type="expression" dxfId="1984" priority="542">
      <formula>OR($A131="Pipe",$A131="Component",$A131="Volume")</formula>
    </cfRule>
  </conditionalFormatting>
  <conditionalFormatting sqref="U131:V131 A131:F131 H131:L131 O131:P131">
    <cfRule type="expression" dxfId="1983" priority="541">
      <formula>$A131="Pipe"</formula>
    </cfRule>
  </conditionalFormatting>
  <conditionalFormatting sqref="Q131:T131">
    <cfRule type="expression" dxfId="1982" priority="540">
      <formula>OR($A131="Volume",$A131="Pipe")</formula>
    </cfRule>
  </conditionalFormatting>
  <conditionalFormatting sqref="A131:F131 H131:L131 O131:V131">
    <cfRule type="expression" dxfId="1981" priority="539">
      <formula>$A131="Component"</formula>
    </cfRule>
  </conditionalFormatting>
  <conditionalFormatting sqref="U131:V131 A131:F131 H131:L131 O131:P131">
    <cfRule type="expression" dxfId="1980" priority="538">
      <formula>$A131="Volume"</formula>
    </cfRule>
  </conditionalFormatting>
  <conditionalFormatting sqref="J131:L131">
    <cfRule type="cellIs" dxfId="1979" priority="537" operator="notEqual">
      <formula>0</formula>
    </cfRule>
  </conditionalFormatting>
  <conditionalFormatting sqref="F131">
    <cfRule type="expression" dxfId="1978" priority="545">
      <formula>OR($A131="Pipe",$A131="Component",$A131="Volume")</formula>
    </cfRule>
  </conditionalFormatting>
  <conditionalFormatting sqref="G131">
    <cfRule type="expression" dxfId="1977" priority="536">
      <formula>OR($A131="Pipe",$A131="Component",$A131="Volume")</formula>
    </cfRule>
  </conditionalFormatting>
  <conditionalFormatting sqref="G131">
    <cfRule type="expression" dxfId="1976" priority="535">
      <formula>$A131="Pipe"</formula>
    </cfRule>
  </conditionalFormatting>
  <conditionalFormatting sqref="G131">
    <cfRule type="expression" dxfId="1975" priority="534">
      <formula>$A131="Component"</formula>
    </cfRule>
  </conditionalFormatting>
  <conditionalFormatting sqref="G131">
    <cfRule type="expression" dxfId="1974" priority="533">
      <formula>$A131="Volume"</formula>
    </cfRule>
  </conditionalFormatting>
  <conditionalFormatting sqref="Q132 S132 O132 A132 U132 J132">
    <cfRule type="expression" dxfId="1973" priority="530">
      <formula>OR($A132="Pipe",$A132="Component",$A132="Volume")</formula>
    </cfRule>
  </conditionalFormatting>
  <conditionalFormatting sqref="T132 R132 V132 P132 L132 I132 E132">
    <cfRule type="expression" dxfId="1972" priority="531">
      <formula>OR($A132="Pipe",$A132="Component",$A132="Volume")</formula>
    </cfRule>
  </conditionalFormatting>
  <conditionalFormatting sqref="B132:D132 K132 H132">
    <cfRule type="expression" dxfId="1971" priority="529">
      <formula>OR($A132="Pipe",$A132="Component",$A132="Volume")</formula>
    </cfRule>
  </conditionalFormatting>
  <conditionalFormatting sqref="U132:V132 A132:F132 H132:L132 O132:P132">
    <cfRule type="expression" dxfId="1970" priority="528">
      <formula>$A132="Pipe"</formula>
    </cfRule>
  </conditionalFormatting>
  <conditionalFormatting sqref="Q132:T132">
    <cfRule type="expression" dxfId="1969" priority="527">
      <formula>OR($A132="Volume",$A132="Pipe")</formula>
    </cfRule>
  </conditionalFormatting>
  <conditionalFormatting sqref="A132:F132 H132:L132 O132:V132">
    <cfRule type="expression" dxfId="1968" priority="526">
      <formula>$A132="Component"</formula>
    </cfRule>
  </conditionalFormatting>
  <conditionalFormatting sqref="U132:V132 A132:F132 H132:L132 O132:P132">
    <cfRule type="expression" dxfId="1967" priority="525">
      <formula>$A132="Volume"</formula>
    </cfRule>
  </conditionalFormatting>
  <conditionalFormatting sqref="J132:L132">
    <cfRule type="cellIs" dxfId="1966" priority="524" operator="notEqual">
      <formula>0</formula>
    </cfRule>
  </conditionalFormatting>
  <conditionalFormatting sqref="F132">
    <cfRule type="expression" dxfId="1965" priority="532">
      <formula>OR($A132="Pipe",$A132="Component",$A132="Volume")</formula>
    </cfRule>
  </conditionalFormatting>
  <conditionalFormatting sqref="G132">
    <cfRule type="expression" dxfId="1964" priority="523">
      <formula>OR($A132="Pipe",$A132="Component",$A132="Volume")</formula>
    </cfRule>
  </conditionalFormatting>
  <conditionalFormatting sqref="G132">
    <cfRule type="expression" dxfId="1963" priority="522">
      <formula>$A132="Pipe"</formula>
    </cfRule>
  </conditionalFormatting>
  <conditionalFormatting sqref="G132">
    <cfRule type="expression" dxfId="1962" priority="521">
      <formula>$A132="Component"</formula>
    </cfRule>
  </conditionalFormatting>
  <conditionalFormatting sqref="G132">
    <cfRule type="expression" dxfId="1961" priority="520">
      <formula>$A132="Volume"</formula>
    </cfRule>
  </conditionalFormatting>
  <conditionalFormatting sqref="M129 Q129 S129 O129 A129 U129 J129">
    <cfRule type="expression" dxfId="1960" priority="517">
      <formula>OR($A129="Pipe",$A129="Component",$A129="Volume")</formula>
    </cfRule>
  </conditionalFormatting>
  <conditionalFormatting sqref="N129 T129 R129 V129 P129 L129 I129 E129">
    <cfRule type="expression" dxfId="1959" priority="518">
      <formula>OR($A129="Pipe",$A129="Component",$A129="Volume")</formula>
    </cfRule>
  </conditionalFormatting>
  <conditionalFormatting sqref="B129:D129 K129 G129:H129">
    <cfRule type="expression" dxfId="1958" priority="516">
      <formula>OR($A129="Pipe",$A129="Component",$A129="Volume")</formula>
    </cfRule>
  </conditionalFormatting>
  <conditionalFormatting sqref="A129:P129 U129:V129">
    <cfRule type="expression" dxfId="1957" priority="515">
      <formula>$A129="Pipe"</formula>
    </cfRule>
  </conditionalFormatting>
  <conditionalFormatting sqref="Q129:T129">
    <cfRule type="expression" dxfId="1956" priority="514">
      <formula>OR($A129="Volume",$A129="Pipe")</formula>
    </cfRule>
  </conditionalFormatting>
  <conditionalFormatting sqref="A129:V129">
    <cfRule type="expression" dxfId="1955" priority="513">
      <formula>$A129="Component"</formula>
    </cfRule>
  </conditionalFormatting>
  <conditionalFormatting sqref="A129:P129 U129:V129">
    <cfRule type="expression" dxfId="1954" priority="512">
      <formula>$A129="Volume"</formula>
    </cfRule>
  </conditionalFormatting>
  <conditionalFormatting sqref="J129:L129">
    <cfRule type="cellIs" dxfId="1953" priority="511" operator="notEqual">
      <formula>0</formula>
    </cfRule>
  </conditionalFormatting>
  <conditionalFormatting sqref="F129">
    <cfRule type="expression" dxfId="1952" priority="519">
      <formula>OR($A129="Pipe",$A129="Component",$A129="Volume")</formula>
    </cfRule>
  </conditionalFormatting>
  <conditionalFormatting sqref="M130:M133">
    <cfRule type="expression" dxfId="1951" priority="509">
      <formula>OR($A130="Pipe",$A130="Component",$A130="Volume")</formula>
    </cfRule>
  </conditionalFormatting>
  <conditionalFormatting sqref="N130:N133">
    <cfRule type="expression" dxfId="1950" priority="510">
      <formula>OR($A130="Pipe",$A130="Component",$A130="Volume")</formula>
    </cfRule>
  </conditionalFormatting>
  <conditionalFormatting sqref="M130:N133">
    <cfRule type="expression" dxfId="1949" priority="508">
      <formula>$A130="Pipe"</formula>
    </cfRule>
  </conditionalFormatting>
  <conditionalFormatting sqref="M130:N133">
    <cfRule type="expression" dxfId="1948" priority="507">
      <formula>$A130="Component"</formula>
    </cfRule>
  </conditionalFormatting>
  <conditionalFormatting sqref="M130:N133">
    <cfRule type="expression" dxfId="1947" priority="506">
      <formula>$A130="Volume"</formula>
    </cfRule>
  </conditionalFormatting>
  <conditionalFormatting sqref="M135">
    <cfRule type="expression" dxfId="1946" priority="504">
      <formula>OR($A135="Pipe",$A135="Component",$A135="Volume")</formula>
    </cfRule>
  </conditionalFormatting>
  <conditionalFormatting sqref="N135">
    <cfRule type="expression" dxfId="1945" priority="505">
      <formula>OR($A135="Pipe",$A135="Component",$A135="Volume")</formula>
    </cfRule>
  </conditionalFormatting>
  <conditionalFormatting sqref="M135:N135">
    <cfRule type="expression" dxfId="1944" priority="503">
      <formula>$A135="Pipe"</formula>
    </cfRule>
  </conditionalFormatting>
  <conditionalFormatting sqref="M135:N135">
    <cfRule type="expression" dxfId="1943" priority="502">
      <formula>$A135="Component"</formula>
    </cfRule>
  </conditionalFormatting>
  <conditionalFormatting sqref="M135:N135">
    <cfRule type="expression" dxfId="1942" priority="501">
      <formula>$A135="Volume"</formula>
    </cfRule>
  </conditionalFormatting>
  <conditionalFormatting sqref="O141 A141 U141 J141 S141 Q141">
    <cfRule type="expression" dxfId="1941" priority="498">
      <formula>OR($A141="Pipe",$A141="Component",$A141="Volume")</formula>
    </cfRule>
  </conditionalFormatting>
  <conditionalFormatting sqref="V141 P141 L141 I141 E141 R141 T141">
    <cfRule type="expression" dxfId="1940" priority="499">
      <formula>OR($A141="Pipe",$A141="Component",$A141="Volume")</formula>
    </cfRule>
  </conditionalFormatting>
  <conditionalFormatting sqref="B141:D141 K141 H141">
    <cfRule type="expression" dxfId="1939" priority="497">
      <formula>OR($A141="Pipe",$A141="Component",$A141="Volume")</formula>
    </cfRule>
  </conditionalFormatting>
  <conditionalFormatting sqref="U141:V141 A141:F141 H141:L141 O141:P141">
    <cfRule type="expression" dxfId="1938" priority="496">
      <formula>$A141="Pipe"</formula>
    </cfRule>
  </conditionalFormatting>
  <conditionalFormatting sqref="Q141:T141">
    <cfRule type="expression" dxfId="1937" priority="495">
      <formula>OR($A141="Volume",$A141="Pipe")</formula>
    </cfRule>
  </conditionalFormatting>
  <conditionalFormatting sqref="A141:F141 H141:L141 O141:V141">
    <cfRule type="expression" dxfId="1936" priority="494">
      <formula>$A141="Component"</formula>
    </cfRule>
  </conditionalFormatting>
  <conditionalFormatting sqref="U141:V141 A141:F141 H141:L141 O141:P141">
    <cfRule type="expression" dxfId="1935" priority="493">
      <formula>$A141="Volume"</formula>
    </cfRule>
  </conditionalFormatting>
  <conditionalFormatting sqref="J141:L141">
    <cfRule type="cellIs" dxfId="1934" priority="492" operator="notEqual">
      <formula>0</formula>
    </cfRule>
  </conditionalFormatting>
  <conditionalFormatting sqref="F141">
    <cfRule type="expression" dxfId="1933" priority="500">
      <formula>OR($A141="Pipe",$A141="Component",$A141="Volume")</formula>
    </cfRule>
  </conditionalFormatting>
  <conditionalFormatting sqref="G141">
    <cfRule type="expression" dxfId="1932" priority="491">
      <formula>OR($A141="Pipe",$A141="Component",$A141="Volume")</formula>
    </cfRule>
  </conditionalFormatting>
  <conditionalFormatting sqref="G141">
    <cfRule type="expression" dxfId="1931" priority="490">
      <formula>$A141="Pipe"</formula>
    </cfRule>
  </conditionalFormatting>
  <conditionalFormatting sqref="G141">
    <cfRule type="expression" dxfId="1930" priority="489">
      <formula>$A141="Component"</formula>
    </cfRule>
  </conditionalFormatting>
  <conditionalFormatting sqref="G141">
    <cfRule type="expression" dxfId="1929" priority="488">
      <formula>$A141="Volume"</formula>
    </cfRule>
  </conditionalFormatting>
  <conditionalFormatting sqref="M141">
    <cfRule type="expression" dxfId="1928" priority="486">
      <formula>OR($A141="Pipe",$A141="Component",$A141="Volume")</formula>
    </cfRule>
  </conditionalFormatting>
  <conditionalFormatting sqref="N141">
    <cfRule type="expression" dxfId="1927" priority="487">
      <formula>OR($A141="Pipe",$A141="Component",$A141="Volume")</formula>
    </cfRule>
  </conditionalFormatting>
  <conditionalFormatting sqref="M141:N141">
    <cfRule type="expression" dxfId="1926" priority="485">
      <formula>$A141="Pipe"</formula>
    </cfRule>
  </conditionalFormatting>
  <conditionalFormatting sqref="M141:N141">
    <cfRule type="expression" dxfId="1925" priority="484">
      <formula>$A141="Component"</formula>
    </cfRule>
  </conditionalFormatting>
  <conditionalFormatting sqref="M141:N141">
    <cfRule type="expression" dxfId="1924" priority="483">
      <formula>$A141="Volume"</formula>
    </cfRule>
  </conditionalFormatting>
  <conditionalFormatting sqref="O142 A142 U142 J142 S142 Q142">
    <cfRule type="expression" dxfId="1923" priority="480">
      <formula>OR($A142="Pipe",$A142="Component",$A142="Volume")</formula>
    </cfRule>
  </conditionalFormatting>
  <conditionalFormatting sqref="V142 P142 L142 I142 E142 R142 T142">
    <cfRule type="expression" dxfId="1922" priority="481">
      <formula>OR($A142="Pipe",$A142="Component",$A142="Volume")</formula>
    </cfRule>
  </conditionalFormatting>
  <conditionalFormatting sqref="B142:D142 K142 H142">
    <cfRule type="expression" dxfId="1921" priority="479">
      <formula>OR($A142="Pipe",$A142="Component",$A142="Volume")</formula>
    </cfRule>
  </conditionalFormatting>
  <conditionalFormatting sqref="U142:V142 A142:F142 H142:L142 O142:P142">
    <cfRule type="expression" dxfId="1920" priority="478">
      <formula>$A142="Pipe"</formula>
    </cfRule>
  </conditionalFormatting>
  <conditionalFormatting sqref="Q142:T142">
    <cfRule type="expression" dxfId="1919" priority="477">
      <formula>OR($A142="Volume",$A142="Pipe")</formula>
    </cfRule>
  </conditionalFormatting>
  <conditionalFormatting sqref="A142:F142 H142:L142 O142:V142">
    <cfRule type="expression" dxfId="1918" priority="476">
      <formula>$A142="Component"</formula>
    </cfRule>
  </conditionalFormatting>
  <conditionalFormatting sqref="U142:V142 A142:F142 H142:L142 O142:P142">
    <cfRule type="expression" dxfId="1917" priority="475">
      <formula>$A142="Volume"</formula>
    </cfRule>
  </conditionalFormatting>
  <conditionalFormatting sqref="J142:L142">
    <cfRule type="cellIs" dxfId="1916" priority="474" operator="notEqual">
      <formula>0</formula>
    </cfRule>
  </conditionalFormatting>
  <conditionalFormatting sqref="F142">
    <cfRule type="expression" dxfId="1915" priority="482">
      <formula>OR($A142="Pipe",$A142="Component",$A142="Volume")</formula>
    </cfRule>
  </conditionalFormatting>
  <conditionalFormatting sqref="G142">
    <cfRule type="expression" dxfId="1914" priority="473">
      <formula>OR($A142="Pipe",$A142="Component",$A142="Volume")</formula>
    </cfRule>
  </conditionalFormatting>
  <conditionalFormatting sqref="G142">
    <cfRule type="expression" dxfId="1913" priority="472">
      <formula>$A142="Pipe"</formula>
    </cfRule>
  </conditionalFormatting>
  <conditionalFormatting sqref="G142">
    <cfRule type="expression" dxfId="1912" priority="471">
      <formula>$A142="Component"</formula>
    </cfRule>
  </conditionalFormatting>
  <conditionalFormatting sqref="G142">
    <cfRule type="expression" dxfId="1911" priority="470">
      <formula>$A142="Volume"</formula>
    </cfRule>
  </conditionalFormatting>
  <conditionalFormatting sqref="M142">
    <cfRule type="expression" dxfId="1910" priority="468">
      <formula>OR($A142="Pipe",$A142="Component",$A142="Volume")</formula>
    </cfRule>
  </conditionalFormatting>
  <conditionalFormatting sqref="N142">
    <cfRule type="expression" dxfId="1909" priority="469">
      <formula>OR($A142="Pipe",$A142="Component",$A142="Volume")</formula>
    </cfRule>
  </conditionalFormatting>
  <conditionalFormatting sqref="M142:N142">
    <cfRule type="expression" dxfId="1908" priority="467">
      <formula>$A142="Pipe"</formula>
    </cfRule>
  </conditionalFormatting>
  <conditionalFormatting sqref="M142:N142">
    <cfRule type="expression" dxfId="1907" priority="466">
      <formula>$A142="Component"</formula>
    </cfRule>
  </conditionalFormatting>
  <conditionalFormatting sqref="M142:N142">
    <cfRule type="expression" dxfId="1906" priority="465">
      <formula>$A142="Volume"</formula>
    </cfRule>
  </conditionalFormatting>
  <conditionalFormatting sqref="O143 A143 U143 J143 S143 Q143">
    <cfRule type="expression" dxfId="1905" priority="462">
      <formula>OR($A143="Pipe",$A143="Component",$A143="Volume")</formula>
    </cfRule>
  </conditionalFormatting>
  <conditionalFormatting sqref="V143 P143 L143 I143 E143 R143 T143">
    <cfRule type="expression" dxfId="1904" priority="463">
      <formula>OR($A143="Pipe",$A143="Component",$A143="Volume")</formula>
    </cfRule>
  </conditionalFormatting>
  <conditionalFormatting sqref="B143:D143 K143 H143">
    <cfRule type="expression" dxfId="1903" priority="461">
      <formula>OR($A143="Pipe",$A143="Component",$A143="Volume")</formula>
    </cfRule>
  </conditionalFormatting>
  <conditionalFormatting sqref="U143:V143 A143:F143 H143:L143 O143:P143">
    <cfRule type="expression" dxfId="1902" priority="460">
      <formula>$A143="Pipe"</formula>
    </cfRule>
  </conditionalFormatting>
  <conditionalFormatting sqref="Q143:T143">
    <cfRule type="expression" dxfId="1901" priority="459">
      <formula>OR($A143="Volume",$A143="Pipe")</formula>
    </cfRule>
  </conditionalFormatting>
  <conditionalFormatting sqref="A143:F143 H143:L143 O143:V143">
    <cfRule type="expression" dxfId="1900" priority="458">
      <formula>$A143="Component"</formula>
    </cfRule>
  </conditionalFormatting>
  <conditionalFormatting sqref="U143:V143 A143:F143 H143:L143 O143:P143">
    <cfRule type="expression" dxfId="1899" priority="457">
      <formula>$A143="Volume"</formula>
    </cfRule>
  </conditionalFormatting>
  <conditionalFormatting sqref="J143:L143">
    <cfRule type="cellIs" dxfId="1898" priority="456" operator="notEqual">
      <formula>0</formula>
    </cfRule>
  </conditionalFormatting>
  <conditionalFormatting sqref="F143">
    <cfRule type="expression" dxfId="1897" priority="464">
      <formula>OR($A143="Pipe",$A143="Component",$A143="Volume")</formula>
    </cfRule>
  </conditionalFormatting>
  <conditionalFormatting sqref="G143">
    <cfRule type="expression" dxfId="1896" priority="455">
      <formula>OR($A143="Pipe",$A143="Component",$A143="Volume")</formula>
    </cfRule>
  </conditionalFormatting>
  <conditionalFormatting sqref="G143">
    <cfRule type="expression" dxfId="1895" priority="454">
      <formula>$A143="Pipe"</formula>
    </cfRule>
  </conditionalFormatting>
  <conditionalFormatting sqref="G143">
    <cfRule type="expression" dxfId="1894" priority="453">
      <formula>$A143="Component"</formula>
    </cfRule>
  </conditionalFormatting>
  <conditionalFormatting sqref="G143">
    <cfRule type="expression" dxfId="1893" priority="452">
      <formula>$A143="Volume"</formula>
    </cfRule>
  </conditionalFormatting>
  <conditionalFormatting sqref="M143">
    <cfRule type="expression" dxfId="1892" priority="450">
      <formula>OR($A143="Pipe",$A143="Component",$A143="Volume")</formula>
    </cfRule>
  </conditionalFormatting>
  <conditionalFormatting sqref="N143">
    <cfRule type="expression" dxfId="1891" priority="451">
      <formula>OR($A143="Pipe",$A143="Component",$A143="Volume")</formula>
    </cfRule>
  </conditionalFormatting>
  <conditionalFormatting sqref="M143:N143">
    <cfRule type="expression" dxfId="1890" priority="449">
      <formula>$A143="Pipe"</formula>
    </cfRule>
  </conditionalFormatting>
  <conditionalFormatting sqref="M143:N143">
    <cfRule type="expression" dxfId="1889" priority="448">
      <formula>$A143="Component"</formula>
    </cfRule>
  </conditionalFormatting>
  <conditionalFormatting sqref="M143:N143">
    <cfRule type="expression" dxfId="1888" priority="447">
      <formula>$A143="Volume"</formula>
    </cfRule>
  </conditionalFormatting>
  <conditionalFormatting sqref="O144 A144 U144 J144 S144 Q144">
    <cfRule type="expression" dxfId="1887" priority="444">
      <formula>OR($A144="Pipe",$A144="Component",$A144="Volume")</formula>
    </cfRule>
  </conditionalFormatting>
  <conditionalFormatting sqref="V144 P144 L144 I144 E144 R144 T144">
    <cfRule type="expression" dxfId="1886" priority="445">
      <formula>OR($A144="Pipe",$A144="Component",$A144="Volume")</formula>
    </cfRule>
  </conditionalFormatting>
  <conditionalFormatting sqref="B144:D144 K144 H144">
    <cfRule type="expression" dxfId="1885" priority="443">
      <formula>OR($A144="Pipe",$A144="Component",$A144="Volume")</formula>
    </cfRule>
  </conditionalFormatting>
  <conditionalFormatting sqref="U144:V144 A144:F144 H144:L144 O144:P144">
    <cfRule type="expression" dxfId="1884" priority="442">
      <formula>$A144="Pipe"</formula>
    </cfRule>
  </conditionalFormatting>
  <conditionalFormatting sqref="Q144:T144">
    <cfRule type="expression" dxfId="1883" priority="441">
      <formula>OR($A144="Volume",$A144="Pipe")</formula>
    </cfRule>
  </conditionalFormatting>
  <conditionalFormatting sqref="A144:F144 H144:L144 O144:V144">
    <cfRule type="expression" dxfId="1882" priority="440">
      <formula>$A144="Component"</formula>
    </cfRule>
  </conditionalFormatting>
  <conditionalFormatting sqref="U144:V144 A144:F144 H144:L144 O144:P144">
    <cfRule type="expression" dxfId="1881" priority="439">
      <formula>$A144="Volume"</formula>
    </cfRule>
  </conditionalFormatting>
  <conditionalFormatting sqref="J144:L144">
    <cfRule type="cellIs" dxfId="1880" priority="438" operator="notEqual">
      <formula>0</formula>
    </cfRule>
  </conditionalFormatting>
  <conditionalFormatting sqref="F144">
    <cfRule type="expression" dxfId="1879" priority="446">
      <formula>OR($A144="Pipe",$A144="Component",$A144="Volume")</formula>
    </cfRule>
  </conditionalFormatting>
  <conditionalFormatting sqref="G144">
    <cfRule type="expression" dxfId="1878" priority="437">
      <formula>OR($A144="Pipe",$A144="Component",$A144="Volume")</formula>
    </cfRule>
  </conditionalFormatting>
  <conditionalFormatting sqref="G144">
    <cfRule type="expression" dxfId="1877" priority="436">
      <formula>$A144="Pipe"</formula>
    </cfRule>
  </conditionalFormatting>
  <conditionalFormatting sqref="G144">
    <cfRule type="expression" dxfId="1876" priority="435">
      <formula>$A144="Component"</formula>
    </cfRule>
  </conditionalFormatting>
  <conditionalFormatting sqref="G144">
    <cfRule type="expression" dxfId="1875" priority="434">
      <formula>$A144="Volume"</formula>
    </cfRule>
  </conditionalFormatting>
  <conditionalFormatting sqref="M144">
    <cfRule type="expression" dxfId="1874" priority="432">
      <formula>OR($A144="Pipe",$A144="Component",$A144="Volume")</formula>
    </cfRule>
  </conditionalFormatting>
  <conditionalFormatting sqref="N144">
    <cfRule type="expression" dxfId="1873" priority="433">
      <formula>OR($A144="Pipe",$A144="Component",$A144="Volume")</formula>
    </cfRule>
  </conditionalFormatting>
  <conditionalFormatting sqref="M144:N144">
    <cfRule type="expression" dxfId="1872" priority="431">
      <formula>$A144="Pipe"</formula>
    </cfRule>
  </conditionalFormatting>
  <conditionalFormatting sqref="M144:N144">
    <cfRule type="expression" dxfId="1871" priority="430">
      <formula>$A144="Component"</formula>
    </cfRule>
  </conditionalFormatting>
  <conditionalFormatting sqref="M144:N144">
    <cfRule type="expression" dxfId="1870" priority="429">
      <formula>$A144="Volume"</formula>
    </cfRule>
  </conditionalFormatting>
  <conditionalFormatting sqref="O145 A145 U145 J145 S145 Q145">
    <cfRule type="expression" dxfId="1869" priority="426">
      <formula>OR($A145="Pipe",$A145="Component",$A145="Volume")</formula>
    </cfRule>
  </conditionalFormatting>
  <conditionalFormatting sqref="V145 P145 L145 I145 E145 R145 T145">
    <cfRule type="expression" dxfId="1868" priority="427">
      <formula>OR($A145="Pipe",$A145="Component",$A145="Volume")</formula>
    </cfRule>
  </conditionalFormatting>
  <conditionalFormatting sqref="B145:D145 K145 H145">
    <cfRule type="expression" dxfId="1867" priority="425">
      <formula>OR($A145="Pipe",$A145="Component",$A145="Volume")</formula>
    </cfRule>
  </conditionalFormatting>
  <conditionalFormatting sqref="U145:V145 A145:F145 H145:L145 O145:P145">
    <cfRule type="expression" dxfId="1866" priority="424">
      <formula>$A145="Pipe"</formula>
    </cfRule>
  </conditionalFormatting>
  <conditionalFormatting sqref="Q145:T145">
    <cfRule type="expression" dxfId="1865" priority="423">
      <formula>OR($A145="Volume",$A145="Pipe")</formula>
    </cfRule>
  </conditionalFormatting>
  <conditionalFormatting sqref="A145:F145 H145:L145 O145:V145">
    <cfRule type="expression" dxfId="1864" priority="422">
      <formula>$A145="Component"</formula>
    </cfRule>
  </conditionalFormatting>
  <conditionalFormatting sqref="U145:V145 A145:F145 H145:L145 O145:P145">
    <cfRule type="expression" dxfId="1863" priority="421">
      <formula>$A145="Volume"</formula>
    </cfRule>
  </conditionalFormatting>
  <conditionalFormatting sqref="J145:L145">
    <cfRule type="cellIs" dxfId="1862" priority="420" operator="notEqual">
      <formula>0</formula>
    </cfRule>
  </conditionalFormatting>
  <conditionalFormatting sqref="F145">
    <cfRule type="expression" dxfId="1861" priority="428">
      <formula>OR($A145="Pipe",$A145="Component",$A145="Volume")</formula>
    </cfRule>
  </conditionalFormatting>
  <conditionalFormatting sqref="G145">
    <cfRule type="expression" dxfId="1860" priority="419">
      <formula>OR($A145="Pipe",$A145="Component",$A145="Volume")</formula>
    </cfRule>
  </conditionalFormatting>
  <conditionalFormatting sqref="G145">
    <cfRule type="expression" dxfId="1859" priority="418">
      <formula>$A145="Pipe"</formula>
    </cfRule>
  </conditionalFormatting>
  <conditionalFormatting sqref="G145">
    <cfRule type="expression" dxfId="1858" priority="417">
      <formula>$A145="Component"</formula>
    </cfRule>
  </conditionalFormatting>
  <conditionalFormatting sqref="G145">
    <cfRule type="expression" dxfId="1857" priority="416">
      <formula>$A145="Volume"</formula>
    </cfRule>
  </conditionalFormatting>
  <conditionalFormatting sqref="M145">
    <cfRule type="expression" dxfId="1856" priority="414">
      <formula>OR($A145="Pipe",$A145="Component",$A145="Volume")</formula>
    </cfRule>
  </conditionalFormatting>
  <conditionalFormatting sqref="N145">
    <cfRule type="expression" dxfId="1855" priority="415">
      <formula>OR($A145="Pipe",$A145="Component",$A145="Volume")</formula>
    </cfRule>
  </conditionalFormatting>
  <conditionalFormatting sqref="M145:N145">
    <cfRule type="expression" dxfId="1854" priority="413">
      <formula>$A145="Pipe"</formula>
    </cfRule>
  </conditionalFormatting>
  <conditionalFormatting sqref="M145:N145">
    <cfRule type="expression" dxfId="1853" priority="412">
      <formula>$A145="Component"</formula>
    </cfRule>
  </conditionalFormatting>
  <conditionalFormatting sqref="M145:N145">
    <cfRule type="expression" dxfId="1852" priority="411">
      <formula>$A145="Volume"</formula>
    </cfRule>
  </conditionalFormatting>
  <conditionalFormatting sqref="M147">
    <cfRule type="expression" dxfId="1851" priority="409">
      <formula>OR($A147="Pipe",$A147="Component",$A147="Volume")</formula>
    </cfRule>
  </conditionalFormatting>
  <conditionalFormatting sqref="N147">
    <cfRule type="expression" dxfId="1850" priority="410">
      <formula>OR($A147="Pipe",$A147="Component",$A147="Volume")</formula>
    </cfRule>
  </conditionalFormatting>
  <conditionalFormatting sqref="M147:N147">
    <cfRule type="expression" dxfId="1849" priority="408">
      <formula>$A147="Pipe"</formula>
    </cfRule>
  </conditionalFormatting>
  <conditionalFormatting sqref="M147:N147">
    <cfRule type="expression" dxfId="1848" priority="407">
      <formula>$A147="Component"</formula>
    </cfRule>
  </conditionalFormatting>
  <conditionalFormatting sqref="M147:N147">
    <cfRule type="expression" dxfId="1847" priority="406">
      <formula>$A147="Volume"</formula>
    </cfRule>
  </conditionalFormatting>
  <conditionalFormatting sqref="I147">
    <cfRule type="expression" dxfId="1846" priority="405">
      <formula>OR($A147="Pipe",$A147="Component",$A147="Volume")</formula>
    </cfRule>
  </conditionalFormatting>
  <conditionalFormatting sqref="H147">
    <cfRule type="expression" dxfId="1845" priority="404">
      <formula>OR($A147="Pipe",$A147="Component",$A147="Volume")</formula>
    </cfRule>
  </conditionalFormatting>
  <conditionalFormatting sqref="H147:I147">
    <cfRule type="expression" dxfId="1844" priority="403">
      <formula>$A147="Pipe"</formula>
    </cfRule>
  </conditionalFormatting>
  <conditionalFormatting sqref="H147:I147">
    <cfRule type="expression" dxfId="1843" priority="402">
      <formula>$A147="Component"</formula>
    </cfRule>
  </conditionalFormatting>
  <conditionalFormatting sqref="H147:I147">
    <cfRule type="expression" dxfId="1842" priority="401">
      <formula>$A147="Volume"</formula>
    </cfRule>
  </conditionalFormatting>
  <conditionalFormatting sqref="G147">
    <cfRule type="expression" dxfId="1841" priority="400">
      <formula>OR($A147="Pipe",$A147="Component",$A147="Volume")</formula>
    </cfRule>
  </conditionalFormatting>
  <conditionalFormatting sqref="G147">
    <cfRule type="expression" dxfId="1840" priority="399">
      <formula>$A147="Pipe"</formula>
    </cfRule>
  </conditionalFormatting>
  <conditionalFormatting sqref="G147">
    <cfRule type="expression" dxfId="1839" priority="398">
      <formula>$A147="Component"</formula>
    </cfRule>
  </conditionalFormatting>
  <conditionalFormatting sqref="G147">
    <cfRule type="expression" dxfId="1838" priority="397">
      <formula>$A147="Volume"</formula>
    </cfRule>
  </conditionalFormatting>
  <conditionalFormatting sqref="O149 A149 U149 J149 S149 Q149">
    <cfRule type="expression" dxfId="1837" priority="394">
      <formula>OR($A149="Pipe",$A149="Component",$A149="Volume")</formula>
    </cfRule>
  </conditionalFormatting>
  <conditionalFormatting sqref="V149 P149 L149 I149 E149 R149 T149">
    <cfRule type="expression" dxfId="1836" priority="395">
      <formula>OR($A149="Pipe",$A149="Component",$A149="Volume")</formula>
    </cfRule>
  </conditionalFormatting>
  <conditionalFormatting sqref="B149:D149 K149 H149">
    <cfRule type="expression" dxfId="1835" priority="393">
      <formula>OR($A149="Pipe",$A149="Component",$A149="Volume")</formula>
    </cfRule>
  </conditionalFormatting>
  <conditionalFormatting sqref="U149:V149 A149:F149 H149:L149 O149:P149">
    <cfRule type="expression" dxfId="1834" priority="392">
      <formula>$A149="Pipe"</formula>
    </cfRule>
  </conditionalFormatting>
  <conditionalFormatting sqref="Q149:T149">
    <cfRule type="expression" dxfId="1833" priority="391">
      <formula>OR($A149="Volume",$A149="Pipe")</formula>
    </cfRule>
  </conditionalFormatting>
  <conditionalFormatting sqref="A149:F149 H149:L149 O149:V149">
    <cfRule type="expression" dxfId="1832" priority="390">
      <formula>$A149="Component"</formula>
    </cfRule>
  </conditionalFormatting>
  <conditionalFormatting sqref="U149:V149 A149:F149 H149:L149 O149:P149">
    <cfRule type="expression" dxfId="1831" priority="389">
      <formula>$A149="Volume"</formula>
    </cfRule>
  </conditionalFormatting>
  <conditionalFormatting sqref="J149:L149">
    <cfRule type="cellIs" dxfId="1830" priority="388" operator="notEqual">
      <formula>0</formula>
    </cfRule>
  </conditionalFormatting>
  <conditionalFormatting sqref="F149">
    <cfRule type="expression" dxfId="1829" priority="396">
      <formula>OR($A149="Pipe",$A149="Component",$A149="Volume")</formula>
    </cfRule>
  </conditionalFormatting>
  <conditionalFormatting sqref="G149">
    <cfRule type="expression" dxfId="1828" priority="387">
      <formula>OR($A149="Pipe",$A149="Component",$A149="Volume")</formula>
    </cfRule>
  </conditionalFormatting>
  <conditionalFormatting sqref="G149">
    <cfRule type="expression" dxfId="1827" priority="386">
      <formula>$A149="Pipe"</formula>
    </cfRule>
  </conditionalFormatting>
  <conditionalFormatting sqref="G149">
    <cfRule type="expression" dxfId="1826" priority="385">
      <formula>$A149="Component"</formula>
    </cfRule>
  </conditionalFormatting>
  <conditionalFormatting sqref="G149">
    <cfRule type="expression" dxfId="1825" priority="384">
      <formula>$A149="Volume"</formula>
    </cfRule>
  </conditionalFormatting>
  <conditionalFormatting sqref="M149">
    <cfRule type="expression" dxfId="1824" priority="382">
      <formula>OR($A149="Pipe",$A149="Component",$A149="Volume")</formula>
    </cfRule>
  </conditionalFormatting>
  <conditionalFormatting sqref="N149">
    <cfRule type="expression" dxfId="1823" priority="383">
      <formula>OR($A149="Pipe",$A149="Component",$A149="Volume")</formula>
    </cfRule>
  </conditionalFormatting>
  <conditionalFormatting sqref="M149:N149">
    <cfRule type="expression" dxfId="1822" priority="381">
      <formula>$A149="Pipe"</formula>
    </cfRule>
  </conditionalFormatting>
  <conditionalFormatting sqref="M149:N149">
    <cfRule type="expression" dxfId="1821" priority="380">
      <formula>$A149="Component"</formula>
    </cfRule>
  </conditionalFormatting>
  <conditionalFormatting sqref="M149:N149">
    <cfRule type="expression" dxfId="1820" priority="379">
      <formula>$A149="Volume"</formula>
    </cfRule>
  </conditionalFormatting>
  <conditionalFormatting sqref="O151 A151 U151 J151 S151 Q151">
    <cfRule type="expression" dxfId="1819" priority="376">
      <formula>OR($A151="Pipe",$A151="Component",$A151="Volume")</formula>
    </cfRule>
  </conditionalFormatting>
  <conditionalFormatting sqref="V151 P151 L151 I151 E151 R151 T151">
    <cfRule type="expression" dxfId="1818" priority="377">
      <formula>OR($A151="Pipe",$A151="Component",$A151="Volume")</formula>
    </cfRule>
  </conditionalFormatting>
  <conditionalFormatting sqref="B151:D151 K151 H151">
    <cfRule type="expression" dxfId="1817" priority="375">
      <formula>OR($A151="Pipe",$A151="Component",$A151="Volume")</formula>
    </cfRule>
  </conditionalFormatting>
  <conditionalFormatting sqref="U151:V151 A151:F151 H151:L151 O151:P151">
    <cfRule type="expression" dxfId="1816" priority="374">
      <formula>$A151="Pipe"</formula>
    </cfRule>
  </conditionalFormatting>
  <conditionalFormatting sqref="Q151:T151">
    <cfRule type="expression" dxfId="1815" priority="373">
      <formula>OR($A151="Volume",$A151="Pipe")</formula>
    </cfRule>
  </conditionalFormatting>
  <conditionalFormatting sqref="A151:F151 H151:L151 O151:V151">
    <cfRule type="expression" dxfId="1814" priority="372">
      <formula>$A151="Component"</formula>
    </cfRule>
  </conditionalFormatting>
  <conditionalFormatting sqref="U151:V151 A151:F151 H151:L151 O151:P151">
    <cfRule type="expression" dxfId="1813" priority="371">
      <formula>$A151="Volume"</formula>
    </cfRule>
  </conditionalFormatting>
  <conditionalFormatting sqref="J151:L151">
    <cfRule type="cellIs" dxfId="1812" priority="370" operator="notEqual">
      <formula>0</formula>
    </cfRule>
  </conditionalFormatting>
  <conditionalFormatting sqref="F151">
    <cfRule type="expression" dxfId="1811" priority="378">
      <formula>OR($A151="Pipe",$A151="Component",$A151="Volume")</formula>
    </cfRule>
  </conditionalFormatting>
  <conditionalFormatting sqref="G151">
    <cfRule type="expression" dxfId="1810" priority="369">
      <formula>OR($A151="Pipe",$A151="Component",$A151="Volume")</formula>
    </cfRule>
  </conditionalFormatting>
  <conditionalFormatting sqref="G151">
    <cfRule type="expression" dxfId="1809" priority="368">
      <formula>$A151="Pipe"</formula>
    </cfRule>
  </conditionalFormatting>
  <conditionalFormatting sqref="G151">
    <cfRule type="expression" dxfId="1808" priority="367">
      <formula>$A151="Component"</formula>
    </cfRule>
  </conditionalFormatting>
  <conditionalFormatting sqref="G151">
    <cfRule type="expression" dxfId="1807" priority="366">
      <formula>$A151="Volume"</formula>
    </cfRule>
  </conditionalFormatting>
  <conditionalFormatting sqref="M151">
    <cfRule type="expression" dxfId="1806" priority="364">
      <formula>OR($A151="Pipe",$A151="Component",$A151="Volume")</formula>
    </cfRule>
  </conditionalFormatting>
  <conditionalFormatting sqref="N151">
    <cfRule type="expression" dxfId="1805" priority="365">
      <formula>OR($A151="Pipe",$A151="Component",$A151="Volume")</formula>
    </cfRule>
  </conditionalFormatting>
  <conditionalFormatting sqref="M151:N151">
    <cfRule type="expression" dxfId="1804" priority="363">
      <formula>$A151="Pipe"</formula>
    </cfRule>
  </conditionalFormatting>
  <conditionalFormatting sqref="M151:N151">
    <cfRule type="expression" dxfId="1803" priority="362">
      <formula>$A151="Component"</formula>
    </cfRule>
  </conditionalFormatting>
  <conditionalFormatting sqref="M151:N151">
    <cfRule type="expression" dxfId="1802" priority="361">
      <formula>$A151="Volume"</formula>
    </cfRule>
  </conditionalFormatting>
  <conditionalFormatting sqref="O150 A150 U150 J150 S150 Q150">
    <cfRule type="expression" dxfId="1801" priority="358">
      <formula>OR($A150="Pipe",$A150="Component",$A150="Volume")</formula>
    </cfRule>
  </conditionalFormatting>
  <conditionalFormatting sqref="V150 P150 L150 I150 E150 R150 T150">
    <cfRule type="expression" dxfId="1800" priority="359">
      <formula>OR($A150="Pipe",$A150="Component",$A150="Volume")</formula>
    </cfRule>
  </conditionalFormatting>
  <conditionalFormatting sqref="B150:D150 K150 H150">
    <cfRule type="expression" dxfId="1799" priority="357">
      <formula>OR($A150="Pipe",$A150="Component",$A150="Volume")</formula>
    </cfRule>
  </conditionalFormatting>
  <conditionalFormatting sqref="U150:V150 A150:F150 H150:L150 O150:P150">
    <cfRule type="expression" dxfId="1798" priority="356">
      <formula>$A150="Pipe"</formula>
    </cfRule>
  </conditionalFormatting>
  <conditionalFormatting sqref="Q150:T150">
    <cfRule type="expression" dxfId="1797" priority="355">
      <formula>OR($A150="Volume",$A150="Pipe")</formula>
    </cfRule>
  </conditionalFormatting>
  <conditionalFormatting sqref="A150:F150 H150:L150 O150:V150">
    <cfRule type="expression" dxfId="1796" priority="354">
      <formula>$A150="Component"</formula>
    </cfRule>
  </conditionalFormatting>
  <conditionalFormatting sqref="U150:V150 A150:F150 H150:L150 O150:P150">
    <cfRule type="expression" dxfId="1795" priority="353">
      <formula>$A150="Volume"</formula>
    </cfRule>
  </conditionalFormatting>
  <conditionalFormatting sqref="J150:L150">
    <cfRule type="cellIs" dxfId="1794" priority="352" operator="notEqual">
      <formula>0</formula>
    </cfRule>
  </conditionalFormatting>
  <conditionalFormatting sqref="F150">
    <cfRule type="expression" dxfId="1793" priority="360">
      <formula>OR($A150="Pipe",$A150="Component",$A150="Volume")</formula>
    </cfRule>
  </conditionalFormatting>
  <conditionalFormatting sqref="G150">
    <cfRule type="expression" dxfId="1792" priority="351">
      <formula>OR($A150="Pipe",$A150="Component",$A150="Volume")</formula>
    </cfRule>
  </conditionalFormatting>
  <conditionalFormatting sqref="G150">
    <cfRule type="expression" dxfId="1791" priority="350">
      <formula>$A150="Pipe"</formula>
    </cfRule>
  </conditionalFormatting>
  <conditionalFormatting sqref="G150">
    <cfRule type="expression" dxfId="1790" priority="349">
      <formula>$A150="Component"</formula>
    </cfRule>
  </conditionalFormatting>
  <conditionalFormatting sqref="G150">
    <cfRule type="expression" dxfId="1789" priority="348">
      <formula>$A150="Volume"</formula>
    </cfRule>
  </conditionalFormatting>
  <conditionalFormatting sqref="M150">
    <cfRule type="expression" dxfId="1788" priority="346">
      <formula>OR($A150="Pipe",$A150="Component",$A150="Volume")</formula>
    </cfRule>
  </conditionalFormatting>
  <conditionalFormatting sqref="N150">
    <cfRule type="expression" dxfId="1787" priority="347">
      <formula>OR($A150="Pipe",$A150="Component",$A150="Volume")</formula>
    </cfRule>
  </conditionalFormatting>
  <conditionalFormatting sqref="M150:N150">
    <cfRule type="expression" dxfId="1786" priority="345">
      <formula>$A150="Pipe"</formula>
    </cfRule>
  </conditionalFormatting>
  <conditionalFormatting sqref="M150:N150">
    <cfRule type="expression" dxfId="1785" priority="344">
      <formula>$A150="Component"</formula>
    </cfRule>
  </conditionalFormatting>
  <conditionalFormatting sqref="M150:N150">
    <cfRule type="expression" dxfId="1784" priority="343">
      <formula>$A150="Volume"</formula>
    </cfRule>
  </conditionalFormatting>
  <conditionalFormatting sqref="O154 A154 U154 J154 S154 Q154">
    <cfRule type="expression" dxfId="1783" priority="340">
      <formula>OR($A154="Pipe",$A154="Component",$A154="Volume")</formula>
    </cfRule>
  </conditionalFormatting>
  <conditionalFormatting sqref="V154 P154 L154 I154 E154 R154 T154">
    <cfRule type="expression" dxfId="1782" priority="341">
      <formula>OR($A154="Pipe",$A154="Component",$A154="Volume")</formula>
    </cfRule>
  </conditionalFormatting>
  <conditionalFormatting sqref="B154:D154 K154 H154">
    <cfRule type="expression" dxfId="1781" priority="339">
      <formula>OR($A154="Pipe",$A154="Component",$A154="Volume")</formula>
    </cfRule>
  </conditionalFormatting>
  <conditionalFormatting sqref="U154:V154 A154:F154 H154:L154 O154:P154">
    <cfRule type="expression" dxfId="1780" priority="338">
      <formula>$A154="Pipe"</formula>
    </cfRule>
  </conditionalFormatting>
  <conditionalFormatting sqref="Q154:T154">
    <cfRule type="expression" dxfId="1779" priority="337">
      <formula>OR($A154="Volume",$A154="Pipe")</formula>
    </cfRule>
  </conditionalFormatting>
  <conditionalFormatting sqref="A154:F154 H154:L154 O154:V154">
    <cfRule type="expression" dxfId="1778" priority="336">
      <formula>$A154="Component"</formula>
    </cfRule>
  </conditionalFormatting>
  <conditionalFormatting sqref="U154:V154 A154:F154 H154:L154 O154:P154">
    <cfRule type="expression" dxfId="1777" priority="335">
      <formula>$A154="Volume"</formula>
    </cfRule>
  </conditionalFormatting>
  <conditionalFormatting sqref="J154:L154">
    <cfRule type="cellIs" dxfId="1776" priority="334" operator="notEqual">
      <formula>0</formula>
    </cfRule>
  </conditionalFormatting>
  <conditionalFormatting sqref="F154">
    <cfRule type="expression" dxfId="1775" priority="342">
      <formula>OR($A154="Pipe",$A154="Component",$A154="Volume")</formula>
    </cfRule>
  </conditionalFormatting>
  <conditionalFormatting sqref="M154">
    <cfRule type="expression" dxfId="1774" priority="328">
      <formula>OR($A154="Pipe",$A154="Component",$A154="Volume")</formula>
    </cfRule>
  </conditionalFormatting>
  <conditionalFormatting sqref="N154">
    <cfRule type="expression" dxfId="1773" priority="329">
      <formula>OR($A154="Pipe",$A154="Component",$A154="Volume")</formula>
    </cfRule>
  </conditionalFormatting>
  <conditionalFormatting sqref="M154:N154">
    <cfRule type="expression" dxfId="1772" priority="327">
      <formula>$A154="Pipe"</formula>
    </cfRule>
  </conditionalFormatting>
  <conditionalFormatting sqref="M154:N154">
    <cfRule type="expression" dxfId="1771" priority="326">
      <formula>$A154="Component"</formula>
    </cfRule>
  </conditionalFormatting>
  <conditionalFormatting sqref="M154:N154">
    <cfRule type="expression" dxfId="1770" priority="325">
      <formula>$A154="Volume"</formula>
    </cfRule>
  </conditionalFormatting>
  <conditionalFormatting sqref="G154">
    <cfRule type="expression" dxfId="1769" priority="284">
      <formula>OR($A154="Pipe",$A154="Component",$A154="Volume")</formula>
    </cfRule>
  </conditionalFormatting>
  <conditionalFormatting sqref="G154">
    <cfRule type="expression" dxfId="1768" priority="283">
      <formula>$A154="Pipe"</formula>
    </cfRule>
  </conditionalFormatting>
  <conditionalFormatting sqref="G154">
    <cfRule type="expression" dxfId="1767" priority="282">
      <formula>$A154="Component"</formula>
    </cfRule>
  </conditionalFormatting>
  <conditionalFormatting sqref="G154">
    <cfRule type="expression" dxfId="1766" priority="281">
      <formula>$A154="Volume"</formula>
    </cfRule>
  </conditionalFormatting>
  <conditionalFormatting sqref="O152 A152 U152 J152 S152 Q152">
    <cfRule type="expression" dxfId="1765" priority="318">
      <formula>OR($A152="Pipe",$A152="Component",$A152="Volume")</formula>
    </cfRule>
  </conditionalFormatting>
  <conditionalFormatting sqref="V152 P152 L152 I152 E152 R152 T152">
    <cfRule type="expression" dxfId="1764" priority="319">
      <formula>OR($A152="Pipe",$A152="Component",$A152="Volume")</formula>
    </cfRule>
  </conditionalFormatting>
  <conditionalFormatting sqref="B152:D152 K152 H152">
    <cfRule type="expression" dxfId="1763" priority="317">
      <formula>OR($A152="Pipe",$A152="Component",$A152="Volume")</formula>
    </cfRule>
  </conditionalFormatting>
  <conditionalFormatting sqref="U152:V152 A152:F152 H152:L152 O152:P152">
    <cfRule type="expression" dxfId="1762" priority="316">
      <formula>$A152="Pipe"</formula>
    </cfRule>
  </conditionalFormatting>
  <conditionalFormatting sqref="Q152:T152">
    <cfRule type="expression" dxfId="1761" priority="315">
      <formula>OR($A152="Volume",$A152="Pipe")</formula>
    </cfRule>
  </conditionalFormatting>
  <conditionalFormatting sqref="A152:F152 H152:L152 O152:V152">
    <cfRule type="expression" dxfId="1760" priority="314">
      <formula>$A152="Component"</formula>
    </cfRule>
  </conditionalFormatting>
  <conditionalFormatting sqref="U152:V152 A152:F152 H152:L152 O152:P152">
    <cfRule type="expression" dxfId="1759" priority="313">
      <formula>$A152="Volume"</formula>
    </cfRule>
  </conditionalFormatting>
  <conditionalFormatting sqref="J152:L152">
    <cfRule type="cellIs" dxfId="1758" priority="312" operator="notEqual">
      <formula>0</formula>
    </cfRule>
  </conditionalFormatting>
  <conditionalFormatting sqref="F152">
    <cfRule type="expression" dxfId="1757" priority="320">
      <formula>OR($A152="Pipe",$A152="Component",$A152="Volume")</formula>
    </cfRule>
  </conditionalFormatting>
  <conditionalFormatting sqref="M152">
    <cfRule type="expression" dxfId="1756" priority="310">
      <formula>OR($A152="Pipe",$A152="Component",$A152="Volume")</formula>
    </cfRule>
  </conditionalFormatting>
  <conditionalFormatting sqref="N152">
    <cfRule type="expression" dxfId="1755" priority="311">
      <formula>OR($A152="Pipe",$A152="Component",$A152="Volume")</formula>
    </cfRule>
  </conditionalFormatting>
  <conditionalFormatting sqref="M152:N152">
    <cfRule type="expression" dxfId="1754" priority="309">
      <formula>$A152="Pipe"</formula>
    </cfRule>
  </conditionalFormatting>
  <conditionalFormatting sqref="M152:N152">
    <cfRule type="expression" dxfId="1753" priority="308">
      <formula>$A152="Component"</formula>
    </cfRule>
  </conditionalFormatting>
  <conditionalFormatting sqref="M152:N152">
    <cfRule type="expression" dxfId="1752" priority="307">
      <formula>$A152="Volume"</formula>
    </cfRule>
  </conditionalFormatting>
  <conditionalFormatting sqref="G152">
    <cfRule type="expression" dxfId="1751" priority="306">
      <formula>OR($A152="Pipe",$A152="Component",$A152="Volume")</formula>
    </cfRule>
  </conditionalFormatting>
  <conditionalFormatting sqref="G152">
    <cfRule type="expression" dxfId="1750" priority="305">
      <formula>$A152="Pipe"</formula>
    </cfRule>
  </conditionalFormatting>
  <conditionalFormatting sqref="G152">
    <cfRule type="expression" dxfId="1749" priority="304">
      <formula>$A152="Component"</formula>
    </cfRule>
  </conditionalFormatting>
  <conditionalFormatting sqref="G152">
    <cfRule type="expression" dxfId="1748" priority="303">
      <formula>$A152="Volume"</formula>
    </cfRule>
  </conditionalFormatting>
  <conditionalFormatting sqref="O153 A153 U153 J153 S153 Q153">
    <cfRule type="expression" dxfId="1747" priority="300">
      <formula>OR($A153="Pipe",$A153="Component",$A153="Volume")</formula>
    </cfRule>
  </conditionalFormatting>
  <conditionalFormatting sqref="V153 P153 L153 I153 E153 R153 T153">
    <cfRule type="expression" dxfId="1746" priority="301">
      <formula>OR($A153="Pipe",$A153="Component",$A153="Volume")</formula>
    </cfRule>
  </conditionalFormatting>
  <conditionalFormatting sqref="B153:D153 K153 H153">
    <cfRule type="expression" dxfId="1745" priority="299">
      <formula>OR($A153="Pipe",$A153="Component",$A153="Volume")</formula>
    </cfRule>
  </conditionalFormatting>
  <conditionalFormatting sqref="U153:V153 A153:F153 H153:L153 O153:P153">
    <cfRule type="expression" dxfId="1744" priority="298">
      <formula>$A153="Pipe"</formula>
    </cfRule>
  </conditionalFormatting>
  <conditionalFormatting sqref="Q153:T153">
    <cfRule type="expression" dxfId="1743" priority="297">
      <formula>OR($A153="Volume",$A153="Pipe")</formula>
    </cfRule>
  </conditionalFormatting>
  <conditionalFormatting sqref="A153:F153 H153:L153 O153:V153">
    <cfRule type="expression" dxfId="1742" priority="296">
      <formula>$A153="Component"</formula>
    </cfRule>
  </conditionalFormatting>
  <conditionalFormatting sqref="U153:V153 A153:F153 H153:L153 O153:P153">
    <cfRule type="expression" dxfId="1741" priority="295">
      <formula>$A153="Volume"</formula>
    </cfRule>
  </conditionalFormatting>
  <conditionalFormatting sqref="J153:L153">
    <cfRule type="cellIs" dxfId="1740" priority="294" operator="notEqual">
      <formula>0</formula>
    </cfRule>
  </conditionalFormatting>
  <conditionalFormatting sqref="F153">
    <cfRule type="expression" dxfId="1739" priority="302">
      <formula>OR($A153="Pipe",$A153="Component",$A153="Volume")</formula>
    </cfRule>
  </conditionalFormatting>
  <conditionalFormatting sqref="M153">
    <cfRule type="expression" dxfId="1738" priority="292">
      <formula>OR($A153="Pipe",$A153="Component",$A153="Volume")</formula>
    </cfRule>
  </conditionalFormatting>
  <conditionalFormatting sqref="N153">
    <cfRule type="expression" dxfId="1737" priority="293">
      <formula>OR($A153="Pipe",$A153="Component",$A153="Volume")</formula>
    </cfRule>
  </conditionalFormatting>
  <conditionalFormatting sqref="M153:N153">
    <cfRule type="expression" dxfId="1736" priority="291">
      <formula>$A153="Pipe"</formula>
    </cfRule>
  </conditionalFormatting>
  <conditionalFormatting sqref="M153:N153">
    <cfRule type="expression" dxfId="1735" priority="290">
      <formula>$A153="Component"</formula>
    </cfRule>
  </conditionalFormatting>
  <conditionalFormatting sqref="M153:N153">
    <cfRule type="expression" dxfId="1734" priority="289">
      <formula>$A153="Volume"</formula>
    </cfRule>
  </conditionalFormatting>
  <conditionalFormatting sqref="G153">
    <cfRule type="expression" dxfId="1733" priority="288">
      <formula>OR($A153="Pipe",$A153="Component",$A153="Volume")</formula>
    </cfRule>
  </conditionalFormatting>
  <conditionalFormatting sqref="G153">
    <cfRule type="expression" dxfId="1732" priority="287">
      <formula>$A153="Pipe"</formula>
    </cfRule>
  </conditionalFormatting>
  <conditionalFormatting sqref="G153">
    <cfRule type="expression" dxfId="1731" priority="286">
      <formula>$A153="Component"</formula>
    </cfRule>
  </conditionalFormatting>
  <conditionalFormatting sqref="G153">
    <cfRule type="expression" dxfId="1730" priority="285">
      <formula>$A153="Volume"</formula>
    </cfRule>
  </conditionalFormatting>
  <conditionalFormatting sqref="O155 A155 U155 J155 S155 Q155">
    <cfRule type="expression" dxfId="1729" priority="278">
      <formula>OR($A155="Pipe",$A155="Component",$A155="Volume")</formula>
    </cfRule>
  </conditionalFormatting>
  <conditionalFormatting sqref="V155 P155 L155 I155 E155 R155 T155">
    <cfRule type="expression" dxfId="1728" priority="279">
      <formula>OR($A155="Pipe",$A155="Component",$A155="Volume")</formula>
    </cfRule>
  </conditionalFormatting>
  <conditionalFormatting sqref="B155:D155 K155 H155">
    <cfRule type="expression" dxfId="1727" priority="277">
      <formula>OR($A155="Pipe",$A155="Component",$A155="Volume")</formula>
    </cfRule>
  </conditionalFormatting>
  <conditionalFormatting sqref="U155:V155 A155:F155 H155:L155 O155:P155">
    <cfRule type="expression" dxfId="1726" priority="276">
      <formula>$A155="Pipe"</formula>
    </cfRule>
  </conditionalFormatting>
  <conditionalFormatting sqref="Q155:T155">
    <cfRule type="expression" dxfId="1725" priority="275">
      <formula>OR($A155="Volume",$A155="Pipe")</formula>
    </cfRule>
  </conditionalFormatting>
  <conditionalFormatting sqref="A155:F155 H155:L155 O155:V155">
    <cfRule type="expression" dxfId="1724" priority="274">
      <formula>$A155="Component"</formula>
    </cfRule>
  </conditionalFormatting>
  <conditionalFormatting sqref="U155:V155 A155:F155 H155:L155 O155:P155">
    <cfRule type="expression" dxfId="1723" priority="273">
      <formula>$A155="Volume"</formula>
    </cfRule>
  </conditionalFormatting>
  <conditionalFormatting sqref="J155:L155">
    <cfRule type="cellIs" dxfId="1722" priority="272" operator="notEqual">
      <formula>0</formula>
    </cfRule>
  </conditionalFormatting>
  <conditionalFormatting sqref="F155">
    <cfRule type="expression" dxfId="1721" priority="280">
      <formula>OR($A155="Pipe",$A155="Component",$A155="Volume")</formula>
    </cfRule>
  </conditionalFormatting>
  <conditionalFormatting sqref="M155">
    <cfRule type="expression" dxfId="1720" priority="270">
      <formula>OR($A155="Pipe",$A155="Component",$A155="Volume")</formula>
    </cfRule>
  </conditionalFormatting>
  <conditionalFormatting sqref="N155">
    <cfRule type="expression" dxfId="1719" priority="271">
      <formula>OR($A155="Pipe",$A155="Component",$A155="Volume")</formula>
    </cfRule>
  </conditionalFormatting>
  <conditionalFormatting sqref="M155:N155">
    <cfRule type="expression" dxfId="1718" priority="269">
      <formula>$A155="Pipe"</formula>
    </cfRule>
  </conditionalFormatting>
  <conditionalFormatting sqref="M155:N155">
    <cfRule type="expression" dxfId="1717" priority="268">
      <formula>$A155="Component"</formula>
    </cfRule>
  </conditionalFormatting>
  <conditionalFormatting sqref="M155:N155">
    <cfRule type="expression" dxfId="1716" priority="267">
      <formula>$A155="Volume"</formula>
    </cfRule>
  </conditionalFormatting>
  <conditionalFormatting sqref="G155">
    <cfRule type="expression" dxfId="1715" priority="266">
      <formula>OR($A155="Pipe",$A155="Component",$A155="Volume")</formula>
    </cfRule>
  </conditionalFormatting>
  <conditionalFormatting sqref="G155">
    <cfRule type="expression" dxfId="1714" priority="265">
      <formula>$A155="Pipe"</formula>
    </cfRule>
  </conditionalFormatting>
  <conditionalFormatting sqref="G155">
    <cfRule type="expression" dxfId="1713" priority="264">
      <formula>$A155="Component"</formula>
    </cfRule>
  </conditionalFormatting>
  <conditionalFormatting sqref="G155">
    <cfRule type="expression" dxfId="1712" priority="263">
      <formula>$A155="Volume"</formula>
    </cfRule>
  </conditionalFormatting>
  <conditionalFormatting sqref="O157 A157 U157 J157 S157 Q157">
    <cfRule type="expression" dxfId="1711" priority="260">
      <formula>OR($A157="Pipe",$A157="Component",$A157="Volume")</formula>
    </cfRule>
  </conditionalFormatting>
  <conditionalFormatting sqref="V157 P157 L157 I157 E157 R157 T157">
    <cfRule type="expression" dxfId="1710" priority="261">
      <formula>OR($A157="Pipe",$A157="Component",$A157="Volume")</formula>
    </cfRule>
  </conditionalFormatting>
  <conditionalFormatting sqref="B157:D157 K157 H157">
    <cfRule type="expression" dxfId="1709" priority="259">
      <formula>OR($A157="Pipe",$A157="Component",$A157="Volume")</formula>
    </cfRule>
  </conditionalFormatting>
  <conditionalFormatting sqref="U157:V157 A157:F157 H157:L157 O157:P157">
    <cfRule type="expression" dxfId="1708" priority="258">
      <formula>$A157="Pipe"</formula>
    </cfRule>
  </conditionalFormatting>
  <conditionalFormatting sqref="Q157:T157">
    <cfRule type="expression" dxfId="1707" priority="257">
      <formula>OR($A157="Volume",$A157="Pipe")</formula>
    </cfRule>
  </conditionalFormatting>
  <conditionalFormatting sqref="A157:F157 H157:L157 O157:V157">
    <cfRule type="expression" dxfId="1706" priority="256">
      <formula>$A157="Component"</formula>
    </cfRule>
  </conditionalFormatting>
  <conditionalFormatting sqref="U157:V157 A157:F157 H157:L157 O157:P157">
    <cfRule type="expression" dxfId="1705" priority="255">
      <formula>$A157="Volume"</formula>
    </cfRule>
  </conditionalFormatting>
  <conditionalFormatting sqref="J157:L157">
    <cfRule type="cellIs" dxfId="1704" priority="254" operator="notEqual">
      <formula>0</formula>
    </cfRule>
  </conditionalFormatting>
  <conditionalFormatting sqref="F157">
    <cfRule type="expression" dxfId="1703" priority="262">
      <formula>OR($A157="Pipe",$A157="Component",$A157="Volume")</formula>
    </cfRule>
  </conditionalFormatting>
  <conditionalFormatting sqref="M157">
    <cfRule type="expression" dxfId="1702" priority="252">
      <formula>OR($A157="Pipe",$A157="Component",$A157="Volume")</formula>
    </cfRule>
  </conditionalFormatting>
  <conditionalFormatting sqref="N157">
    <cfRule type="expression" dxfId="1701" priority="253">
      <formula>OR($A157="Pipe",$A157="Component",$A157="Volume")</formula>
    </cfRule>
  </conditionalFormatting>
  <conditionalFormatting sqref="M157:N157">
    <cfRule type="expression" dxfId="1700" priority="251">
      <formula>$A157="Pipe"</formula>
    </cfRule>
  </conditionalFormatting>
  <conditionalFormatting sqref="M157:N157">
    <cfRule type="expression" dxfId="1699" priority="250">
      <formula>$A157="Component"</formula>
    </cfRule>
  </conditionalFormatting>
  <conditionalFormatting sqref="M157:N157">
    <cfRule type="expression" dxfId="1698" priority="249">
      <formula>$A157="Volume"</formula>
    </cfRule>
  </conditionalFormatting>
  <conditionalFormatting sqref="G157">
    <cfRule type="expression" dxfId="1697" priority="248">
      <formula>OR($A157="Pipe",$A157="Component",$A157="Volume")</formula>
    </cfRule>
  </conditionalFormatting>
  <conditionalFormatting sqref="G157">
    <cfRule type="expression" dxfId="1696" priority="247">
      <formula>$A157="Pipe"</formula>
    </cfRule>
  </conditionalFormatting>
  <conditionalFormatting sqref="G157">
    <cfRule type="expression" dxfId="1695" priority="246">
      <formula>$A157="Component"</formula>
    </cfRule>
  </conditionalFormatting>
  <conditionalFormatting sqref="G157">
    <cfRule type="expression" dxfId="1694" priority="245">
      <formula>$A157="Volume"</formula>
    </cfRule>
  </conditionalFormatting>
  <conditionalFormatting sqref="O156 A156 U156 J156 S156 Q156">
    <cfRule type="expression" dxfId="1693" priority="242">
      <formula>OR($A156="Pipe",$A156="Component",$A156="Volume")</formula>
    </cfRule>
  </conditionalFormatting>
  <conditionalFormatting sqref="V156 P156 L156 I156 E156 R156 T156">
    <cfRule type="expression" dxfId="1692" priority="243">
      <formula>OR($A156="Pipe",$A156="Component",$A156="Volume")</formula>
    </cfRule>
  </conditionalFormatting>
  <conditionalFormatting sqref="B156:D156 K156 H156">
    <cfRule type="expression" dxfId="1691" priority="241">
      <formula>OR($A156="Pipe",$A156="Component",$A156="Volume")</formula>
    </cfRule>
  </conditionalFormatting>
  <conditionalFormatting sqref="U156:V156 A156:F156 H156:L156 O156:P156">
    <cfRule type="expression" dxfId="1690" priority="240">
      <formula>$A156="Pipe"</formula>
    </cfRule>
  </conditionalFormatting>
  <conditionalFormatting sqref="Q156:T156">
    <cfRule type="expression" dxfId="1689" priority="239">
      <formula>OR($A156="Volume",$A156="Pipe")</formula>
    </cfRule>
  </conditionalFormatting>
  <conditionalFormatting sqref="A156:F156 H156:L156 O156:V156">
    <cfRule type="expression" dxfId="1688" priority="238">
      <formula>$A156="Component"</formula>
    </cfRule>
  </conditionalFormatting>
  <conditionalFormatting sqref="U156:V156 A156:F156 H156:L156 O156:P156">
    <cfRule type="expression" dxfId="1687" priority="237">
      <formula>$A156="Volume"</formula>
    </cfRule>
  </conditionalFormatting>
  <conditionalFormatting sqref="J156:L156">
    <cfRule type="cellIs" dxfId="1686" priority="236" operator="notEqual">
      <formula>0</formula>
    </cfRule>
  </conditionalFormatting>
  <conditionalFormatting sqref="F156">
    <cfRule type="expression" dxfId="1685" priority="244">
      <formula>OR($A156="Pipe",$A156="Component",$A156="Volume")</formula>
    </cfRule>
  </conditionalFormatting>
  <conditionalFormatting sqref="M156">
    <cfRule type="expression" dxfId="1684" priority="234">
      <formula>OR($A156="Pipe",$A156="Component",$A156="Volume")</formula>
    </cfRule>
  </conditionalFormatting>
  <conditionalFormatting sqref="N156">
    <cfRule type="expression" dxfId="1683" priority="235">
      <formula>OR($A156="Pipe",$A156="Component",$A156="Volume")</formula>
    </cfRule>
  </conditionalFormatting>
  <conditionalFormatting sqref="M156:N156">
    <cfRule type="expression" dxfId="1682" priority="233">
      <formula>$A156="Pipe"</formula>
    </cfRule>
  </conditionalFormatting>
  <conditionalFormatting sqref="M156:N156">
    <cfRule type="expression" dxfId="1681" priority="232">
      <formula>$A156="Component"</formula>
    </cfRule>
  </conditionalFormatting>
  <conditionalFormatting sqref="M156:N156">
    <cfRule type="expression" dxfId="1680" priority="231">
      <formula>$A156="Volume"</formula>
    </cfRule>
  </conditionalFormatting>
  <conditionalFormatting sqref="G156">
    <cfRule type="expression" dxfId="1679" priority="230">
      <formula>OR($A156="Pipe",$A156="Component",$A156="Volume")</formula>
    </cfRule>
  </conditionalFormatting>
  <conditionalFormatting sqref="G156">
    <cfRule type="expression" dxfId="1678" priority="229">
      <formula>$A156="Pipe"</formula>
    </cfRule>
  </conditionalFormatting>
  <conditionalFormatting sqref="G156">
    <cfRule type="expression" dxfId="1677" priority="228">
      <formula>$A156="Component"</formula>
    </cfRule>
  </conditionalFormatting>
  <conditionalFormatting sqref="G156">
    <cfRule type="expression" dxfId="1676" priority="227">
      <formula>$A156="Volume"</formula>
    </cfRule>
  </conditionalFormatting>
  <conditionalFormatting sqref="O158 A158 U158 J158 S158 Q158">
    <cfRule type="expression" dxfId="1675" priority="224">
      <formula>OR($A158="Pipe",$A158="Component",$A158="Volume")</formula>
    </cfRule>
  </conditionalFormatting>
  <conditionalFormatting sqref="V158 P158 L158 I158 E158 R158 T158">
    <cfRule type="expression" dxfId="1674" priority="225">
      <formula>OR($A158="Pipe",$A158="Component",$A158="Volume")</formula>
    </cfRule>
  </conditionalFormatting>
  <conditionalFormatting sqref="B158:D158 K158 H158">
    <cfRule type="expression" dxfId="1673" priority="223">
      <formula>OR($A158="Pipe",$A158="Component",$A158="Volume")</formula>
    </cfRule>
  </conditionalFormatting>
  <conditionalFormatting sqref="U158:V158 A158:F158 H158:L158 O158:P158">
    <cfRule type="expression" dxfId="1672" priority="222">
      <formula>$A158="Pipe"</formula>
    </cfRule>
  </conditionalFormatting>
  <conditionalFormatting sqref="Q158:T158">
    <cfRule type="expression" dxfId="1671" priority="221">
      <formula>OR($A158="Volume",$A158="Pipe")</formula>
    </cfRule>
  </conditionalFormatting>
  <conditionalFormatting sqref="A158:F158 H158:L158 O158:V158">
    <cfRule type="expression" dxfId="1670" priority="220">
      <formula>$A158="Component"</formula>
    </cfRule>
  </conditionalFormatting>
  <conditionalFormatting sqref="U158:V158 A158:F158 H158:L158 O158:P158">
    <cfRule type="expression" dxfId="1669" priority="219">
      <formula>$A158="Volume"</formula>
    </cfRule>
  </conditionalFormatting>
  <conditionalFormatting sqref="J158:L158">
    <cfRule type="cellIs" dxfId="1668" priority="218" operator="notEqual">
      <formula>0</formula>
    </cfRule>
  </conditionalFormatting>
  <conditionalFormatting sqref="F158">
    <cfRule type="expression" dxfId="1667" priority="226">
      <formula>OR($A158="Pipe",$A158="Component",$A158="Volume")</formula>
    </cfRule>
  </conditionalFormatting>
  <conditionalFormatting sqref="M158">
    <cfRule type="expression" dxfId="1666" priority="216">
      <formula>OR($A158="Pipe",$A158="Component",$A158="Volume")</formula>
    </cfRule>
  </conditionalFormatting>
  <conditionalFormatting sqref="N158">
    <cfRule type="expression" dxfId="1665" priority="217">
      <formula>OR($A158="Pipe",$A158="Component",$A158="Volume")</formula>
    </cfRule>
  </conditionalFormatting>
  <conditionalFormatting sqref="M158:N158">
    <cfRule type="expression" dxfId="1664" priority="215">
      <formula>$A158="Pipe"</formula>
    </cfRule>
  </conditionalFormatting>
  <conditionalFormatting sqref="M158:N158">
    <cfRule type="expression" dxfId="1663" priority="214">
      <formula>$A158="Component"</formula>
    </cfRule>
  </conditionalFormatting>
  <conditionalFormatting sqref="M158:N158">
    <cfRule type="expression" dxfId="1662" priority="213">
      <formula>$A158="Volume"</formula>
    </cfRule>
  </conditionalFormatting>
  <conditionalFormatting sqref="G158">
    <cfRule type="expression" dxfId="1661" priority="212">
      <formula>OR($A158="Pipe",$A158="Component",$A158="Volume")</formula>
    </cfRule>
  </conditionalFormatting>
  <conditionalFormatting sqref="G158">
    <cfRule type="expression" dxfId="1660" priority="211">
      <formula>$A158="Pipe"</formula>
    </cfRule>
  </conditionalFormatting>
  <conditionalFormatting sqref="G158">
    <cfRule type="expression" dxfId="1659" priority="210">
      <formula>$A158="Component"</formula>
    </cfRule>
  </conditionalFormatting>
  <conditionalFormatting sqref="G158">
    <cfRule type="expression" dxfId="1658" priority="209">
      <formula>$A158="Volume"</formula>
    </cfRule>
  </conditionalFormatting>
  <conditionalFormatting sqref="Q160 S160 J160 U160 A160 O160">
    <cfRule type="expression" dxfId="1657" priority="206">
      <formula>OR($A160="Pipe",$A160="Component",$A160="Volume")</formula>
    </cfRule>
  </conditionalFormatting>
  <conditionalFormatting sqref="T160 R160 E160 L160 P160 V160">
    <cfRule type="expression" dxfId="1656" priority="207">
      <formula>OR($A160="Pipe",$A160="Component",$A160="Volume")</formula>
    </cfRule>
  </conditionalFormatting>
  <conditionalFormatting sqref="K160 B160:D160">
    <cfRule type="expression" dxfId="1655" priority="205">
      <formula>OR($A160="Pipe",$A160="Component",$A160="Volume")</formula>
    </cfRule>
  </conditionalFormatting>
  <conditionalFormatting sqref="U160:V160 A160:F160 O160:P160 J160:L160">
    <cfRule type="expression" dxfId="1654" priority="204">
      <formula>$A160="Pipe"</formula>
    </cfRule>
  </conditionalFormatting>
  <conditionalFormatting sqref="Q160:T160">
    <cfRule type="expression" dxfId="1653" priority="203">
      <formula>OR($A160="Volume",$A160="Pipe")</formula>
    </cfRule>
  </conditionalFormatting>
  <conditionalFormatting sqref="A160:F160 O160:V160 J160:L160">
    <cfRule type="expression" dxfId="1652" priority="202">
      <formula>$A160="Component"</formula>
    </cfRule>
  </conditionalFormatting>
  <conditionalFormatting sqref="U160:V160 A160:F160 O160:P160 J160:L160">
    <cfRule type="expression" dxfId="1651" priority="201">
      <formula>$A160="Volume"</formula>
    </cfRule>
  </conditionalFormatting>
  <conditionalFormatting sqref="J160:L160">
    <cfRule type="cellIs" dxfId="1650" priority="200" operator="notEqual">
      <formula>0</formula>
    </cfRule>
  </conditionalFormatting>
  <conditionalFormatting sqref="F160">
    <cfRule type="expression" dxfId="1649" priority="208">
      <formula>OR($A160="Pipe",$A160="Component",$A160="Volume")</formula>
    </cfRule>
  </conditionalFormatting>
  <conditionalFormatting sqref="M160">
    <cfRule type="expression" dxfId="1648" priority="198">
      <formula>OR($A160="Pipe",$A160="Component",$A160="Volume")</formula>
    </cfRule>
  </conditionalFormatting>
  <conditionalFormatting sqref="N160">
    <cfRule type="expression" dxfId="1647" priority="199">
      <formula>OR($A160="Pipe",$A160="Component",$A160="Volume")</formula>
    </cfRule>
  </conditionalFormatting>
  <conditionalFormatting sqref="M160:N160">
    <cfRule type="expression" dxfId="1646" priority="197">
      <formula>$A160="Pipe"</formula>
    </cfRule>
  </conditionalFormatting>
  <conditionalFormatting sqref="M160:N160">
    <cfRule type="expression" dxfId="1645" priority="196">
      <formula>$A160="Component"</formula>
    </cfRule>
  </conditionalFormatting>
  <conditionalFormatting sqref="M160:N160">
    <cfRule type="expression" dxfId="1644" priority="195">
      <formula>$A160="Volume"</formula>
    </cfRule>
  </conditionalFormatting>
  <conditionalFormatting sqref="I160">
    <cfRule type="expression" dxfId="1643" priority="194">
      <formula>OR($A160="Pipe",$A160="Component",$A160="Volume")</formula>
    </cfRule>
  </conditionalFormatting>
  <conditionalFormatting sqref="H160">
    <cfRule type="expression" dxfId="1642" priority="193">
      <formula>OR($A160="Pipe",$A160="Component",$A160="Volume")</formula>
    </cfRule>
  </conditionalFormatting>
  <conditionalFormatting sqref="H160:I160">
    <cfRule type="expression" dxfId="1641" priority="192">
      <formula>$A160="Pipe"</formula>
    </cfRule>
  </conditionalFormatting>
  <conditionalFormatting sqref="H160:I160">
    <cfRule type="expression" dxfId="1640" priority="191">
      <formula>$A160="Component"</formula>
    </cfRule>
  </conditionalFormatting>
  <conditionalFormatting sqref="H160:I160">
    <cfRule type="expression" dxfId="1639" priority="190">
      <formula>$A160="Volume"</formula>
    </cfRule>
  </conditionalFormatting>
  <conditionalFormatting sqref="G160">
    <cfRule type="expression" dxfId="1638" priority="189">
      <formula>OR($A160="Pipe",$A160="Component",$A160="Volume")</formula>
    </cfRule>
  </conditionalFormatting>
  <conditionalFormatting sqref="G160">
    <cfRule type="expression" dxfId="1637" priority="188">
      <formula>$A160="Pipe"</formula>
    </cfRule>
  </conditionalFormatting>
  <conditionalFormatting sqref="G160">
    <cfRule type="expression" dxfId="1636" priority="187">
      <formula>$A160="Component"</formula>
    </cfRule>
  </conditionalFormatting>
  <conditionalFormatting sqref="G160">
    <cfRule type="expression" dxfId="1635" priority="186">
      <formula>$A160="Volume"</formula>
    </cfRule>
  </conditionalFormatting>
  <conditionalFormatting sqref="O162 A162 U162 J162 S162 Q162">
    <cfRule type="expression" dxfId="1634" priority="183">
      <formula>OR($A162="Pipe",$A162="Component",$A162="Volume")</formula>
    </cfRule>
  </conditionalFormatting>
  <conditionalFormatting sqref="V162 P162 L162 I162 E162 R162 T162">
    <cfRule type="expression" dxfId="1633" priority="184">
      <formula>OR($A162="Pipe",$A162="Component",$A162="Volume")</formula>
    </cfRule>
  </conditionalFormatting>
  <conditionalFormatting sqref="B162:D162 K162 H162">
    <cfRule type="expression" dxfId="1632" priority="182">
      <formula>OR($A162="Pipe",$A162="Component",$A162="Volume")</formula>
    </cfRule>
  </conditionalFormatting>
  <conditionalFormatting sqref="U162:V162 A162:F162 H162:L162 O162:P162">
    <cfRule type="expression" dxfId="1631" priority="181">
      <formula>$A162="Pipe"</formula>
    </cfRule>
  </conditionalFormatting>
  <conditionalFormatting sqref="Q162:T162">
    <cfRule type="expression" dxfId="1630" priority="180">
      <formula>OR($A162="Volume",$A162="Pipe")</formula>
    </cfRule>
  </conditionalFormatting>
  <conditionalFormatting sqref="A162:F162 H162:L162 O162:V162">
    <cfRule type="expression" dxfId="1629" priority="179">
      <formula>$A162="Component"</formula>
    </cfRule>
  </conditionalFormatting>
  <conditionalFormatting sqref="U162:V162 A162:F162 H162:L162 O162:P162">
    <cfRule type="expression" dxfId="1628" priority="178">
      <formula>$A162="Volume"</formula>
    </cfRule>
  </conditionalFormatting>
  <conditionalFormatting sqref="J162:L162">
    <cfRule type="cellIs" dxfId="1627" priority="177" operator="notEqual">
      <formula>0</formula>
    </cfRule>
  </conditionalFormatting>
  <conditionalFormatting sqref="F162">
    <cfRule type="expression" dxfId="1626" priority="185">
      <formula>OR($A162="Pipe",$A162="Component",$A162="Volume")</formula>
    </cfRule>
  </conditionalFormatting>
  <conditionalFormatting sqref="M162">
    <cfRule type="expression" dxfId="1625" priority="175">
      <formula>OR($A162="Pipe",$A162="Component",$A162="Volume")</formula>
    </cfRule>
  </conditionalFormatting>
  <conditionalFormatting sqref="N162">
    <cfRule type="expression" dxfId="1624" priority="176">
      <formula>OR($A162="Pipe",$A162="Component",$A162="Volume")</formula>
    </cfRule>
  </conditionalFormatting>
  <conditionalFormatting sqref="M162:N162">
    <cfRule type="expression" dxfId="1623" priority="174">
      <formula>$A162="Pipe"</formula>
    </cfRule>
  </conditionalFormatting>
  <conditionalFormatting sqref="M162:N162">
    <cfRule type="expression" dxfId="1622" priority="173">
      <formula>$A162="Component"</formula>
    </cfRule>
  </conditionalFormatting>
  <conditionalFormatting sqref="M162:N162">
    <cfRule type="expression" dxfId="1621" priority="172">
      <formula>$A162="Volume"</formula>
    </cfRule>
  </conditionalFormatting>
  <conditionalFormatting sqref="G162">
    <cfRule type="expression" dxfId="1620" priority="171">
      <formula>OR($A162="Pipe",$A162="Component",$A162="Volume")</formula>
    </cfRule>
  </conditionalFormatting>
  <conditionalFormatting sqref="G162">
    <cfRule type="expression" dxfId="1619" priority="170">
      <formula>$A162="Pipe"</formula>
    </cfRule>
  </conditionalFormatting>
  <conditionalFormatting sqref="G162">
    <cfRule type="expression" dxfId="1618" priority="169">
      <formula>$A162="Component"</formula>
    </cfRule>
  </conditionalFormatting>
  <conditionalFormatting sqref="G162">
    <cfRule type="expression" dxfId="1617" priority="168">
      <formula>$A162="Volume"</formula>
    </cfRule>
  </conditionalFormatting>
  <conditionalFormatting sqref="O139 A139 U139 J139 S139 Q139">
    <cfRule type="expression" dxfId="1616" priority="165">
      <formula>OR($A139="Pipe",$A139="Component",$A139="Volume")</formula>
    </cfRule>
  </conditionalFormatting>
  <conditionalFormatting sqref="V139 P139 L139 I139 E139 R139 T139">
    <cfRule type="expression" dxfId="1615" priority="166">
      <formula>OR($A139="Pipe",$A139="Component",$A139="Volume")</formula>
    </cfRule>
  </conditionalFormatting>
  <conditionalFormatting sqref="B139:D139 K139 G139:H139">
    <cfRule type="expression" dxfId="1614" priority="164">
      <formula>OR($A139="Pipe",$A139="Component",$A139="Volume")</formula>
    </cfRule>
  </conditionalFormatting>
  <conditionalFormatting sqref="U139:V139 A139:L139 O139:P139">
    <cfRule type="expression" dxfId="1613" priority="163">
      <formula>$A139="Pipe"</formula>
    </cfRule>
  </conditionalFormatting>
  <conditionalFormatting sqref="Q139:T139">
    <cfRule type="expression" dxfId="1612" priority="162">
      <formula>OR($A139="Volume",$A139="Pipe")</formula>
    </cfRule>
  </conditionalFormatting>
  <conditionalFormatting sqref="A139:L139 O139:V139">
    <cfRule type="expression" dxfId="1611" priority="161">
      <formula>$A139="Component"</formula>
    </cfRule>
  </conditionalFormatting>
  <conditionalFormatting sqref="U139:V139 A139:L139 O139:P139">
    <cfRule type="expression" dxfId="1610" priority="160">
      <formula>$A139="Volume"</formula>
    </cfRule>
  </conditionalFormatting>
  <conditionalFormatting sqref="J139:L139">
    <cfRule type="cellIs" dxfId="1609" priority="159" operator="notEqual">
      <formula>0</formula>
    </cfRule>
  </conditionalFormatting>
  <conditionalFormatting sqref="F139">
    <cfRule type="expression" dxfId="1608" priority="167">
      <formula>OR($A139="Pipe",$A139="Component",$A139="Volume")</formula>
    </cfRule>
  </conditionalFormatting>
  <conditionalFormatting sqref="M139">
    <cfRule type="expression" dxfId="1607" priority="157">
      <formula>OR($A139="Pipe",$A139="Component",$A139="Volume")</formula>
    </cfRule>
  </conditionalFormatting>
  <conditionalFormatting sqref="N139">
    <cfRule type="expression" dxfId="1606" priority="158">
      <formula>OR($A139="Pipe",$A139="Component",$A139="Volume")</formula>
    </cfRule>
  </conditionalFormatting>
  <conditionalFormatting sqref="M139:N139">
    <cfRule type="expression" dxfId="1605" priority="156">
      <formula>$A139="Pipe"</formula>
    </cfRule>
  </conditionalFormatting>
  <conditionalFormatting sqref="M139:N139">
    <cfRule type="expression" dxfId="1604" priority="155">
      <formula>$A139="Component"</formula>
    </cfRule>
  </conditionalFormatting>
  <conditionalFormatting sqref="M139:N139">
    <cfRule type="expression" dxfId="1603" priority="154">
      <formula>$A139="Volume"</formula>
    </cfRule>
  </conditionalFormatting>
  <conditionalFormatting sqref="Q168 S168 M168 J168 U168 A168 O168">
    <cfRule type="expression" dxfId="1602" priority="151">
      <formula>OR($A168="Pipe",$A168="Component",$A168="Volume")</formula>
    </cfRule>
  </conditionalFormatting>
  <conditionalFormatting sqref="T168 R168 N168 E168 I168 L168 P168 V168">
    <cfRule type="expression" dxfId="1601" priority="152">
      <formula>OR($A168="Pipe",$A168="Component",$A168="Volume")</formula>
    </cfRule>
  </conditionalFormatting>
  <conditionalFormatting sqref="G168:H168 K168 B168:D168">
    <cfRule type="expression" dxfId="1600" priority="150">
      <formula>OR($A168="Pipe",$A168="Component",$A168="Volume")</formula>
    </cfRule>
  </conditionalFormatting>
  <conditionalFormatting sqref="A168:P168 U168:V168">
    <cfRule type="expression" dxfId="1599" priority="149">
      <formula>$A168="Pipe"</formula>
    </cfRule>
  </conditionalFormatting>
  <conditionalFormatting sqref="Q168:T168">
    <cfRule type="expression" dxfId="1598" priority="148">
      <formula>OR($A168="Volume",$A168="Pipe")</formula>
    </cfRule>
  </conditionalFormatting>
  <conditionalFormatting sqref="A168:V168">
    <cfRule type="expression" dxfId="1597" priority="147">
      <formula>$A168="Component"</formula>
    </cfRule>
  </conditionalFormatting>
  <conditionalFormatting sqref="A168:P168 U168:V168">
    <cfRule type="expression" dxfId="1596" priority="146">
      <formula>$A168="Volume"</formula>
    </cfRule>
  </conditionalFormatting>
  <conditionalFormatting sqref="J168:L168">
    <cfRule type="cellIs" dxfId="1595" priority="145" operator="notEqual">
      <formula>0</formula>
    </cfRule>
  </conditionalFormatting>
  <conditionalFormatting sqref="F168">
    <cfRule type="expression" dxfId="1594" priority="153">
      <formula>OR($A168="Pipe",$A168="Component",$A168="Volume")</formula>
    </cfRule>
  </conditionalFormatting>
  <conditionalFormatting sqref="O169 A169 U169 J169 S169 Q169">
    <cfRule type="expression" dxfId="1593" priority="142">
      <formula>OR($A169="Pipe",$A169="Component",$A169="Volume")</formula>
    </cfRule>
  </conditionalFormatting>
  <conditionalFormatting sqref="V169 P169 L169 I169 E169 R169 T169">
    <cfRule type="expression" dxfId="1592" priority="143">
      <formula>OR($A169="Pipe",$A169="Component",$A169="Volume")</formula>
    </cfRule>
  </conditionalFormatting>
  <conditionalFormatting sqref="B169:D169 K169 H169">
    <cfRule type="expression" dxfId="1591" priority="141">
      <formula>OR($A169="Pipe",$A169="Component",$A169="Volume")</formula>
    </cfRule>
  </conditionalFormatting>
  <conditionalFormatting sqref="U169:V169 A169:F169 H169:L169 O169:P169">
    <cfRule type="expression" dxfId="1590" priority="140">
      <formula>$A169="Pipe"</formula>
    </cfRule>
  </conditionalFormatting>
  <conditionalFormatting sqref="Q169:T169">
    <cfRule type="expression" dxfId="1589" priority="139">
      <formula>OR($A169="Volume",$A169="Pipe")</formula>
    </cfRule>
  </conditionalFormatting>
  <conditionalFormatting sqref="A169:F169 H169:L169 O169:V169">
    <cfRule type="expression" dxfId="1588" priority="138">
      <formula>$A169="Component"</formula>
    </cfRule>
  </conditionalFormatting>
  <conditionalFormatting sqref="U169:V169 A169:F169 H169:L169 O169:P169">
    <cfRule type="expression" dxfId="1587" priority="137">
      <formula>$A169="Volume"</formula>
    </cfRule>
  </conditionalFormatting>
  <conditionalFormatting sqref="J169:L169">
    <cfRule type="cellIs" dxfId="1586" priority="136" operator="notEqual">
      <formula>0</formula>
    </cfRule>
  </conditionalFormatting>
  <conditionalFormatting sqref="F169">
    <cfRule type="expression" dxfId="1585" priority="144">
      <formula>OR($A169="Pipe",$A169="Component",$A169="Volume")</formula>
    </cfRule>
  </conditionalFormatting>
  <conditionalFormatting sqref="G169">
    <cfRule type="expression" dxfId="1584" priority="135">
      <formula>OR($A169="Pipe",$A169="Component",$A169="Volume")</formula>
    </cfRule>
  </conditionalFormatting>
  <conditionalFormatting sqref="G169">
    <cfRule type="expression" dxfId="1583" priority="134">
      <formula>$A169="Pipe"</formula>
    </cfRule>
  </conditionalFormatting>
  <conditionalFormatting sqref="G169">
    <cfRule type="expression" dxfId="1582" priority="133">
      <formula>$A169="Component"</formula>
    </cfRule>
  </conditionalFormatting>
  <conditionalFormatting sqref="G169">
    <cfRule type="expression" dxfId="1581" priority="132">
      <formula>$A169="Volume"</formula>
    </cfRule>
  </conditionalFormatting>
  <conditionalFormatting sqref="M169">
    <cfRule type="expression" dxfId="1580" priority="130">
      <formula>OR($A169="Pipe",$A169="Component",$A169="Volume")</formula>
    </cfRule>
  </conditionalFormatting>
  <conditionalFormatting sqref="N169">
    <cfRule type="expression" dxfId="1579" priority="131">
      <formula>OR($A169="Pipe",$A169="Component",$A169="Volume")</formula>
    </cfRule>
  </conditionalFormatting>
  <conditionalFormatting sqref="M169:N169">
    <cfRule type="expression" dxfId="1578" priority="129">
      <formula>$A169="Pipe"</formula>
    </cfRule>
  </conditionalFormatting>
  <conditionalFormatting sqref="M169:N169">
    <cfRule type="expression" dxfId="1577" priority="128">
      <formula>$A169="Component"</formula>
    </cfRule>
  </conditionalFormatting>
  <conditionalFormatting sqref="M169:N169">
    <cfRule type="expression" dxfId="1576" priority="127">
      <formula>$A169="Volume"</formula>
    </cfRule>
  </conditionalFormatting>
  <conditionalFormatting sqref="O170 A170 U170 J170 S170 Q170">
    <cfRule type="expression" dxfId="1575" priority="124">
      <formula>OR($A170="Pipe",$A170="Component",$A170="Volume")</formula>
    </cfRule>
  </conditionalFormatting>
  <conditionalFormatting sqref="V170 P170 L170 I170 E170 R170 T170">
    <cfRule type="expression" dxfId="1574" priority="125">
      <formula>OR($A170="Pipe",$A170="Component",$A170="Volume")</formula>
    </cfRule>
  </conditionalFormatting>
  <conditionalFormatting sqref="B170:D170 K170 H170">
    <cfRule type="expression" dxfId="1573" priority="123">
      <formula>OR($A170="Pipe",$A170="Component",$A170="Volume")</formula>
    </cfRule>
  </conditionalFormatting>
  <conditionalFormatting sqref="U170:V170 A170:F170 H170:L170 O170:P170">
    <cfRule type="expression" dxfId="1572" priority="122">
      <formula>$A170="Pipe"</formula>
    </cfRule>
  </conditionalFormatting>
  <conditionalFormatting sqref="Q170:T170">
    <cfRule type="expression" dxfId="1571" priority="121">
      <formula>OR($A170="Volume",$A170="Pipe")</formula>
    </cfRule>
  </conditionalFormatting>
  <conditionalFormatting sqref="A170:F170 H170:L170 O170:V170">
    <cfRule type="expression" dxfId="1570" priority="120">
      <formula>$A170="Component"</formula>
    </cfRule>
  </conditionalFormatting>
  <conditionalFormatting sqref="U170:V170 A170:F170 H170:L170 O170:P170">
    <cfRule type="expression" dxfId="1569" priority="119">
      <formula>$A170="Volume"</formula>
    </cfRule>
  </conditionalFormatting>
  <conditionalFormatting sqref="J170:L170">
    <cfRule type="cellIs" dxfId="1568" priority="118" operator="notEqual">
      <formula>0</formula>
    </cfRule>
  </conditionalFormatting>
  <conditionalFormatting sqref="F170">
    <cfRule type="expression" dxfId="1567" priority="126">
      <formula>OR($A170="Pipe",$A170="Component",$A170="Volume")</formula>
    </cfRule>
  </conditionalFormatting>
  <conditionalFormatting sqref="G170">
    <cfRule type="expression" dxfId="1566" priority="117">
      <formula>OR($A170="Pipe",$A170="Component",$A170="Volume")</formula>
    </cfRule>
  </conditionalFormatting>
  <conditionalFormatting sqref="G170">
    <cfRule type="expression" dxfId="1565" priority="116">
      <formula>$A170="Pipe"</formula>
    </cfRule>
  </conditionalFormatting>
  <conditionalFormatting sqref="G170">
    <cfRule type="expression" dxfId="1564" priority="115">
      <formula>$A170="Component"</formula>
    </cfRule>
  </conditionalFormatting>
  <conditionalFormatting sqref="G170">
    <cfRule type="expression" dxfId="1563" priority="114">
      <formula>$A170="Volume"</formula>
    </cfRule>
  </conditionalFormatting>
  <conditionalFormatting sqref="M170">
    <cfRule type="expression" dxfId="1562" priority="112">
      <formula>OR($A170="Pipe",$A170="Component",$A170="Volume")</formula>
    </cfRule>
  </conditionalFormatting>
  <conditionalFormatting sqref="N170">
    <cfRule type="expression" dxfId="1561" priority="113">
      <formula>OR($A170="Pipe",$A170="Component",$A170="Volume")</formula>
    </cfRule>
  </conditionalFormatting>
  <conditionalFormatting sqref="M170:N170">
    <cfRule type="expression" dxfId="1560" priority="111">
      <formula>$A170="Pipe"</formula>
    </cfRule>
  </conditionalFormatting>
  <conditionalFormatting sqref="M170:N170">
    <cfRule type="expression" dxfId="1559" priority="110">
      <formula>$A170="Component"</formula>
    </cfRule>
  </conditionalFormatting>
  <conditionalFormatting sqref="M170:N170">
    <cfRule type="expression" dxfId="1558" priority="109">
      <formula>$A170="Volume"</formula>
    </cfRule>
  </conditionalFormatting>
  <conditionalFormatting sqref="O171 A171 U171 J171 S171 Q171">
    <cfRule type="expression" dxfId="1557" priority="106">
      <formula>OR($A171="Pipe",$A171="Component",$A171="Volume")</formula>
    </cfRule>
  </conditionalFormatting>
  <conditionalFormatting sqref="V171 P171 L171 I171 E171 R171 T171">
    <cfRule type="expression" dxfId="1556" priority="107">
      <formula>OR($A171="Pipe",$A171="Component",$A171="Volume")</formula>
    </cfRule>
  </conditionalFormatting>
  <conditionalFormatting sqref="B171:D171 K171 H171">
    <cfRule type="expression" dxfId="1555" priority="105">
      <formula>OR($A171="Pipe",$A171="Component",$A171="Volume")</formula>
    </cfRule>
  </conditionalFormatting>
  <conditionalFormatting sqref="U171:V171 A171:F171 H171:L171 O171:P171">
    <cfRule type="expression" dxfId="1554" priority="104">
      <formula>$A171="Pipe"</formula>
    </cfRule>
  </conditionalFormatting>
  <conditionalFormatting sqref="Q171:T171">
    <cfRule type="expression" dxfId="1553" priority="103">
      <formula>OR($A171="Volume",$A171="Pipe")</formula>
    </cfRule>
  </conditionalFormatting>
  <conditionalFormatting sqref="A171:F171 H171:L171 O171:V171">
    <cfRule type="expression" dxfId="1552" priority="102">
      <formula>$A171="Component"</formula>
    </cfRule>
  </conditionalFormatting>
  <conditionalFormatting sqref="U171:V171 A171:F171 H171:L171 O171:P171">
    <cfRule type="expression" dxfId="1551" priority="101">
      <formula>$A171="Volume"</formula>
    </cfRule>
  </conditionalFormatting>
  <conditionalFormatting sqref="J171:L171">
    <cfRule type="cellIs" dxfId="1550" priority="100" operator="notEqual">
      <formula>0</formula>
    </cfRule>
  </conditionalFormatting>
  <conditionalFormatting sqref="F171">
    <cfRule type="expression" dxfId="1549" priority="108">
      <formula>OR($A171="Pipe",$A171="Component",$A171="Volume")</formula>
    </cfRule>
  </conditionalFormatting>
  <conditionalFormatting sqref="G171">
    <cfRule type="expression" dxfId="1548" priority="99">
      <formula>OR($A171="Pipe",$A171="Component",$A171="Volume")</formula>
    </cfRule>
  </conditionalFormatting>
  <conditionalFormatting sqref="G171">
    <cfRule type="expression" dxfId="1547" priority="98">
      <formula>$A171="Pipe"</formula>
    </cfRule>
  </conditionalFormatting>
  <conditionalFormatting sqref="G171">
    <cfRule type="expression" dxfId="1546" priority="97">
      <formula>$A171="Component"</formula>
    </cfRule>
  </conditionalFormatting>
  <conditionalFormatting sqref="G171">
    <cfRule type="expression" dxfId="1545" priority="96">
      <formula>$A171="Volume"</formula>
    </cfRule>
  </conditionalFormatting>
  <conditionalFormatting sqref="M171">
    <cfRule type="expression" dxfId="1544" priority="94">
      <formula>OR($A171="Pipe",$A171="Component",$A171="Volume")</formula>
    </cfRule>
  </conditionalFormatting>
  <conditionalFormatting sqref="N171">
    <cfRule type="expression" dxfId="1543" priority="95">
      <formula>OR($A171="Pipe",$A171="Component",$A171="Volume")</formula>
    </cfRule>
  </conditionalFormatting>
  <conditionalFormatting sqref="M171:N171">
    <cfRule type="expression" dxfId="1542" priority="93">
      <formula>$A171="Pipe"</formula>
    </cfRule>
  </conditionalFormatting>
  <conditionalFormatting sqref="M171:N171">
    <cfRule type="expression" dxfId="1541" priority="92">
      <formula>$A171="Component"</formula>
    </cfRule>
  </conditionalFormatting>
  <conditionalFormatting sqref="M171:N171">
    <cfRule type="expression" dxfId="1540" priority="91">
      <formula>$A171="Volume"</formula>
    </cfRule>
  </conditionalFormatting>
  <conditionalFormatting sqref="O167 A167 U167 J167 S167 Q167">
    <cfRule type="expression" dxfId="1539" priority="88">
      <formula>OR($A167="Pipe",$A167="Component",$A167="Volume")</formula>
    </cfRule>
  </conditionalFormatting>
  <conditionalFormatting sqref="V167 P167 L167 I167 E167 R167 T167">
    <cfRule type="expression" dxfId="1538" priority="89">
      <formula>OR($A167="Pipe",$A167="Component",$A167="Volume")</formula>
    </cfRule>
  </conditionalFormatting>
  <conditionalFormatting sqref="B167:D167 K167 G167:H167">
    <cfRule type="expression" dxfId="1537" priority="87">
      <formula>OR($A167="Pipe",$A167="Component",$A167="Volume")</formula>
    </cfRule>
  </conditionalFormatting>
  <conditionalFormatting sqref="U167:V167 A167:L167 O167:P167">
    <cfRule type="expression" dxfId="1536" priority="86">
      <formula>$A167="Pipe"</formula>
    </cfRule>
  </conditionalFormatting>
  <conditionalFormatting sqref="Q167:T167">
    <cfRule type="expression" dxfId="1535" priority="85">
      <formula>OR($A167="Volume",$A167="Pipe")</formula>
    </cfRule>
  </conditionalFormatting>
  <conditionalFormatting sqref="A167:L167 O167:V167">
    <cfRule type="expression" dxfId="1534" priority="84">
      <formula>$A167="Component"</formula>
    </cfRule>
  </conditionalFormatting>
  <conditionalFormatting sqref="U167:V167 A167:L167 O167:P167">
    <cfRule type="expression" dxfId="1533" priority="83">
      <formula>$A167="Volume"</formula>
    </cfRule>
  </conditionalFormatting>
  <conditionalFormatting sqref="J167:L167">
    <cfRule type="cellIs" dxfId="1532" priority="82" operator="notEqual">
      <formula>0</formula>
    </cfRule>
  </conditionalFormatting>
  <conditionalFormatting sqref="F167">
    <cfRule type="expression" dxfId="1531" priority="90">
      <formula>OR($A167="Pipe",$A167="Component",$A167="Volume")</formula>
    </cfRule>
  </conditionalFormatting>
  <conditionalFormatting sqref="M167">
    <cfRule type="expression" dxfId="1530" priority="80">
      <formula>OR($A167="Pipe",$A167="Component",$A167="Volume")</formula>
    </cfRule>
  </conditionalFormatting>
  <conditionalFormatting sqref="N167">
    <cfRule type="expression" dxfId="1529" priority="81">
      <formula>OR($A167="Pipe",$A167="Component",$A167="Volume")</formula>
    </cfRule>
  </conditionalFormatting>
  <conditionalFormatting sqref="M167:N167">
    <cfRule type="expression" dxfId="1528" priority="79">
      <formula>$A167="Pipe"</formula>
    </cfRule>
  </conditionalFormatting>
  <conditionalFormatting sqref="M167:N167">
    <cfRule type="expression" dxfId="1527" priority="78">
      <formula>$A167="Component"</formula>
    </cfRule>
  </conditionalFormatting>
  <conditionalFormatting sqref="M167:N167">
    <cfRule type="expression" dxfId="1526" priority="77">
      <formula>$A167="Volume"</formula>
    </cfRule>
  </conditionalFormatting>
  <conditionalFormatting sqref="O172 A172 U172 J172 S172 Q172">
    <cfRule type="expression" dxfId="1525" priority="74">
      <formula>OR($A172="Pipe",$A172="Component",$A172="Volume")</formula>
    </cfRule>
  </conditionalFormatting>
  <conditionalFormatting sqref="V172 P172 L172 I172 E172 R172 T172">
    <cfRule type="expression" dxfId="1524" priority="75">
      <formula>OR($A172="Pipe",$A172="Component",$A172="Volume")</formula>
    </cfRule>
  </conditionalFormatting>
  <conditionalFormatting sqref="B172:D172 K172 H172">
    <cfRule type="expression" dxfId="1523" priority="73">
      <formula>OR($A172="Pipe",$A172="Component",$A172="Volume")</formula>
    </cfRule>
  </conditionalFormatting>
  <conditionalFormatting sqref="U172:V172 A172:F172 H172:L172 O172:P172">
    <cfRule type="expression" dxfId="1522" priority="72">
      <formula>$A172="Pipe"</formula>
    </cfRule>
  </conditionalFormatting>
  <conditionalFormatting sqref="Q172:T172">
    <cfRule type="expression" dxfId="1521" priority="71">
      <formula>OR($A172="Volume",$A172="Pipe")</formula>
    </cfRule>
  </conditionalFormatting>
  <conditionalFormatting sqref="A172:F172 H172:L172 O172:V172">
    <cfRule type="expression" dxfId="1520" priority="70">
      <formula>$A172="Component"</formula>
    </cfRule>
  </conditionalFormatting>
  <conditionalFormatting sqref="U172:V172 A172:F172 H172:L172 O172:P172">
    <cfRule type="expression" dxfId="1519" priority="69">
      <formula>$A172="Volume"</formula>
    </cfRule>
  </conditionalFormatting>
  <conditionalFormatting sqref="J172:L172">
    <cfRule type="cellIs" dxfId="1518" priority="68" operator="notEqual">
      <formula>0</formula>
    </cfRule>
  </conditionalFormatting>
  <conditionalFormatting sqref="F172">
    <cfRule type="expression" dxfId="1517" priority="76">
      <formula>OR($A172="Pipe",$A172="Component",$A172="Volume")</formula>
    </cfRule>
  </conditionalFormatting>
  <conditionalFormatting sqref="G172">
    <cfRule type="expression" dxfId="1516" priority="67">
      <formula>OR($A172="Pipe",$A172="Component",$A172="Volume")</formula>
    </cfRule>
  </conditionalFormatting>
  <conditionalFormatting sqref="G172">
    <cfRule type="expression" dxfId="1515" priority="66">
      <formula>$A172="Pipe"</formula>
    </cfRule>
  </conditionalFormatting>
  <conditionalFormatting sqref="G172">
    <cfRule type="expression" dxfId="1514" priority="65">
      <formula>$A172="Component"</formula>
    </cfRule>
  </conditionalFormatting>
  <conditionalFormatting sqref="G172">
    <cfRule type="expression" dxfId="1513" priority="64">
      <formula>$A172="Volume"</formula>
    </cfRule>
  </conditionalFormatting>
  <conditionalFormatting sqref="M172">
    <cfRule type="expression" dxfId="1512" priority="62">
      <formula>OR($A172="Pipe",$A172="Component",$A172="Volume")</formula>
    </cfRule>
  </conditionalFormatting>
  <conditionalFormatting sqref="N172">
    <cfRule type="expression" dxfId="1511" priority="63">
      <formula>OR($A172="Pipe",$A172="Component",$A172="Volume")</formula>
    </cfRule>
  </conditionalFormatting>
  <conditionalFormatting sqref="M172:N172">
    <cfRule type="expression" dxfId="1510" priority="61">
      <formula>$A172="Pipe"</formula>
    </cfRule>
  </conditionalFormatting>
  <conditionalFormatting sqref="M172:N172">
    <cfRule type="expression" dxfId="1509" priority="60">
      <formula>$A172="Component"</formula>
    </cfRule>
  </conditionalFormatting>
  <conditionalFormatting sqref="M172:N172">
    <cfRule type="expression" dxfId="1508" priority="59">
      <formula>$A172="Volume"</formula>
    </cfRule>
  </conditionalFormatting>
  <conditionalFormatting sqref="O173 A173 U173 J173 S173 Q173">
    <cfRule type="expression" dxfId="1507" priority="56">
      <formula>OR($A173="Pipe",$A173="Component",$A173="Volume")</formula>
    </cfRule>
  </conditionalFormatting>
  <conditionalFormatting sqref="V173 P173 L173 I173 E173 R173 T173">
    <cfRule type="expression" dxfId="1506" priority="57">
      <formula>OR($A173="Pipe",$A173="Component",$A173="Volume")</formula>
    </cfRule>
  </conditionalFormatting>
  <conditionalFormatting sqref="B173:D173 K173 H173">
    <cfRule type="expression" dxfId="1505" priority="55">
      <formula>OR($A173="Pipe",$A173="Component",$A173="Volume")</formula>
    </cfRule>
  </conditionalFormatting>
  <conditionalFormatting sqref="U173:V173 A173:F173 H173:L173 O173:P173">
    <cfRule type="expression" dxfId="1504" priority="54">
      <formula>$A173="Pipe"</formula>
    </cfRule>
  </conditionalFormatting>
  <conditionalFormatting sqref="Q173:T173">
    <cfRule type="expression" dxfId="1503" priority="53">
      <formula>OR($A173="Volume",$A173="Pipe")</formula>
    </cfRule>
  </conditionalFormatting>
  <conditionalFormatting sqref="A173:F173 H173:L173 O173:V173">
    <cfRule type="expression" dxfId="1502" priority="52">
      <formula>$A173="Component"</formula>
    </cfRule>
  </conditionalFormatting>
  <conditionalFormatting sqref="U173:V173 A173:F173 H173:L173 O173:P173">
    <cfRule type="expression" dxfId="1501" priority="51">
      <formula>$A173="Volume"</formula>
    </cfRule>
  </conditionalFormatting>
  <conditionalFormatting sqref="J173:L173">
    <cfRule type="cellIs" dxfId="1500" priority="50" operator="notEqual">
      <formula>0</formula>
    </cfRule>
  </conditionalFormatting>
  <conditionalFormatting sqref="F173">
    <cfRule type="expression" dxfId="1499" priority="58">
      <formula>OR($A173="Pipe",$A173="Component",$A173="Volume")</formula>
    </cfRule>
  </conditionalFormatting>
  <conditionalFormatting sqref="G173">
    <cfRule type="expression" dxfId="1498" priority="49">
      <formula>OR($A173="Pipe",$A173="Component",$A173="Volume")</formula>
    </cfRule>
  </conditionalFormatting>
  <conditionalFormatting sqref="G173">
    <cfRule type="expression" dxfId="1497" priority="48">
      <formula>$A173="Pipe"</formula>
    </cfRule>
  </conditionalFormatting>
  <conditionalFormatting sqref="G173">
    <cfRule type="expression" dxfId="1496" priority="47">
      <formula>$A173="Component"</formula>
    </cfRule>
  </conditionalFormatting>
  <conditionalFormatting sqref="G173">
    <cfRule type="expression" dxfId="1495" priority="46">
      <formula>$A173="Volume"</formula>
    </cfRule>
  </conditionalFormatting>
  <conditionalFormatting sqref="M173">
    <cfRule type="expression" dxfId="1494" priority="44">
      <formula>OR($A173="Pipe",$A173="Component",$A173="Volume")</formula>
    </cfRule>
  </conditionalFormatting>
  <conditionalFormatting sqref="N173">
    <cfRule type="expression" dxfId="1493" priority="45">
      <formula>OR($A173="Pipe",$A173="Component",$A173="Volume")</formula>
    </cfRule>
  </conditionalFormatting>
  <conditionalFormatting sqref="M173:N173">
    <cfRule type="expression" dxfId="1492" priority="43">
      <formula>$A173="Pipe"</formula>
    </cfRule>
  </conditionalFormatting>
  <conditionalFormatting sqref="M173:N173">
    <cfRule type="expression" dxfId="1491" priority="42">
      <formula>$A173="Component"</formula>
    </cfRule>
  </conditionalFormatting>
  <conditionalFormatting sqref="M173:N173">
    <cfRule type="expression" dxfId="1490" priority="41">
      <formula>$A173="Volume"</formula>
    </cfRule>
  </conditionalFormatting>
  <conditionalFormatting sqref="O174 A174 U174 J174 S174 Q174">
    <cfRule type="expression" dxfId="1489" priority="38">
      <formula>OR($A174="Pipe",$A174="Component",$A174="Volume")</formula>
    </cfRule>
  </conditionalFormatting>
  <conditionalFormatting sqref="V174 P174 L174 I174 E174 R174 T174">
    <cfRule type="expression" dxfId="1488" priority="39">
      <formula>OR($A174="Pipe",$A174="Component",$A174="Volume")</formula>
    </cfRule>
  </conditionalFormatting>
  <conditionalFormatting sqref="B174:D174 K174 H174">
    <cfRule type="expression" dxfId="1487" priority="37">
      <formula>OR($A174="Pipe",$A174="Component",$A174="Volume")</formula>
    </cfRule>
  </conditionalFormatting>
  <conditionalFormatting sqref="U174:V174 A174:F174 H174:L174 O174:P174">
    <cfRule type="expression" dxfId="1486" priority="36">
      <formula>$A174="Pipe"</formula>
    </cfRule>
  </conditionalFormatting>
  <conditionalFormatting sqref="Q174:T174">
    <cfRule type="expression" dxfId="1485" priority="35">
      <formula>OR($A174="Volume",$A174="Pipe")</formula>
    </cfRule>
  </conditionalFormatting>
  <conditionalFormatting sqref="A174:F174 H174:L174 O174:V174">
    <cfRule type="expression" dxfId="1484" priority="34">
      <formula>$A174="Component"</formula>
    </cfRule>
  </conditionalFormatting>
  <conditionalFormatting sqref="U174:V174 A174:F174 H174:L174 O174:P174">
    <cfRule type="expression" dxfId="1483" priority="33">
      <formula>$A174="Volume"</formula>
    </cfRule>
  </conditionalFormatting>
  <conditionalFormatting sqref="J174:L174">
    <cfRule type="cellIs" dxfId="1482" priority="32" operator="notEqual">
      <formula>0</formula>
    </cfRule>
  </conditionalFormatting>
  <conditionalFormatting sqref="F174">
    <cfRule type="expression" dxfId="1481" priority="40">
      <formula>OR($A174="Pipe",$A174="Component",$A174="Volume")</formula>
    </cfRule>
  </conditionalFormatting>
  <conditionalFormatting sqref="G174">
    <cfRule type="expression" dxfId="1480" priority="31">
      <formula>OR($A174="Pipe",$A174="Component",$A174="Volume")</formula>
    </cfRule>
  </conditionalFormatting>
  <conditionalFormatting sqref="G174">
    <cfRule type="expression" dxfId="1479" priority="30">
      <formula>$A174="Pipe"</formula>
    </cfRule>
  </conditionalFormatting>
  <conditionalFormatting sqref="G174">
    <cfRule type="expression" dxfId="1478" priority="29">
      <formula>$A174="Component"</formula>
    </cfRule>
  </conditionalFormatting>
  <conditionalFormatting sqref="G174">
    <cfRule type="expression" dxfId="1477" priority="28">
      <formula>$A174="Volume"</formula>
    </cfRule>
  </conditionalFormatting>
  <conditionalFormatting sqref="M174">
    <cfRule type="expression" dxfId="1476" priority="26">
      <formula>OR($A174="Pipe",$A174="Component",$A174="Volume")</formula>
    </cfRule>
  </conditionalFormatting>
  <conditionalFormatting sqref="N174">
    <cfRule type="expression" dxfId="1475" priority="27">
      <formula>OR($A174="Pipe",$A174="Component",$A174="Volume")</formula>
    </cfRule>
  </conditionalFormatting>
  <conditionalFormatting sqref="M174:N174">
    <cfRule type="expression" dxfId="1474" priority="25">
      <formula>$A174="Pipe"</formula>
    </cfRule>
  </conditionalFormatting>
  <conditionalFormatting sqref="M174:N174">
    <cfRule type="expression" dxfId="1473" priority="24">
      <formula>$A174="Component"</formula>
    </cfRule>
  </conditionalFormatting>
  <conditionalFormatting sqref="M174:N174">
    <cfRule type="expression" dxfId="1472" priority="23">
      <formula>$A174="Volume"</formula>
    </cfRule>
  </conditionalFormatting>
  <conditionalFormatting sqref="O175 A175 U175 J175 S175 Q175">
    <cfRule type="expression" dxfId="1471" priority="20">
      <formula>OR($A175="Pipe",$A175="Component",$A175="Volume")</formula>
    </cfRule>
  </conditionalFormatting>
  <conditionalFormatting sqref="V175 P175 L175 I175 E175 R175 T175">
    <cfRule type="expression" dxfId="1470" priority="21">
      <formula>OR($A175="Pipe",$A175="Component",$A175="Volume")</formula>
    </cfRule>
  </conditionalFormatting>
  <conditionalFormatting sqref="B175:D175 K175 H175">
    <cfRule type="expression" dxfId="1469" priority="19">
      <formula>OR($A175="Pipe",$A175="Component",$A175="Volume")</formula>
    </cfRule>
  </conditionalFormatting>
  <conditionalFormatting sqref="U175:V175 A175:F175 H175:L175 O175:P175">
    <cfRule type="expression" dxfId="1468" priority="18">
      <formula>$A175="Pipe"</formula>
    </cfRule>
  </conditionalFormatting>
  <conditionalFormatting sqref="Q175:T175">
    <cfRule type="expression" dxfId="1467" priority="17">
      <formula>OR($A175="Volume",$A175="Pipe")</formula>
    </cfRule>
  </conditionalFormatting>
  <conditionalFormatting sqref="A175:F175 H175:L175 O175:V175">
    <cfRule type="expression" dxfId="1466" priority="16">
      <formula>$A175="Component"</formula>
    </cfRule>
  </conditionalFormatting>
  <conditionalFormatting sqref="U175:V175 A175:F175 H175:L175 O175:P175">
    <cfRule type="expression" dxfId="1465" priority="15">
      <formula>$A175="Volume"</formula>
    </cfRule>
  </conditionalFormatting>
  <conditionalFormatting sqref="J175:L175">
    <cfRule type="cellIs" dxfId="1464" priority="14" operator="notEqual">
      <formula>0</formula>
    </cfRule>
  </conditionalFormatting>
  <conditionalFormatting sqref="F175">
    <cfRule type="expression" dxfId="1463" priority="22">
      <formula>OR($A175="Pipe",$A175="Component",$A175="Volume")</formula>
    </cfRule>
  </conditionalFormatting>
  <conditionalFormatting sqref="M175">
    <cfRule type="expression" dxfId="1462" priority="8">
      <formula>OR($A175="Pipe",$A175="Component",$A175="Volume")</formula>
    </cfRule>
  </conditionalFormatting>
  <conditionalFormatting sqref="N175">
    <cfRule type="expression" dxfId="1461" priority="9">
      <formula>OR($A175="Pipe",$A175="Component",$A175="Volume")</formula>
    </cfRule>
  </conditionalFormatting>
  <conditionalFormatting sqref="M175:N175">
    <cfRule type="expression" dxfId="1460" priority="7">
      <formula>$A175="Pipe"</formula>
    </cfRule>
  </conditionalFormatting>
  <conditionalFormatting sqref="M175:N175">
    <cfRule type="expression" dxfId="1459" priority="6">
      <formula>$A175="Component"</formula>
    </cfRule>
  </conditionalFormatting>
  <conditionalFormatting sqref="M175:N175">
    <cfRule type="expression" dxfId="1458" priority="5">
      <formula>$A175="Volume"</formula>
    </cfRule>
  </conditionalFormatting>
  <conditionalFormatting sqref="G175">
    <cfRule type="expression" dxfId="1457" priority="4">
      <formula>OR($A175="Pipe",$A175="Component",$A175="Volume")</formula>
    </cfRule>
  </conditionalFormatting>
  <conditionalFormatting sqref="G175">
    <cfRule type="expression" dxfId="1456" priority="3">
      <formula>$A175="Pipe"</formula>
    </cfRule>
  </conditionalFormatting>
  <conditionalFormatting sqref="G175">
    <cfRule type="expression" dxfId="1455" priority="2">
      <formula>$A175="Component"</formula>
    </cfRule>
  </conditionalFormatting>
  <conditionalFormatting sqref="G175">
    <cfRule type="expression" dxfId="1454" priority="1">
      <formula>$A175="Volume"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8" name="Button 26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AB356"/>
  <sheetViews>
    <sheetView tabSelected="1" zoomScale="85" zoomScaleNormal="85" workbookViewId="0">
      <pane ySplit="4" topLeftCell="A32" activePane="bottomLeft" state="frozenSplit"/>
      <selection pane="bottomLeft" activeCell="A59" sqref="A59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8" t="s">
        <v>82</v>
      </c>
      <c r="O5"/>
      <c r="P5"/>
    </row>
    <row r="6" spans="1:26" x14ac:dyDescent="0.25">
      <c r="A6" s="36" t="s">
        <v>55</v>
      </c>
      <c r="B6" s="36"/>
      <c r="C6" s="36"/>
      <c r="D6" s="37" t="s">
        <v>83</v>
      </c>
      <c r="E6" s="37"/>
      <c r="F6" s="37"/>
      <c r="G6" s="37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6" t="s">
        <v>56</v>
      </c>
      <c r="B8" s="36"/>
      <c r="C8" s="36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39"/>
      <c r="P22" s="40"/>
      <c r="Q22" s="7"/>
      <c r="R22" s="33"/>
      <c r="S22" s="7"/>
      <c r="T22" s="33"/>
      <c r="U22" s="7"/>
      <c r="V22" s="7"/>
    </row>
    <row r="23" spans="1:28" x14ac:dyDescent="0.25">
      <c r="A23" s="7"/>
      <c r="B23" s="7"/>
      <c r="C23" s="32"/>
      <c r="D23" s="7"/>
      <c r="E23" s="7"/>
      <c r="F23" s="33"/>
      <c r="G23" s="34"/>
      <c r="H23" s="34"/>
      <c r="I23" s="34"/>
      <c r="J23" s="31"/>
      <c r="K23" s="31"/>
      <c r="L23" s="31"/>
      <c r="M23" s="35"/>
      <c r="N23" s="35"/>
      <c r="O23" s="39"/>
      <c r="P23" s="40"/>
      <c r="Q23" s="7"/>
      <c r="R23" s="33"/>
      <c r="S23" s="7"/>
      <c r="T23" s="33"/>
      <c r="U23" s="7"/>
      <c r="V23" s="7"/>
    </row>
    <row r="24" spans="1:28" x14ac:dyDescent="0.25">
      <c r="A24" s="7" t="s">
        <v>28</v>
      </c>
      <c r="B24" s="7" t="s">
        <v>85</v>
      </c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39"/>
      <c r="P24" s="40"/>
      <c r="Q24" s="7"/>
      <c r="R24" s="33"/>
      <c r="S24" s="7"/>
      <c r="T24" s="33"/>
      <c r="U24" s="7"/>
      <c r="V24" s="7"/>
    </row>
    <row r="25" spans="1:28" x14ac:dyDescent="0.25">
      <c r="A25" s="7" t="s">
        <v>50</v>
      </c>
      <c r="B25" s="7" t="s">
        <v>23</v>
      </c>
      <c r="C25" s="32" t="s">
        <v>24</v>
      </c>
      <c r="D25" s="7" t="str">
        <f>CONCATENATE("TANK_",ROW())</f>
        <v>TANK_25</v>
      </c>
      <c r="E25" s="7"/>
      <c r="F25" s="33">
        <v>2</v>
      </c>
      <c r="G25" s="34">
        <v>-90</v>
      </c>
      <c r="H25" s="34">
        <v>0</v>
      </c>
      <c r="I25" s="34">
        <v>0</v>
      </c>
      <c r="J25" s="31">
        <v>0</v>
      </c>
      <c r="K25" s="31">
        <v>0</v>
      </c>
      <c r="L25" s="31">
        <v>0</v>
      </c>
      <c r="M25" s="35">
        <v>1200</v>
      </c>
      <c r="N25" s="35">
        <v>7</v>
      </c>
      <c r="O25" s="40"/>
      <c r="P25" s="40"/>
      <c r="Q25" s="7" t="s">
        <v>17</v>
      </c>
      <c r="R25" s="33"/>
      <c r="S25" s="7" t="s">
        <v>17</v>
      </c>
      <c r="T25" s="33"/>
      <c r="U25" s="7"/>
      <c r="V25" s="7"/>
    </row>
    <row r="26" spans="1:28" x14ac:dyDescent="0.25">
      <c r="A26" s="7"/>
      <c r="B26" s="7"/>
      <c r="C26" s="32"/>
      <c r="D26" s="7"/>
      <c r="E26" s="7"/>
      <c r="F26" s="33"/>
      <c r="G26" s="34"/>
      <c r="H26" s="34"/>
      <c r="I26" s="34"/>
      <c r="J26" s="31"/>
      <c r="K26" s="31"/>
      <c r="L26" s="31"/>
      <c r="M26" s="35"/>
      <c r="N26" s="35"/>
      <c r="O26" s="40"/>
      <c r="P26" s="40"/>
      <c r="Q26" s="7"/>
      <c r="R26" s="33"/>
      <c r="S26" s="7"/>
      <c r="T26" s="33"/>
      <c r="U26" s="7"/>
      <c r="V26" s="7"/>
    </row>
    <row r="27" spans="1:28" x14ac:dyDescent="0.25">
      <c r="A27" s="7" t="s">
        <v>88</v>
      </c>
      <c r="B27" s="7" t="s">
        <v>11</v>
      </c>
      <c r="C27" s="32" t="s">
        <v>22</v>
      </c>
      <c r="D27" s="7" t="str">
        <f>CONCATENATE("COMP_",ROW())</f>
        <v>COMP_27</v>
      </c>
      <c r="E27" s="7"/>
      <c r="F27" s="33">
        <v>0</v>
      </c>
      <c r="G27" s="34">
        <v>0</v>
      </c>
      <c r="H27" s="34">
        <v>0</v>
      </c>
      <c r="I27" s="34">
        <v>0</v>
      </c>
      <c r="J27" s="31">
        <v>0</v>
      </c>
      <c r="K27" s="31">
        <v>0</v>
      </c>
      <c r="L27" s="31">
        <v>0</v>
      </c>
      <c r="M27" s="35">
        <v>97.93</v>
      </c>
      <c r="N27" s="35">
        <v>2.02</v>
      </c>
      <c r="O27" s="40"/>
      <c r="P27" s="40"/>
      <c r="Q27" s="7" t="str">
        <f ca="1">OFFSET($A$1,ROW()-3,3)</f>
        <v>TANK_25</v>
      </c>
      <c r="R27" s="33" t="s">
        <v>67</v>
      </c>
      <c r="S27" s="7" t="str">
        <f ca="1">OFFSET($A$1,ROW()+1,3)</f>
        <v>PIPE_29</v>
      </c>
      <c r="T27" s="33" t="s">
        <v>66</v>
      </c>
      <c r="U27" s="7"/>
      <c r="V27" s="7"/>
    </row>
    <row r="28" spans="1:28" x14ac:dyDescent="0.25">
      <c r="A28" s="7"/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40"/>
      <c r="P28" s="40"/>
      <c r="Q28" s="7"/>
      <c r="R28" s="33"/>
      <c r="S28" s="7"/>
      <c r="T28" s="33"/>
      <c r="U28" s="7"/>
      <c r="V28" s="7"/>
    </row>
    <row r="29" spans="1:28" x14ac:dyDescent="0.25">
      <c r="A29" s="7" t="s">
        <v>7</v>
      </c>
      <c r="B29" s="7" t="s">
        <v>7</v>
      </c>
      <c r="C29" s="32" t="s">
        <v>7</v>
      </c>
      <c r="D29" s="7" t="str">
        <f t="shared" ref="D29:D39" si="1">CONCATENATE("PIPE_",ROW())</f>
        <v>PIPE_29</v>
      </c>
      <c r="E29" s="7"/>
      <c r="F29" s="33">
        <v>0.4</v>
      </c>
      <c r="G29" s="34">
        <v>-90</v>
      </c>
      <c r="H29" s="34">
        <v>0</v>
      </c>
      <c r="I29" s="34">
        <v>0</v>
      </c>
      <c r="J29" s="31">
        <v>0</v>
      </c>
      <c r="K29" s="31">
        <v>0</v>
      </c>
      <c r="L29" s="31">
        <v>0</v>
      </c>
      <c r="M29" s="35">
        <v>100</v>
      </c>
      <c r="N29" s="35">
        <v>3.05</v>
      </c>
      <c r="O29" s="40">
        <v>1.5</v>
      </c>
      <c r="P29" s="40"/>
      <c r="Q29" s="7"/>
      <c r="R29" s="33"/>
      <c r="S29" s="7"/>
      <c r="T29" s="33"/>
      <c r="U29" s="7"/>
      <c r="V29" s="7"/>
    </row>
    <row r="30" spans="1:28" x14ac:dyDescent="0.25">
      <c r="A30" s="7" t="s">
        <v>7</v>
      </c>
      <c r="B30" s="7" t="s">
        <v>7</v>
      </c>
      <c r="C30" s="32" t="s">
        <v>7</v>
      </c>
      <c r="D30" s="7" t="str">
        <f t="shared" si="1"/>
        <v>PIPE_30</v>
      </c>
      <c r="E30" s="7"/>
      <c r="F30" s="33">
        <v>1.5</v>
      </c>
      <c r="G30" s="34">
        <v>0</v>
      </c>
      <c r="H30" s="34">
        <v>0</v>
      </c>
      <c r="I30" s="34">
        <v>0</v>
      </c>
      <c r="J30" s="31">
        <v>0</v>
      </c>
      <c r="K30" s="31">
        <v>0</v>
      </c>
      <c r="L30" s="31">
        <v>0</v>
      </c>
      <c r="M30" s="35">
        <v>100</v>
      </c>
      <c r="N30" s="35">
        <v>3.05</v>
      </c>
      <c r="O30" s="40">
        <v>1.5</v>
      </c>
      <c r="P30" s="40"/>
      <c r="Q30" s="7"/>
      <c r="R30" s="33"/>
      <c r="S30" s="7"/>
      <c r="T30" s="33"/>
      <c r="U30" s="7"/>
      <c r="V30" s="7"/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s="7" t="s">
        <v>7</v>
      </c>
      <c r="B31" s="7" t="s">
        <v>7</v>
      </c>
      <c r="C31" s="32" t="s">
        <v>7</v>
      </c>
      <c r="D31" s="7" t="str">
        <f t="shared" si="1"/>
        <v>PIPE_31</v>
      </c>
      <c r="E31" s="7"/>
      <c r="F31" s="33">
        <v>1</v>
      </c>
      <c r="G31" s="34">
        <v>-90</v>
      </c>
      <c r="H31" s="34">
        <v>0</v>
      </c>
      <c r="I31" s="34">
        <v>0</v>
      </c>
      <c r="J31" s="31">
        <v>0</v>
      </c>
      <c r="K31" s="31">
        <v>0</v>
      </c>
      <c r="L31" s="31">
        <v>0</v>
      </c>
      <c r="M31" s="35">
        <v>100</v>
      </c>
      <c r="N31" s="35">
        <v>3.05</v>
      </c>
      <c r="O31" s="40">
        <v>1.5</v>
      </c>
      <c r="P31" s="40"/>
      <c r="Q31" s="7"/>
      <c r="R31" s="33"/>
      <c r="S31" s="7"/>
      <c r="T31" s="33"/>
      <c r="U31" s="7"/>
      <c r="V31" s="7"/>
    </row>
    <row r="32" spans="1:28" x14ac:dyDescent="0.25">
      <c r="A32" s="7" t="s">
        <v>7</v>
      </c>
      <c r="B32" s="7" t="s">
        <v>7</v>
      </c>
      <c r="C32" s="32" t="s">
        <v>7</v>
      </c>
      <c r="D32" s="7" t="str">
        <f t="shared" si="1"/>
        <v>PIPE_32</v>
      </c>
      <c r="E32" s="7"/>
      <c r="F32" s="33">
        <v>1</v>
      </c>
      <c r="G32" s="34">
        <v>0</v>
      </c>
      <c r="H32" s="34">
        <v>270</v>
      </c>
      <c r="I32" s="34">
        <v>0</v>
      </c>
      <c r="J32" s="31">
        <v>0</v>
      </c>
      <c r="K32" s="31">
        <v>0</v>
      </c>
      <c r="L32" s="31">
        <v>0</v>
      </c>
      <c r="M32" s="35">
        <v>100</v>
      </c>
      <c r="N32" s="35">
        <v>3.05</v>
      </c>
      <c r="O32" s="40">
        <v>1.5</v>
      </c>
      <c r="P32" s="40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40"/>
      <c r="P33" s="40"/>
      <c r="Q33" s="7"/>
      <c r="R33" s="33"/>
      <c r="S33" s="7"/>
      <c r="T33" s="33"/>
      <c r="U33" s="7"/>
      <c r="V33" s="7"/>
    </row>
    <row r="34" spans="1:22" x14ac:dyDescent="0.25">
      <c r="A34" s="7" t="s">
        <v>88</v>
      </c>
      <c r="B34" s="7" t="s">
        <v>10</v>
      </c>
      <c r="C34" s="32" t="s">
        <v>84</v>
      </c>
      <c r="D34" s="7" t="str">
        <f>CONCATENATE("COMP_",ROW())</f>
        <v>COMP_34</v>
      </c>
      <c r="E34" s="7"/>
      <c r="F34" s="33">
        <v>0.2</v>
      </c>
      <c r="G34" s="34">
        <v>0</v>
      </c>
      <c r="H34" s="34">
        <v>270</v>
      </c>
      <c r="I34" s="34">
        <v>0</v>
      </c>
      <c r="J34" s="31">
        <v>0</v>
      </c>
      <c r="K34" s="31">
        <v>0</v>
      </c>
      <c r="L34" s="31">
        <v>0</v>
      </c>
      <c r="M34" s="35">
        <v>100</v>
      </c>
      <c r="N34" s="35">
        <v>3.05</v>
      </c>
      <c r="O34" s="40"/>
      <c r="P34" s="40"/>
      <c r="Q34" s="7" t="str">
        <f ca="1">OFFSET($A$1,ROW()-3,3)</f>
        <v>PIPE_32</v>
      </c>
      <c r="R34" s="33" t="s">
        <v>67</v>
      </c>
      <c r="S34" s="7" t="str">
        <f ca="1">OFFSET($A$1,ROW()+1,3)</f>
        <v>PIPE_36</v>
      </c>
      <c r="T34" s="33" t="s">
        <v>66</v>
      </c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40"/>
      <c r="P35" s="40"/>
      <c r="Q35" s="7"/>
      <c r="R35" s="33"/>
      <c r="S35" s="7"/>
      <c r="T35" s="33"/>
      <c r="U35" s="7"/>
      <c r="V35" s="7"/>
    </row>
    <row r="36" spans="1:22" x14ac:dyDescent="0.25">
      <c r="A36" s="7" t="s">
        <v>7</v>
      </c>
      <c r="B36" s="7" t="s">
        <v>7</v>
      </c>
      <c r="C36" s="32" t="s">
        <v>7</v>
      </c>
      <c r="D36" s="7" t="str">
        <f t="shared" si="1"/>
        <v>PIPE_36</v>
      </c>
      <c r="E36" s="7"/>
      <c r="F36" s="33">
        <v>1</v>
      </c>
      <c r="G36" s="34">
        <v>0</v>
      </c>
      <c r="H36" s="34">
        <v>270</v>
      </c>
      <c r="I36" s="34">
        <v>0</v>
      </c>
      <c r="J36" s="31">
        <v>0</v>
      </c>
      <c r="K36" s="31">
        <v>0</v>
      </c>
      <c r="L36" s="31">
        <v>0</v>
      </c>
      <c r="M36" s="35">
        <v>100</v>
      </c>
      <c r="N36" s="35">
        <v>3.05</v>
      </c>
      <c r="O36" s="40">
        <v>1.5</v>
      </c>
      <c r="P36" s="40"/>
      <c r="Q36" s="7"/>
      <c r="R36" s="33"/>
      <c r="S36" s="7"/>
      <c r="T36" s="33"/>
      <c r="U36" s="7"/>
      <c r="V36" s="7"/>
    </row>
    <row r="37" spans="1:22" x14ac:dyDescent="0.25">
      <c r="A37" s="7" t="s">
        <v>7</v>
      </c>
      <c r="B37" s="7" t="s">
        <v>7</v>
      </c>
      <c r="C37" s="32" t="s">
        <v>7</v>
      </c>
      <c r="D37" s="7" t="str">
        <f t="shared" si="1"/>
        <v>PIPE_37</v>
      </c>
      <c r="E37" s="7"/>
      <c r="F37" s="33">
        <v>1</v>
      </c>
      <c r="G37" s="34">
        <v>-90</v>
      </c>
      <c r="H37" s="34">
        <v>0</v>
      </c>
      <c r="I37" s="34">
        <v>0</v>
      </c>
      <c r="J37" s="31">
        <v>0</v>
      </c>
      <c r="K37" s="31">
        <v>0</v>
      </c>
      <c r="L37" s="31">
        <v>0</v>
      </c>
      <c r="M37" s="35">
        <v>100</v>
      </c>
      <c r="N37" s="35">
        <v>3.05</v>
      </c>
      <c r="O37" s="40">
        <v>1.5</v>
      </c>
      <c r="P37" s="40"/>
      <c r="Q37" s="7"/>
      <c r="R37" s="33"/>
      <c r="S37" s="7"/>
      <c r="T37" s="33"/>
      <c r="U37" s="7"/>
      <c r="V37" s="7"/>
    </row>
    <row r="38" spans="1:22" x14ac:dyDescent="0.25">
      <c r="A38" s="7" t="s">
        <v>7</v>
      </c>
      <c r="B38" s="7" t="s">
        <v>7</v>
      </c>
      <c r="C38" s="32" t="s">
        <v>7</v>
      </c>
      <c r="D38" s="7" t="str">
        <f t="shared" si="1"/>
        <v>PIPE_38</v>
      </c>
      <c r="E38" s="7"/>
      <c r="F38" s="33">
        <v>2</v>
      </c>
      <c r="G38" s="34">
        <v>0</v>
      </c>
      <c r="H38" s="34">
        <v>0</v>
      </c>
      <c r="I38" s="34">
        <v>0</v>
      </c>
      <c r="J38" s="31">
        <v>0</v>
      </c>
      <c r="K38" s="31">
        <v>0</v>
      </c>
      <c r="L38" s="31">
        <v>0</v>
      </c>
      <c r="M38" s="35">
        <v>100</v>
      </c>
      <c r="N38" s="35">
        <v>3.05</v>
      </c>
      <c r="O38" s="40">
        <v>1.5</v>
      </c>
      <c r="P38" s="40"/>
      <c r="Q38" s="7"/>
      <c r="R38" s="33"/>
      <c r="S38" s="7"/>
      <c r="T38" s="33"/>
      <c r="U38" s="7"/>
      <c r="V38" s="7"/>
    </row>
    <row r="39" spans="1:22" x14ac:dyDescent="0.25">
      <c r="A39" s="7" t="s">
        <v>7</v>
      </c>
      <c r="B39" s="7" t="s">
        <v>7</v>
      </c>
      <c r="C39" s="32" t="s">
        <v>7</v>
      </c>
      <c r="D39" s="7" t="str">
        <f t="shared" si="1"/>
        <v>PIPE_39</v>
      </c>
      <c r="E39" s="7"/>
      <c r="F39" s="33">
        <v>0.3</v>
      </c>
      <c r="G39" s="34">
        <v>-90</v>
      </c>
      <c r="H39" s="34">
        <v>0</v>
      </c>
      <c r="I39" s="34">
        <v>0</v>
      </c>
      <c r="J39" s="31">
        <v>0</v>
      </c>
      <c r="K39" s="31">
        <v>0</v>
      </c>
      <c r="L39" s="31">
        <v>0</v>
      </c>
      <c r="M39" s="35">
        <v>100</v>
      </c>
      <c r="N39" s="35">
        <v>3.05</v>
      </c>
      <c r="O39" s="40">
        <v>1.5</v>
      </c>
      <c r="P39" s="40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32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40"/>
      <c r="P40" s="40"/>
      <c r="Q40" s="7"/>
      <c r="R40" s="33"/>
      <c r="S40" s="7"/>
      <c r="T40" s="33"/>
      <c r="U40" s="7"/>
      <c r="V40" s="7"/>
    </row>
    <row r="41" spans="1:22" x14ac:dyDescent="0.25">
      <c r="A41" s="7" t="s">
        <v>88</v>
      </c>
      <c r="B41" s="7" t="s">
        <v>11</v>
      </c>
      <c r="C41" s="32" t="s">
        <v>11</v>
      </c>
      <c r="D41" s="7" t="str">
        <f>CONCATENATE("COMP_",ROW())</f>
        <v>COMP_41</v>
      </c>
      <c r="E41" s="7"/>
      <c r="F41" s="33">
        <v>0</v>
      </c>
      <c r="G41" s="34">
        <v>0</v>
      </c>
      <c r="H41" s="34">
        <v>0</v>
      </c>
      <c r="I41" s="34">
        <v>0</v>
      </c>
      <c r="J41" s="31">
        <v>1</v>
      </c>
      <c r="K41" s="31">
        <v>0</v>
      </c>
      <c r="L41" s="31">
        <v>0</v>
      </c>
      <c r="M41" s="35"/>
      <c r="N41" s="35"/>
      <c r="O41" s="40"/>
      <c r="P41" s="40"/>
      <c r="Q41" s="7" t="str">
        <f ca="1">OFFSET($A$1,ROW()-3,3)</f>
        <v>PIPE_39</v>
      </c>
      <c r="R41" s="33" t="s">
        <v>67</v>
      </c>
      <c r="S41" s="7" t="str">
        <f ca="1">OFFSET($A$1,ROW()+1,3)</f>
        <v>VOL_43</v>
      </c>
      <c r="T41" s="33" t="s">
        <v>66</v>
      </c>
      <c r="U41" s="7"/>
      <c r="V41" s="7"/>
    </row>
    <row r="42" spans="1:22" x14ac:dyDescent="0.25">
      <c r="A42" s="7"/>
      <c r="B42" s="7"/>
      <c r="C42" s="32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40"/>
      <c r="P42" s="40"/>
      <c r="Q42" s="7"/>
      <c r="R42" s="33"/>
      <c r="S42" s="7"/>
      <c r="T42" s="33"/>
      <c r="U42" s="7"/>
      <c r="V42" s="7"/>
    </row>
    <row r="43" spans="1:22" x14ac:dyDescent="0.25">
      <c r="A43" s="7" t="s">
        <v>50</v>
      </c>
      <c r="B43" s="7" t="s">
        <v>23</v>
      </c>
      <c r="C43" s="32" t="s">
        <v>86</v>
      </c>
      <c r="D43" s="7" t="str">
        <f>CONCATENATE("VOL_",ROW())</f>
        <v>VOL_43</v>
      </c>
      <c r="E43" s="7"/>
      <c r="F43" s="33">
        <v>1</v>
      </c>
      <c r="G43" s="34">
        <v>-90</v>
      </c>
      <c r="H43" s="34">
        <v>0</v>
      </c>
      <c r="I43" s="34">
        <v>0</v>
      </c>
      <c r="J43" s="31">
        <v>0</v>
      </c>
      <c r="K43" s="31">
        <v>0</v>
      </c>
      <c r="L43" s="31">
        <v>0</v>
      </c>
      <c r="M43" s="35">
        <v>3000</v>
      </c>
      <c r="N43" s="35">
        <v>7</v>
      </c>
      <c r="O43" s="40"/>
      <c r="P43" s="40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32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40"/>
      <c r="P44" s="40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32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40"/>
      <c r="P45" s="40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32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40"/>
      <c r="P46" s="40"/>
      <c r="Q46" s="7"/>
      <c r="R46" s="33"/>
      <c r="S46" s="7"/>
      <c r="T46" s="33"/>
      <c r="U46" s="7"/>
      <c r="V46" s="7"/>
    </row>
    <row r="47" spans="1:22" x14ac:dyDescent="0.25">
      <c r="A47" s="7" t="s">
        <v>28</v>
      </c>
      <c r="B47" s="7" t="s">
        <v>85</v>
      </c>
      <c r="C47" s="32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40"/>
      <c r="P47" s="40"/>
      <c r="Q47" s="7"/>
      <c r="R47" s="33"/>
      <c r="S47" s="7"/>
      <c r="T47" s="33"/>
      <c r="U47" s="7"/>
      <c r="V47" s="7"/>
    </row>
    <row r="48" spans="1:22" x14ac:dyDescent="0.25">
      <c r="A48" s="7" t="s">
        <v>88</v>
      </c>
      <c r="B48" s="7" t="s">
        <v>11</v>
      </c>
      <c r="C48" s="32" t="s">
        <v>22</v>
      </c>
      <c r="D48" s="7" t="str">
        <f>CONCATENATE("COMP_",ROW())</f>
        <v>COMP_48</v>
      </c>
      <c r="E48" s="7"/>
      <c r="F48" s="33">
        <v>0</v>
      </c>
      <c r="G48" s="34">
        <v>0</v>
      </c>
      <c r="H48" s="34">
        <v>0</v>
      </c>
      <c r="I48" s="34">
        <v>0</v>
      </c>
      <c r="J48" s="31">
        <v>0</v>
      </c>
      <c r="K48" s="31">
        <v>0</v>
      </c>
      <c r="L48" s="31">
        <v>0</v>
      </c>
      <c r="M48" s="35">
        <v>97.93</v>
      </c>
      <c r="N48" s="35">
        <v>2.02</v>
      </c>
      <c r="O48" s="40"/>
      <c r="P48" s="40"/>
      <c r="Q48" s="7" t="str">
        <f>D32</f>
        <v>PIPE_32</v>
      </c>
      <c r="R48" s="33">
        <v>0.5</v>
      </c>
      <c r="S48" s="7" t="str">
        <f ca="1">OFFSET($A$1,ROW()+1,3)</f>
        <v>PIPE_50</v>
      </c>
      <c r="T48" s="33" t="s">
        <v>66</v>
      </c>
      <c r="U48" s="7"/>
      <c r="V48" s="7"/>
    </row>
    <row r="49" spans="1:22" x14ac:dyDescent="0.25">
      <c r="A49" s="7"/>
      <c r="B49" s="7"/>
      <c r="C49" s="32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40"/>
      <c r="P49" s="40"/>
      <c r="Q49" s="7"/>
      <c r="R49" s="33"/>
      <c r="S49" s="7"/>
      <c r="T49" s="33"/>
      <c r="U49" s="7"/>
      <c r="V49" s="7"/>
    </row>
    <row r="50" spans="1:22" x14ac:dyDescent="0.25">
      <c r="A50" s="7" t="s">
        <v>7</v>
      </c>
      <c r="B50" s="7" t="s">
        <v>7</v>
      </c>
      <c r="C50" s="32" t="s">
        <v>7</v>
      </c>
      <c r="D50" s="7" t="str">
        <f t="shared" ref="D50:D56" si="2">CONCATENATE("PIPE_",ROW())</f>
        <v>PIPE_50</v>
      </c>
      <c r="E50" s="7"/>
      <c r="F50" s="33">
        <v>0.7</v>
      </c>
      <c r="G50" s="34">
        <v>0</v>
      </c>
      <c r="H50" s="34">
        <v>180</v>
      </c>
      <c r="I50" s="34">
        <v>0</v>
      </c>
      <c r="J50" s="31">
        <v>0</v>
      </c>
      <c r="K50" s="31">
        <v>0</v>
      </c>
      <c r="L50" s="31">
        <v>0</v>
      </c>
      <c r="M50" s="35">
        <v>100</v>
      </c>
      <c r="N50" s="35">
        <v>3.05</v>
      </c>
      <c r="O50" s="40">
        <v>1.5</v>
      </c>
      <c r="P50" s="40"/>
      <c r="Q50" s="7"/>
      <c r="R50" s="33"/>
      <c r="S50" s="7"/>
      <c r="T50" s="33"/>
      <c r="U50" s="7"/>
      <c r="V50" s="7"/>
    </row>
    <row r="51" spans="1:22" x14ac:dyDescent="0.25">
      <c r="A51" s="7" t="s">
        <v>7</v>
      </c>
      <c r="B51" s="7" t="s">
        <v>7</v>
      </c>
      <c r="C51" s="32" t="s">
        <v>7</v>
      </c>
      <c r="D51" s="7" t="str">
        <f t="shared" si="2"/>
        <v>PIPE_51</v>
      </c>
      <c r="E51" s="7"/>
      <c r="F51" s="33">
        <v>0.5</v>
      </c>
      <c r="G51" s="34">
        <v>0</v>
      </c>
      <c r="H51" s="34">
        <v>270</v>
      </c>
      <c r="I51" s="34">
        <v>0</v>
      </c>
      <c r="J51" s="31">
        <v>0</v>
      </c>
      <c r="K51" s="31">
        <v>0</v>
      </c>
      <c r="L51" s="31">
        <v>0</v>
      </c>
      <c r="M51" s="35">
        <v>100</v>
      </c>
      <c r="N51" s="35">
        <v>3.05</v>
      </c>
      <c r="O51" s="40">
        <v>1.5</v>
      </c>
      <c r="P51" s="40"/>
      <c r="Q51" s="7"/>
      <c r="R51" s="33"/>
      <c r="S51" s="7"/>
      <c r="T51" s="33"/>
      <c r="U51" s="7"/>
      <c r="V51" s="7"/>
    </row>
    <row r="52" spans="1:22" x14ac:dyDescent="0.25">
      <c r="A52" s="7"/>
      <c r="B52" s="7"/>
      <c r="C52" s="32"/>
      <c r="D52" s="7"/>
      <c r="E52" s="7"/>
      <c r="F52" s="33"/>
      <c r="G52" s="34"/>
      <c r="H52" s="34"/>
      <c r="I52" s="34"/>
      <c r="J52" s="31"/>
      <c r="K52" s="31"/>
      <c r="L52" s="31"/>
      <c r="M52" s="35"/>
      <c r="N52" s="35"/>
      <c r="O52" s="40"/>
      <c r="P52" s="40"/>
      <c r="Q52" s="7"/>
      <c r="R52" s="33"/>
      <c r="S52" s="7"/>
      <c r="T52" s="33"/>
      <c r="U52" s="7"/>
      <c r="V52" s="7"/>
    </row>
    <row r="53" spans="1:22" x14ac:dyDescent="0.25">
      <c r="A53" s="7" t="s">
        <v>88</v>
      </c>
      <c r="B53" s="7" t="s">
        <v>10</v>
      </c>
      <c r="C53" s="32" t="s">
        <v>87</v>
      </c>
      <c r="D53" s="7" t="str">
        <f>CONCATENATE("COMP_",ROW())</f>
        <v>COMP_53</v>
      </c>
      <c r="E53" s="7"/>
      <c r="F53" s="33">
        <v>0.2</v>
      </c>
      <c r="G53" s="34">
        <v>0</v>
      </c>
      <c r="H53" s="34">
        <v>270</v>
      </c>
      <c r="I53" s="34">
        <v>0</v>
      </c>
      <c r="J53" s="31">
        <v>0</v>
      </c>
      <c r="K53" s="31">
        <v>0</v>
      </c>
      <c r="L53" s="31">
        <v>0</v>
      </c>
      <c r="M53" s="35">
        <v>100</v>
      </c>
      <c r="N53" s="35">
        <v>3.05</v>
      </c>
      <c r="O53" s="40"/>
      <c r="P53" s="40"/>
      <c r="Q53" s="7" t="str">
        <f ca="1">OFFSET($A$1,ROW()-3,3)</f>
        <v>PIPE_51</v>
      </c>
      <c r="R53" s="33" t="s">
        <v>67</v>
      </c>
      <c r="S53" s="7" t="str">
        <f ca="1">OFFSET($A$1,ROW()+1,3)</f>
        <v>PIPE_55</v>
      </c>
      <c r="T53" s="33" t="s">
        <v>66</v>
      </c>
      <c r="U53" s="7"/>
      <c r="V53" s="7"/>
    </row>
    <row r="54" spans="1:22" x14ac:dyDescent="0.25">
      <c r="A54" s="7"/>
      <c r="B54" s="7"/>
      <c r="C54" s="32"/>
      <c r="D54" s="7"/>
      <c r="E54" s="7"/>
      <c r="F54" s="33"/>
      <c r="G54" s="34"/>
      <c r="H54" s="34"/>
      <c r="I54" s="34"/>
      <c r="J54" s="31"/>
      <c r="K54" s="31"/>
      <c r="L54" s="31"/>
      <c r="M54" s="35"/>
      <c r="N54" s="35"/>
      <c r="O54" s="40"/>
      <c r="P54" s="40"/>
      <c r="Q54" s="7"/>
      <c r="R54" s="33"/>
      <c r="S54" s="7"/>
      <c r="T54" s="33"/>
      <c r="U54" s="7"/>
      <c r="V54" s="7"/>
    </row>
    <row r="55" spans="1:22" x14ac:dyDescent="0.25">
      <c r="A55" s="7" t="s">
        <v>7</v>
      </c>
      <c r="B55" s="7" t="s">
        <v>7</v>
      </c>
      <c r="C55" s="32" t="s">
        <v>7</v>
      </c>
      <c r="D55" s="7" t="str">
        <f t="shared" si="2"/>
        <v>PIPE_55</v>
      </c>
      <c r="E55" s="7"/>
      <c r="F55" s="33">
        <v>0.5</v>
      </c>
      <c r="G55" s="34">
        <v>0</v>
      </c>
      <c r="H55" s="34">
        <v>270</v>
      </c>
      <c r="I55" s="34">
        <v>0</v>
      </c>
      <c r="J55" s="31">
        <v>0</v>
      </c>
      <c r="K55" s="31">
        <v>0</v>
      </c>
      <c r="L55" s="31">
        <v>0</v>
      </c>
      <c r="M55" s="35">
        <v>100</v>
      </c>
      <c r="N55" s="35">
        <v>3.05</v>
      </c>
      <c r="O55" s="40">
        <v>1.5</v>
      </c>
      <c r="P55" s="40"/>
      <c r="Q55" s="7"/>
      <c r="R55" s="33"/>
      <c r="S55" s="7"/>
      <c r="T55" s="33"/>
      <c r="U55" s="7"/>
      <c r="V55" s="7"/>
    </row>
    <row r="56" spans="1:22" x14ac:dyDescent="0.25">
      <c r="A56" s="7" t="s">
        <v>7</v>
      </c>
      <c r="B56" s="7" t="s">
        <v>7</v>
      </c>
      <c r="C56" s="32" t="s">
        <v>7</v>
      </c>
      <c r="D56" s="7" t="str">
        <f t="shared" si="2"/>
        <v>PIPE_56</v>
      </c>
      <c r="E56" s="7"/>
      <c r="F56" s="33">
        <v>0.7</v>
      </c>
      <c r="G56" s="34">
        <v>0</v>
      </c>
      <c r="H56" s="34">
        <v>0</v>
      </c>
      <c r="I56" s="34">
        <v>0</v>
      </c>
      <c r="J56" s="31">
        <v>0</v>
      </c>
      <c r="K56" s="31">
        <v>0</v>
      </c>
      <c r="L56" s="31">
        <v>0</v>
      </c>
      <c r="M56" s="35">
        <v>100</v>
      </c>
      <c r="N56" s="35">
        <v>3.05</v>
      </c>
      <c r="O56" s="40">
        <v>1.5</v>
      </c>
      <c r="P56" s="40"/>
      <c r="Q56" s="7"/>
      <c r="R56" s="33"/>
      <c r="S56" s="7"/>
      <c r="T56" s="33"/>
      <c r="U56" s="7"/>
      <c r="V56" s="7"/>
    </row>
    <row r="57" spans="1:22" x14ac:dyDescent="0.25">
      <c r="A57" s="7"/>
      <c r="B57" s="7"/>
      <c r="C57" s="32"/>
      <c r="D57" s="7"/>
      <c r="E57" s="7"/>
      <c r="F57" s="33"/>
      <c r="G57" s="34"/>
      <c r="H57" s="34"/>
      <c r="I57" s="34"/>
      <c r="J57" s="31"/>
      <c r="K57" s="31"/>
      <c r="L57" s="31"/>
      <c r="M57" s="35"/>
      <c r="N57" s="35"/>
      <c r="O57" s="40"/>
      <c r="P57" s="40"/>
      <c r="Q57" s="7"/>
      <c r="R57" s="33"/>
      <c r="S57" s="7"/>
      <c r="T57" s="33"/>
      <c r="U57" s="7"/>
      <c r="V57" s="7"/>
    </row>
    <row r="58" spans="1:22" x14ac:dyDescent="0.25">
      <c r="A58" s="7" t="s">
        <v>88</v>
      </c>
      <c r="B58" s="7" t="s">
        <v>11</v>
      </c>
      <c r="C58" s="32" t="s">
        <v>22</v>
      </c>
      <c r="D58" s="7" t="str">
        <f>CONCATENATE("COMP_",ROW())</f>
        <v>COMP_58</v>
      </c>
      <c r="E58" s="7"/>
      <c r="F58" s="33">
        <v>0</v>
      </c>
      <c r="G58" s="34">
        <v>0</v>
      </c>
      <c r="H58" s="34">
        <v>0</v>
      </c>
      <c r="I58" s="34">
        <v>0</v>
      </c>
      <c r="J58" s="31">
        <v>0</v>
      </c>
      <c r="K58" s="31">
        <v>0</v>
      </c>
      <c r="L58" s="31">
        <v>0</v>
      </c>
      <c r="M58" s="35">
        <v>97.93</v>
      </c>
      <c r="N58" s="35">
        <v>2.02</v>
      </c>
      <c r="O58" s="40"/>
      <c r="P58" s="40"/>
      <c r="Q58" s="7" t="str">
        <f ca="1">OFFSET($A$1,ROW()-3,3)</f>
        <v>PIPE_56</v>
      </c>
      <c r="R58" s="33" t="s">
        <v>67</v>
      </c>
      <c r="S58" s="7" t="str">
        <f>D36</f>
        <v>PIPE_36</v>
      </c>
      <c r="T58" s="33">
        <v>0.5</v>
      </c>
      <c r="U58" s="7"/>
      <c r="V58" s="7"/>
    </row>
    <row r="59" spans="1:22" x14ac:dyDescent="0.25">
      <c r="A59" s="7"/>
      <c r="B59" s="7"/>
      <c r="C59" s="32"/>
      <c r="D59" s="7"/>
      <c r="E59" s="7"/>
      <c r="F59" s="33"/>
      <c r="G59" s="34"/>
      <c r="H59" s="34"/>
      <c r="I59" s="34"/>
      <c r="J59" s="31"/>
      <c r="K59" s="31"/>
      <c r="L59" s="31"/>
      <c r="M59" s="35"/>
      <c r="N59" s="35"/>
      <c r="O59" s="40"/>
      <c r="P59" s="40"/>
      <c r="Q59" s="7"/>
      <c r="R59" s="33"/>
      <c r="S59" s="7"/>
      <c r="T59" s="33"/>
      <c r="U59" s="7"/>
      <c r="V59" s="7"/>
    </row>
    <row r="60" spans="1:22" x14ac:dyDescent="0.25">
      <c r="A60" s="7"/>
      <c r="B60" s="7"/>
      <c r="C60" s="32"/>
      <c r="D60" s="7"/>
      <c r="E60" s="7"/>
      <c r="F60" s="33"/>
      <c r="G60" s="34"/>
      <c r="H60" s="34"/>
      <c r="I60" s="34"/>
      <c r="J60" s="31"/>
      <c r="K60" s="31"/>
      <c r="L60" s="31"/>
      <c r="M60" s="35"/>
      <c r="N60" s="35"/>
      <c r="O60" s="40"/>
      <c r="P60" s="40"/>
      <c r="Q60" s="7"/>
      <c r="R60" s="33"/>
      <c r="S60" s="7"/>
      <c r="T60" s="33"/>
      <c r="U60" s="7"/>
      <c r="V60" s="7"/>
    </row>
    <row r="61" spans="1:22" x14ac:dyDescent="0.25">
      <c r="A61" s="7"/>
      <c r="B61" s="7"/>
      <c r="C61" s="32"/>
      <c r="D61" s="7"/>
      <c r="E61" s="7"/>
      <c r="F61" s="33"/>
      <c r="G61" s="34"/>
      <c r="H61" s="34"/>
      <c r="I61" s="34"/>
      <c r="J61" s="31"/>
      <c r="K61" s="31"/>
      <c r="L61" s="31"/>
      <c r="M61" s="35"/>
      <c r="N61" s="35"/>
      <c r="O61" s="40"/>
      <c r="P61" s="40"/>
      <c r="Q61" s="7"/>
      <c r="R61" s="33"/>
      <c r="S61" s="7"/>
      <c r="T61" s="33"/>
      <c r="U61" s="7"/>
      <c r="V61" s="7"/>
    </row>
    <row r="62" spans="1:22" x14ac:dyDescent="0.25">
      <c r="A62" s="7"/>
      <c r="B62" s="7"/>
      <c r="C62" s="32"/>
      <c r="D62" s="7"/>
      <c r="E62" s="7"/>
      <c r="F62" s="33"/>
      <c r="G62" s="34"/>
      <c r="H62" s="34"/>
      <c r="I62" s="34"/>
      <c r="J62" s="31"/>
      <c r="K62" s="31"/>
      <c r="L62" s="31"/>
      <c r="M62" s="35"/>
      <c r="N62" s="35"/>
      <c r="O62" s="40"/>
      <c r="P62" s="40"/>
      <c r="Q62" s="7"/>
      <c r="R62" s="33"/>
      <c r="S62" s="7"/>
      <c r="T62" s="33"/>
      <c r="U62" s="7"/>
      <c r="V62" s="7"/>
    </row>
    <row r="63" spans="1:22" x14ac:dyDescent="0.25">
      <c r="A63" s="7"/>
      <c r="B63" s="7"/>
      <c r="C63" s="32"/>
      <c r="D63" s="7"/>
      <c r="E63" s="7"/>
      <c r="F63" s="33"/>
      <c r="G63" s="34"/>
      <c r="H63" s="34"/>
      <c r="I63" s="34"/>
      <c r="J63" s="31"/>
      <c r="K63" s="31"/>
      <c r="L63" s="31"/>
      <c r="M63" s="35"/>
      <c r="N63" s="35"/>
      <c r="O63" s="40"/>
      <c r="P63" s="40"/>
      <c r="Q63" s="7"/>
      <c r="R63" s="33"/>
      <c r="S63" s="7"/>
      <c r="T63" s="33"/>
      <c r="U63" s="7"/>
      <c r="V63" s="7"/>
    </row>
    <row r="64" spans="1:22" x14ac:dyDescent="0.25">
      <c r="A64" s="7"/>
      <c r="B64" s="7"/>
      <c r="C64" s="32"/>
      <c r="D64" s="7"/>
      <c r="E64" s="7"/>
      <c r="F64" s="33"/>
      <c r="G64" s="34"/>
      <c r="H64" s="34"/>
      <c r="I64" s="34"/>
      <c r="J64" s="31"/>
      <c r="K64" s="31"/>
      <c r="L64" s="31"/>
      <c r="M64" s="35"/>
      <c r="N64" s="35"/>
      <c r="O64" s="40"/>
      <c r="P64" s="40"/>
      <c r="Q64" s="7"/>
      <c r="R64" s="33"/>
      <c r="S64" s="7"/>
      <c r="T64" s="33"/>
      <c r="U64" s="7"/>
      <c r="V64" s="7"/>
    </row>
    <row r="65" spans="1:22" x14ac:dyDescent="0.25">
      <c r="A65" s="7"/>
      <c r="B65" s="7"/>
      <c r="C65" s="32"/>
      <c r="D65" s="7"/>
      <c r="E65" s="7"/>
      <c r="F65" s="33"/>
      <c r="G65" s="34"/>
      <c r="H65" s="34"/>
      <c r="I65" s="34"/>
      <c r="J65" s="31"/>
      <c r="K65" s="31"/>
      <c r="L65" s="31"/>
      <c r="M65" s="35"/>
      <c r="N65" s="35"/>
      <c r="O65" s="40"/>
      <c r="P65" s="40"/>
      <c r="Q65" s="7"/>
      <c r="R65" s="33"/>
      <c r="S65" s="7"/>
      <c r="T65" s="33"/>
      <c r="U65" s="7"/>
      <c r="V65" s="7"/>
    </row>
    <row r="66" spans="1:22" x14ac:dyDescent="0.25">
      <c r="A66" s="7"/>
      <c r="B66" s="7"/>
      <c r="C66" s="32"/>
      <c r="D66" s="7"/>
      <c r="E66" s="7"/>
      <c r="F66" s="33"/>
      <c r="G66" s="34"/>
      <c r="H66" s="34"/>
      <c r="I66" s="34"/>
      <c r="J66" s="31"/>
      <c r="K66" s="31"/>
      <c r="L66" s="31"/>
      <c r="M66" s="35"/>
      <c r="N66" s="35"/>
      <c r="O66" s="40"/>
      <c r="P66" s="40"/>
      <c r="Q66" s="7"/>
      <c r="R66" s="33"/>
      <c r="S66" s="7"/>
      <c r="T66" s="33"/>
      <c r="U66" s="7"/>
      <c r="V66" s="7"/>
    </row>
    <row r="67" spans="1:22" x14ac:dyDescent="0.25">
      <c r="A67" s="7"/>
      <c r="B67" s="7"/>
      <c r="C67" s="32"/>
      <c r="D67" s="7"/>
      <c r="E67" s="7"/>
      <c r="F67" s="33"/>
      <c r="G67" s="34"/>
      <c r="H67" s="34"/>
      <c r="I67" s="34"/>
      <c r="J67" s="31"/>
      <c r="K67" s="31"/>
      <c r="L67" s="31"/>
      <c r="M67" s="35"/>
      <c r="N67" s="35"/>
      <c r="O67" s="40"/>
      <c r="P67" s="40"/>
      <c r="Q67" s="7"/>
      <c r="R67" s="33"/>
      <c r="S67" s="7"/>
      <c r="T67" s="33"/>
      <c r="U67" s="7"/>
      <c r="V67" s="7"/>
    </row>
    <row r="68" spans="1:22" x14ac:dyDescent="0.25">
      <c r="A68" s="7"/>
      <c r="B68" s="7"/>
      <c r="C68" s="32"/>
      <c r="D68" s="7"/>
      <c r="E68" s="7"/>
      <c r="F68" s="33"/>
      <c r="G68" s="34"/>
      <c r="H68" s="34"/>
      <c r="I68" s="34"/>
      <c r="J68" s="31"/>
      <c r="K68" s="31"/>
      <c r="L68" s="31"/>
      <c r="M68" s="35"/>
      <c r="N68" s="35"/>
      <c r="O68" s="40"/>
      <c r="P68" s="40"/>
      <c r="Q68" s="7"/>
      <c r="R68" s="33"/>
      <c r="S68" s="7"/>
      <c r="T68" s="33"/>
      <c r="U68" s="7"/>
      <c r="V68" s="7"/>
    </row>
    <row r="69" spans="1:22" x14ac:dyDescent="0.25">
      <c r="A69" s="7"/>
      <c r="B69" s="7"/>
      <c r="C69" s="32"/>
      <c r="D69" s="7"/>
      <c r="E69" s="7"/>
      <c r="F69" s="33"/>
      <c r="G69" s="34"/>
      <c r="H69" s="34"/>
      <c r="I69" s="34"/>
      <c r="J69" s="31"/>
      <c r="K69" s="31"/>
      <c r="L69" s="31"/>
      <c r="M69" s="35"/>
      <c r="N69" s="35"/>
      <c r="O69" s="40"/>
      <c r="P69" s="40"/>
      <c r="Q69" s="7"/>
      <c r="R69" s="33"/>
      <c r="S69" s="7"/>
      <c r="T69" s="33"/>
      <c r="U69" s="7"/>
      <c r="V69" s="7"/>
    </row>
    <row r="70" spans="1:22" x14ac:dyDescent="0.25">
      <c r="A70" s="7"/>
      <c r="B70" s="7"/>
      <c r="C70" s="32"/>
      <c r="D70" s="7"/>
      <c r="E70" s="7"/>
      <c r="F70" s="33"/>
      <c r="G70" s="34"/>
      <c r="H70" s="34"/>
      <c r="I70" s="34"/>
      <c r="J70" s="31"/>
      <c r="K70" s="31"/>
      <c r="L70" s="31"/>
      <c r="M70" s="35"/>
      <c r="N70" s="35"/>
      <c r="O70" s="40"/>
      <c r="P70" s="40"/>
      <c r="Q70" s="7"/>
      <c r="R70" s="33"/>
      <c r="S70" s="7"/>
      <c r="T70" s="33"/>
      <c r="U70" s="7"/>
      <c r="V70" s="7"/>
    </row>
    <row r="71" spans="1:22" x14ac:dyDescent="0.25">
      <c r="A71" s="7"/>
      <c r="B71" s="7"/>
      <c r="C71" s="32"/>
      <c r="D71" s="7"/>
      <c r="E71" s="7"/>
      <c r="F71" s="33"/>
      <c r="G71" s="34"/>
      <c r="H71" s="34"/>
      <c r="I71" s="34"/>
      <c r="J71" s="31"/>
      <c r="K71" s="31"/>
      <c r="L71" s="31"/>
      <c r="M71" s="35"/>
      <c r="N71" s="35"/>
      <c r="O71" s="40"/>
      <c r="P71" s="40"/>
      <c r="Q71" s="7"/>
      <c r="R71" s="33"/>
      <c r="S71" s="7"/>
      <c r="T71" s="33"/>
      <c r="U71" s="7"/>
      <c r="V71" s="7"/>
    </row>
    <row r="72" spans="1:22" x14ac:dyDescent="0.25">
      <c r="A72" s="7"/>
      <c r="B72" s="7"/>
      <c r="C72" s="32"/>
      <c r="D72" s="7"/>
      <c r="E72" s="7"/>
      <c r="F72" s="33"/>
      <c r="G72" s="34"/>
      <c r="H72" s="34"/>
      <c r="I72" s="34"/>
      <c r="J72" s="31"/>
      <c r="K72" s="31"/>
      <c r="L72" s="31"/>
      <c r="M72" s="35"/>
      <c r="N72" s="35"/>
      <c r="O72" s="40"/>
      <c r="P72" s="40"/>
      <c r="Q72" s="7"/>
      <c r="R72" s="33"/>
      <c r="S72" s="7"/>
      <c r="T72" s="33"/>
      <c r="U72" s="7"/>
      <c r="V72" s="7"/>
    </row>
    <row r="73" spans="1:22" x14ac:dyDescent="0.25">
      <c r="A73" s="7"/>
      <c r="B73" s="7"/>
      <c r="C73" s="32"/>
      <c r="D73" s="7"/>
      <c r="E73" s="7"/>
      <c r="F73" s="33"/>
      <c r="G73" s="34"/>
      <c r="H73" s="34"/>
      <c r="I73" s="34"/>
      <c r="J73" s="31"/>
      <c r="K73" s="31"/>
      <c r="L73" s="31"/>
      <c r="M73" s="35"/>
      <c r="N73" s="35"/>
      <c r="O73" s="40"/>
      <c r="P73" s="40"/>
      <c r="Q73" s="7"/>
      <c r="R73" s="33"/>
      <c r="S73" s="7"/>
      <c r="T73" s="33"/>
      <c r="U73" s="7"/>
      <c r="V73" s="7"/>
    </row>
    <row r="74" spans="1:22" x14ac:dyDescent="0.25">
      <c r="A74" s="7"/>
      <c r="B74" s="7"/>
      <c r="C74" s="32"/>
      <c r="D74" s="7"/>
      <c r="E74" s="7"/>
      <c r="F74" s="33"/>
      <c r="G74" s="34"/>
      <c r="H74" s="34"/>
      <c r="I74" s="34"/>
      <c r="J74" s="31"/>
      <c r="K74" s="31"/>
      <c r="L74" s="31"/>
      <c r="M74" s="35"/>
      <c r="N74" s="35"/>
      <c r="O74" s="40"/>
      <c r="P74" s="40"/>
      <c r="Q74" s="7"/>
      <c r="R74" s="33"/>
      <c r="S74" s="7"/>
      <c r="T74" s="33"/>
      <c r="U74" s="7"/>
      <c r="V74" s="7"/>
    </row>
    <row r="75" spans="1:22" x14ac:dyDescent="0.25">
      <c r="A75" s="7"/>
      <c r="B75" s="7"/>
      <c r="C75" s="32"/>
      <c r="D75" s="7"/>
      <c r="E75" s="7"/>
      <c r="F75" s="33"/>
      <c r="G75" s="34"/>
      <c r="H75" s="34"/>
      <c r="I75" s="34"/>
      <c r="J75" s="31"/>
      <c r="K75" s="31"/>
      <c r="L75" s="31"/>
      <c r="M75" s="35"/>
      <c r="N75" s="35"/>
      <c r="O75" s="40"/>
      <c r="P75" s="40"/>
      <c r="Q75" s="7"/>
      <c r="R75" s="33"/>
      <c r="S75" s="7"/>
      <c r="T75" s="33"/>
      <c r="U75" s="7"/>
      <c r="V75" s="7"/>
    </row>
    <row r="76" spans="1:22" x14ac:dyDescent="0.25">
      <c r="A76" s="7"/>
      <c r="B76" s="7"/>
      <c r="C76" s="32"/>
      <c r="D76" s="7"/>
      <c r="E76" s="7"/>
      <c r="F76" s="33"/>
      <c r="G76" s="34"/>
      <c r="H76" s="34"/>
      <c r="I76" s="34"/>
      <c r="J76" s="31"/>
      <c r="K76" s="31"/>
      <c r="L76" s="31"/>
      <c r="M76" s="35"/>
      <c r="N76" s="35"/>
      <c r="O76" s="40"/>
      <c r="P76" s="40"/>
      <c r="Q76" s="7"/>
      <c r="R76" s="33"/>
      <c r="S76" s="7"/>
      <c r="T76" s="33"/>
      <c r="U76" s="7"/>
      <c r="V76" s="7"/>
    </row>
    <row r="77" spans="1:22" x14ac:dyDescent="0.25">
      <c r="A77" s="7"/>
      <c r="B77" s="7"/>
      <c r="C77" s="32"/>
      <c r="D77" s="7"/>
      <c r="E77" s="7"/>
      <c r="F77" s="33"/>
      <c r="G77" s="34"/>
      <c r="H77" s="34"/>
      <c r="I77" s="34"/>
      <c r="J77" s="31"/>
      <c r="K77" s="31"/>
      <c r="L77" s="31"/>
      <c r="M77" s="35"/>
      <c r="N77" s="35"/>
      <c r="O77" s="40"/>
      <c r="P77" s="40"/>
      <c r="Q77" s="7"/>
      <c r="R77" s="33"/>
      <c r="S77" s="7"/>
      <c r="T77" s="33"/>
      <c r="U77" s="7"/>
      <c r="V77" s="7"/>
    </row>
    <row r="78" spans="1:22" x14ac:dyDescent="0.25">
      <c r="A78" s="7"/>
      <c r="B78" s="7"/>
      <c r="C78" s="32"/>
      <c r="D78" s="7"/>
      <c r="E78" s="7"/>
      <c r="F78" s="33"/>
      <c r="G78" s="34"/>
      <c r="H78" s="34"/>
      <c r="I78" s="34"/>
      <c r="J78" s="31"/>
      <c r="K78" s="31"/>
      <c r="L78" s="31"/>
      <c r="M78" s="35"/>
      <c r="N78" s="35"/>
      <c r="O78" s="40"/>
      <c r="P78" s="40"/>
      <c r="Q78" s="7"/>
      <c r="R78" s="33"/>
      <c r="S78" s="7"/>
      <c r="T78" s="33"/>
      <c r="U78" s="7"/>
      <c r="V78" s="7"/>
    </row>
    <row r="79" spans="1:22" x14ac:dyDescent="0.25">
      <c r="A79" s="7"/>
      <c r="B79" s="7"/>
      <c r="C79" s="32"/>
      <c r="D79" s="7"/>
      <c r="E79" s="7"/>
      <c r="F79" s="33"/>
      <c r="G79" s="34"/>
      <c r="H79" s="34"/>
      <c r="I79" s="34"/>
      <c r="J79" s="31"/>
      <c r="K79" s="31"/>
      <c r="L79" s="31"/>
      <c r="M79" s="35"/>
      <c r="N79" s="35"/>
      <c r="O79" s="40"/>
      <c r="P79" s="40"/>
      <c r="Q79" s="7"/>
      <c r="R79" s="33"/>
      <c r="S79" s="7"/>
      <c r="T79" s="33"/>
      <c r="U79" s="7"/>
      <c r="V79" s="7"/>
    </row>
    <row r="80" spans="1:22" x14ac:dyDescent="0.25">
      <c r="A80" s="7"/>
      <c r="B80" s="7"/>
      <c r="C80" s="32"/>
      <c r="D80" s="7"/>
      <c r="E80" s="7"/>
      <c r="F80" s="33"/>
      <c r="G80" s="34"/>
      <c r="H80" s="34"/>
      <c r="I80" s="34"/>
      <c r="J80" s="31"/>
      <c r="K80" s="31"/>
      <c r="L80" s="31"/>
      <c r="M80" s="35"/>
      <c r="N80" s="35"/>
      <c r="O80" s="40"/>
      <c r="P80" s="40"/>
      <c r="Q80" s="7"/>
      <c r="R80" s="33"/>
      <c r="S80" s="7"/>
      <c r="T80" s="33"/>
      <c r="U80" s="7"/>
      <c r="V80" s="7"/>
    </row>
    <row r="81" spans="1:22" x14ac:dyDescent="0.25">
      <c r="A81" s="7"/>
      <c r="B81" s="7"/>
      <c r="C81" s="32"/>
      <c r="D81" s="7"/>
      <c r="E81" s="7"/>
      <c r="F81" s="33"/>
      <c r="G81" s="34"/>
      <c r="H81" s="34"/>
      <c r="I81" s="34"/>
      <c r="J81" s="31"/>
      <c r="K81" s="31"/>
      <c r="L81" s="31"/>
      <c r="M81" s="35"/>
      <c r="N81" s="35"/>
      <c r="O81" s="40"/>
      <c r="P81" s="40"/>
      <c r="Q81" s="7"/>
      <c r="R81" s="33"/>
      <c r="S81" s="7"/>
      <c r="T81" s="33"/>
      <c r="U81" s="7"/>
      <c r="V81" s="7"/>
    </row>
    <row r="82" spans="1:22" x14ac:dyDescent="0.25">
      <c r="A82" s="7"/>
      <c r="B82" s="7"/>
      <c r="C82" s="32"/>
      <c r="D82" s="7"/>
      <c r="E82" s="7"/>
      <c r="F82" s="33"/>
      <c r="G82" s="34"/>
      <c r="H82" s="34"/>
      <c r="I82" s="34"/>
      <c r="J82" s="31"/>
      <c r="K82" s="31"/>
      <c r="L82" s="31"/>
      <c r="M82" s="35"/>
      <c r="N82" s="35"/>
      <c r="O82" s="40"/>
      <c r="P82" s="40"/>
      <c r="Q82" s="7"/>
      <c r="R82" s="33"/>
      <c r="S82" s="7"/>
      <c r="T82" s="33"/>
      <c r="U82" s="7"/>
      <c r="V82" s="7"/>
    </row>
    <row r="83" spans="1:22" x14ac:dyDescent="0.25">
      <c r="A83" s="7"/>
      <c r="B83" s="7"/>
      <c r="C83" s="32"/>
      <c r="D83" s="7"/>
      <c r="E83" s="7"/>
      <c r="F83" s="33"/>
      <c r="G83" s="34"/>
      <c r="H83" s="34"/>
      <c r="I83" s="34"/>
      <c r="J83" s="31"/>
      <c r="K83" s="31"/>
      <c r="L83" s="31"/>
      <c r="M83" s="35"/>
      <c r="N83" s="35"/>
      <c r="O83" s="40"/>
      <c r="P83" s="40"/>
      <c r="Q83" s="7"/>
      <c r="R83" s="33"/>
      <c r="S83" s="7"/>
      <c r="T83" s="33"/>
      <c r="U83" s="7"/>
      <c r="V83" s="7"/>
    </row>
    <row r="84" spans="1:22" x14ac:dyDescent="0.25">
      <c r="A84" s="7"/>
      <c r="B84" s="7"/>
      <c r="C84" s="32"/>
      <c r="D84" s="7"/>
      <c r="E84" s="7"/>
      <c r="F84" s="33"/>
      <c r="G84" s="34"/>
      <c r="H84" s="34"/>
      <c r="I84" s="34"/>
      <c r="J84" s="31"/>
      <c r="K84" s="31"/>
      <c r="L84" s="31"/>
      <c r="M84" s="35"/>
      <c r="N84" s="35"/>
      <c r="O84" s="40"/>
      <c r="P84" s="40"/>
      <c r="Q84" s="7"/>
      <c r="R84" s="33"/>
      <c r="S84" s="7"/>
      <c r="T84" s="33"/>
      <c r="U84" s="7"/>
      <c r="V84" s="7"/>
    </row>
    <row r="85" spans="1:22" x14ac:dyDescent="0.25">
      <c r="A85" s="7"/>
      <c r="B85" s="7"/>
      <c r="C85" s="32"/>
      <c r="D85" s="7"/>
      <c r="E85" s="7"/>
      <c r="F85" s="33"/>
      <c r="G85" s="34"/>
      <c r="H85" s="34"/>
      <c r="I85" s="34"/>
      <c r="J85" s="31"/>
      <c r="K85" s="31"/>
      <c r="L85" s="31"/>
      <c r="M85" s="35"/>
      <c r="N85" s="35"/>
      <c r="O85" s="40"/>
      <c r="P85" s="40"/>
      <c r="Q85" s="7"/>
      <c r="R85" s="33"/>
      <c r="S85" s="7"/>
      <c r="T85" s="33"/>
      <c r="U85" s="7"/>
      <c r="V85" s="7"/>
    </row>
    <row r="86" spans="1:22" x14ac:dyDescent="0.25">
      <c r="A86" s="7"/>
      <c r="B86" s="7"/>
      <c r="C86" s="32"/>
      <c r="D86" s="7"/>
      <c r="E86" s="7"/>
      <c r="F86" s="33"/>
      <c r="G86" s="34"/>
      <c r="H86" s="34"/>
      <c r="I86" s="34"/>
      <c r="J86" s="31"/>
      <c r="K86" s="31"/>
      <c r="L86" s="31"/>
      <c r="M86" s="35"/>
      <c r="N86" s="35"/>
      <c r="O86" s="40"/>
      <c r="P86" s="40"/>
      <c r="Q86" s="7"/>
      <c r="R86" s="33"/>
      <c r="S86" s="7"/>
      <c r="T86" s="33"/>
      <c r="U86" s="7"/>
      <c r="V86" s="7"/>
    </row>
    <row r="87" spans="1:22" x14ac:dyDescent="0.25">
      <c r="A87" s="7"/>
      <c r="B87" s="7"/>
      <c r="C87" s="32"/>
      <c r="D87" s="7"/>
      <c r="E87" s="7"/>
      <c r="F87" s="33"/>
      <c r="G87" s="34"/>
      <c r="H87" s="34"/>
      <c r="I87" s="34"/>
      <c r="J87" s="31"/>
      <c r="K87" s="31"/>
      <c r="L87" s="31"/>
      <c r="M87" s="35"/>
      <c r="N87" s="35"/>
      <c r="O87" s="40"/>
      <c r="P87" s="40"/>
      <c r="Q87" s="7"/>
      <c r="R87" s="33"/>
      <c r="S87" s="7"/>
      <c r="T87" s="33"/>
      <c r="U87" s="7"/>
      <c r="V87" s="7"/>
    </row>
    <row r="88" spans="1:22" x14ac:dyDescent="0.25">
      <c r="A88" s="7"/>
      <c r="B88" s="7"/>
      <c r="C88" s="32"/>
      <c r="D88" s="7"/>
      <c r="E88" s="7"/>
      <c r="F88" s="33"/>
      <c r="G88" s="34"/>
      <c r="H88" s="34"/>
      <c r="I88" s="34"/>
      <c r="J88" s="31"/>
      <c r="K88" s="31"/>
      <c r="L88" s="31"/>
      <c r="M88" s="35"/>
      <c r="N88" s="35"/>
      <c r="O88" s="40"/>
      <c r="P88" s="40"/>
      <c r="Q88" s="7"/>
      <c r="R88" s="33"/>
      <c r="S88" s="7"/>
      <c r="T88" s="33"/>
      <c r="U88" s="7"/>
      <c r="V88" s="7"/>
    </row>
    <row r="89" spans="1:22" x14ac:dyDescent="0.25">
      <c r="A89" s="7"/>
      <c r="B89" s="7"/>
      <c r="C89" s="32"/>
      <c r="D89" s="7"/>
      <c r="E89" s="7"/>
      <c r="F89" s="33"/>
      <c r="G89" s="34"/>
      <c r="H89" s="34"/>
      <c r="I89" s="34"/>
      <c r="J89" s="31"/>
      <c r="K89" s="31"/>
      <c r="L89" s="31"/>
      <c r="M89" s="35"/>
      <c r="N89" s="35"/>
      <c r="O89" s="40"/>
      <c r="P89" s="40"/>
      <c r="Q89" s="7"/>
      <c r="R89" s="33"/>
      <c r="S89" s="7"/>
      <c r="T89" s="33"/>
      <c r="U89" s="7"/>
      <c r="V89" s="7"/>
    </row>
    <row r="90" spans="1:22" x14ac:dyDescent="0.25">
      <c r="A90" s="7"/>
      <c r="B90" s="7"/>
      <c r="C90" s="32"/>
      <c r="D90" s="7"/>
      <c r="E90" s="7"/>
      <c r="F90" s="33"/>
      <c r="G90" s="34"/>
      <c r="H90" s="34"/>
      <c r="I90" s="34"/>
      <c r="J90" s="31"/>
      <c r="K90" s="31"/>
      <c r="L90" s="31"/>
      <c r="M90" s="35"/>
      <c r="N90" s="35"/>
      <c r="O90" s="40"/>
      <c r="P90" s="40"/>
      <c r="Q90" s="7"/>
      <c r="R90" s="33"/>
      <c r="S90" s="7"/>
      <c r="T90" s="33"/>
      <c r="U90" s="7"/>
      <c r="V90" s="7"/>
    </row>
    <row r="91" spans="1:22" x14ac:dyDescent="0.25">
      <c r="A91" s="7"/>
      <c r="B91" s="7"/>
      <c r="C91" s="32"/>
      <c r="D91" s="7"/>
      <c r="E91" s="7"/>
      <c r="F91" s="33"/>
      <c r="G91" s="34"/>
      <c r="H91" s="34"/>
      <c r="I91" s="34"/>
      <c r="J91" s="31"/>
      <c r="K91" s="31"/>
      <c r="L91" s="31"/>
      <c r="M91" s="35"/>
      <c r="N91" s="35"/>
      <c r="O91" s="40"/>
      <c r="P91" s="40"/>
      <c r="Q91" s="7"/>
      <c r="R91" s="33"/>
      <c r="S91" s="7"/>
      <c r="T91" s="33"/>
      <c r="U91" s="7"/>
      <c r="V91" s="7"/>
    </row>
    <row r="92" spans="1:22" x14ac:dyDescent="0.25">
      <c r="A92" s="7"/>
      <c r="B92" s="7"/>
      <c r="C92" s="32"/>
      <c r="D92" s="7"/>
      <c r="E92" s="7"/>
      <c r="F92" s="33"/>
      <c r="G92" s="34"/>
      <c r="H92" s="34"/>
      <c r="I92" s="34"/>
      <c r="J92" s="31"/>
      <c r="K92" s="31"/>
      <c r="L92" s="31"/>
      <c r="M92" s="35"/>
      <c r="N92" s="35"/>
      <c r="O92" s="40"/>
      <c r="P92" s="40"/>
      <c r="Q92" s="7"/>
      <c r="R92" s="33"/>
      <c r="S92" s="7"/>
      <c r="T92" s="33"/>
      <c r="U92" s="7"/>
      <c r="V92" s="7"/>
    </row>
    <row r="93" spans="1:22" x14ac:dyDescent="0.25">
      <c r="A93" s="7"/>
      <c r="B93" s="7"/>
      <c r="C93" s="32"/>
      <c r="D93" s="7"/>
      <c r="E93" s="7"/>
      <c r="F93" s="33"/>
      <c r="G93" s="34"/>
      <c r="H93" s="34"/>
      <c r="I93" s="34"/>
      <c r="J93" s="31"/>
      <c r="K93" s="31"/>
      <c r="L93" s="31"/>
      <c r="M93" s="35"/>
      <c r="N93" s="35"/>
      <c r="O93" s="40"/>
      <c r="P93" s="40"/>
      <c r="Q93" s="7"/>
      <c r="R93" s="33"/>
      <c r="S93" s="7"/>
      <c r="T93" s="33"/>
      <c r="U93" s="7"/>
      <c r="V93" s="7"/>
    </row>
    <row r="94" spans="1:22" x14ac:dyDescent="0.25">
      <c r="A94" s="7"/>
      <c r="B94" s="7"/>
      <c r="C94" s="32"/>
      <c r="D94" s="7"/>
      <c r="E94" s="7"/>
      <c r="F94" s="33"/>
      <c r="G94" s="34"/>
      <c r="H94" s="34"/>
      <c r="I94" s="34"/>
      <c r="J94" s="31"/>
      <c r="K94" s="31"/>
      <c r="L94" s="31"/>
      <c r="M94" s="35"/>
      <c r="N94" s="35"/>
      <c r="O94" s="40"/>
      <c r="P94" s="40"/>
      <c r="Q94" s="7"/>
      <c r="R94" s="33"/>
      <c r="S94" s="7"/>
      <c r="T94" s="33"/>
      <c r="U94" s="7"/>
      <c r="V94" s="7"/>
    </row>
    <row r="95" spans="1:22" x14ac:dyDescent="0.25">
      <c r="A95" s="7"/>
      <c r="B95" s="7"/>
      <c r="C95" s="32"/>
      <c r="D95" s="7"/>
      <c r="E95" s="7"/>
      <c r="F95" s="33"/>
      <c r="G95" s="34"/>
      <c r="H95" s="34"/>
      <c r="I95" s="34"/>
      <c r="J95" s="31"/>
      <c r="K95" s="31"/>
      <c r="L95" s="31"/>
      <c r="M95" s="35"/>
      <c r="N95" s="35"/>
      <c r="O95" s="40"/>
      <c r="P95" s="40"/>
      <c r="Q95" s="7"/>
      <c r="R95" s="33"/>
      <c r="S95" s="7"/>
      <c r="T95" s="33"/>
      <c r="U95" s="7"/>
      <c r="V95" s="7"/>
    </row>
    <row r="96" spans="1:22" x14ac:dyDescent="0.25">
      <c r="A96" s="7"/>
      <c r="B96" s="7"/>
      <c r="C96" s="32"/>
      <c r="D96" s="7"/>
      <c r="E96" s="7"/>
      <c r="F96" s="33"/>
      <c r="G96" s="34"/>
      <c r="H96" s="34"/>
      <c r="I96" s="34"/>
      <c r="J96" s="31"/>
      <c r="K96" s="31"/>
      <c r="L96" s="31"/>
      <c r="M96" s="35"/>
      <c r="N96" s="35"/>
      <c r="O96" s="40"/>
      <c r="P96" s="40"/>
      <c r="Q96" s="7"/>
      <c r="R96" s="33"/>
      <c r="S96" s="7"/>
      <c r="T96" s="33"/>
      <c r="U96" s="7"/>
      <c r="V96" s="7"/>
    </row>
    <row r="97" spans="1:22" x14ac:dyDescent="0.25">
      <c r="A97" s="7"/>
      <c r="B97" s="7"/>
      <c r="C97" s="32"/>
      <c r="D97" s="7"/>
      <c r="E97" s="7"/>
      <c r="F97" s="33"/>
      <c r="G97" s="34"/>
      <c r="H97" s="34"/>
      <c r="I97" s="34"/>
      <c r="J97" s="31"/>
      <c r="K97" s="31"/>
      <c r="L97" s="31"/>
      <c r="M97" s="35"/>
      <c r="N97" s="35"/>
      <c r="O97" s="40"/>
      <c r="P97" s="40"/>
      <c r="Q97" s="7"/>
      <c r="R97" s="33"/>
      <c r="S97" s="7"/>
      <c r="T97" s="33"/>
      <c r="U97" s="7"/>
      <c r="V97" s="7"/>
    </row>
    <row r="98" spans="1:22" x14ac:dyDescent="0.25">
      <c r="A98" s="7"/>
      <c r="B98" s="7"/>
      <c r="C98" s="32"/>
      <c r="D98" s="7"/>
      <c r="E98" s="7"/>
      <c r="F98" s="33"/>
      <c r="G98" s="34"/>
      <c r="H98" s="34"/>
      <c r="I98" s="34"/>
      <c r="J98" s="31"/>
      <c r="K98" s="31"/>
      <c r="L98" s="31"/>
      <c r="M98" s="35"/>
      <c r="N98" s="35"/>
      <c r="O98" s="40"/>
      <c r="P98" s="40"/>
      <c r="Q98" s="7"/>
      <c r="R98" s="33"/>
      <c r="S98" s="7"/>
      <c r="T98" s="33"/>
      <c r="U98" s="7"/>
      <c r="V98" s="7"/>
    </row>
    <row r="99" spans="1:22" x14ac:dyDescent="0.25">
      <c r="A99" s="7"/>
      <c r="B99" s="7"/>
      <c r="C99" s="32"/>
      <c r="D99" s="7"/>
      <c r="E99" s="7"/>
      <c r="F99" s="33"/>
      <c r="G99" s="34"/>
      <c r="H99" s="34"/>
      <c r="I99" s="34"/>
      <c r="J99" s="31"/>
      <c r="K99" s="31"/>
      <c r="L99" s="31"/>
      <c r="M99" s="35"/>
      <c r="N99" s="35"/>
      <c r="O99" s="40"/>
      <c r="P99" s="40"/>
      <c r="Q99" s="7"/>
      <c r="R99" s="33"/>
      <c r="S99" s="7"/>
      <c r="T99" s="33"/>
      <c r="U99" s="7"/>
      <c r="V99" s="7"/>
    </row>
    <row r="100" spans="1:22" x14ac:dyDescent="0.25">
      <c r="A100" s="7"/>
      <c r="B100" s="7"/>
      <c r="C100" s="32"/>
      <c r="D100" s="7"/>
      <c r="E100" s="7"/>
      <c r="F100" s="33"/>
      <c r="G100" s="34"/>
      <c r="H100" s="34"/>
      <c r="I100" s="34"/>
      <c r="J100" s="31"/>
      <c r="K100" s="31"/>
      <c r="L100" s="31"/>
      <c r="M100" s="35"/>
      <c r="N100" s="35"/>
      <c r="O100" s="40"/>
      <c r="P100" s="40"/>
      <c r="Q100" s="7"/>
      <c r="R100" s="33"/>
      <c r="S100" s="7"/>
      <c r="T100" s="33"/>
      <c r="U100" s="7"/>
      <c r="V100" s="7"/>
    </row>
    <row r="101" spans="1:22" x14ac:dyDescent="0.25">
      <c r="A101" s="7"/>
      <c r="B101" s="7"/>
      <c r="C101" s="32"/>
      <c r="D101" s="7"/>
      <c r="E101" s="7"/>
      <c r="F101" s="33"/>
      <c r="G101" s="34"/>
      <c r="H101" s="34"/>
      <c r="I101" s="34"/>
      <c r="J101" s="31"/>
      <c r="K101" s="31"/>
      <c r="L101" s="31"/>
      <c r="M101" s="35"/>
      <c r="N101" s="35"/>
      <c r="O101" s="40"/>
      <c r="P101" s="40"/>
      <c r="Q101" s="7"/>
      <c r="R101" s="33"/>
      <c r="S101" s="7"/>
      <c r="T101" s="33"/>
      <c r="U101" s="7"/>
      <c r="V101" s="7"/>
    </row>
    <row r="102" spans="1:22" x14ac:dyDescent="0.25">
      <c r="A102" s="7"/>
      <c r="B102" s="7"/>
      <c r="C102" s="32"/>
      <c r="D102" s="7"/>
      <c r="E102" s="7"/>
      <c r="F102" s="33"/>
      <c r="G102" s="34"/>
      <c r="H102" s="34"/>
      <c r="I102" s="34"/>
      <c r="J102" s="31"/>
      <c r="K102" s="31"/>
      <c r="L102" s="31"/>
      <c r="M102" s="35"/>
      <c r="N102" s="35"/>
      <c r="O102" s="40"/>
      <c r="P102" s="40"/>
      <c r="Q102" s="7"/>
      <c r="R102" s="33"/>
      <c r="S102" s="7"/>
      <c r="T102" s="33"/>
      <c r="U102" s="7"/>
      <c r="V102" s="7"/>
    </row>
    <row r="103" spans="1:22" x14ac:dyDescent="0.25">
      <c r="A103" s="7"/>
      <c r="B103" s="7"/>
      <c r="C103" s="32"/>
      <c r="D103" s="7"/>
      <c r="E103" s="7"/>
      <c r="F103" s="33"/>
      <c r="G103" s="34"/>
      <c r="H103" s="34"/>
      <c r="I103" s="34"/>
      <c r="J103" s="31"/>
      <c r="K103" s="31"/>
      <c r="L103" s="31"/>
      <c r="M103" s="35"/>
      <c r="N103" s="35"/>
      <c r="O103" s="40"/>
      <c r="P103" s="40"/>
      <c r="Q103" s="7"/>
      <c r="R103" s="33"/>
      <c r="S103" s="7"/>
      <c r="T103" s="33"/>
      <c r="U103" s="7"/>
      <c r="V103" s="7"/>
    </row>
    <row r="104" spans="1:22" x14ac:dyDescent="0.25">
      <c r="A104" s="7"/>
      <c r="B104" s="7"/>
      <c r="C104" s="32"/>
      <c r="D104" s="7"/>
      <c r="E104" s="7"/>
      <c r="F104" s="33"/>
      <c r="G104" s="34"/>
      <c r="H104" s="34"/>
      <c r="I104" s="34"/>
      <c r="J104" s="31"/>
      <c r="K104" s="31"/>
      <c r="L104" s="31"/>
      <c r="M104" s="35"/>
      <c r="N104" s="35"/>
      <c r="O104" s="40"/>
      <c r="P104" s="40"/>
      <c r="Q104" s="7"/>
      <c r="R104" s="33"/>
      <c r="S104" s="7"/>
      <c r="T104" s="33"/>
      <c r="U104" s="7"/>
      <c r="V104" s="7"/>
    </row>
    <row r="105" spans="1:22" x14ac:dyDescent="0.25">
      <c r="A105" s="7"/>
      <c r="B105" s="7"/>
      <c r="C105" s="32"/>
      <c r="D105" s="7"/>
      <c r="E105" s="7"/>
      <c r="F105" s="33"/>
      <c r="G105" s="34"/>
      <c r="H105" s="34"/>
      <c r="I105" s="34"/>
      <c r="J105" s="31"/>
      <c r="K105" s="31"/>
      <c r="L105" s="31"/>
      <c r="M105" s="35"/>
      <c r="N105" s="35"/>
      <c r="O105" s="40"/>
      <c r="P105" s="40"/>
      <c r="Q105" s="7"/>
      <c r="R105" s="33"/>
      <c r="S105" s="7"/>
      <c r="T105" s="33"/>
      <c r="U105" s="7"/>
      <c r="V105" s="7"/>
    </row>
    <row r="106" spans="1:22" x14ac:dyDescent="0.25">
      <c r="A106" s="7"/>
      <c r="B106" s="7"/>
      <c r="C106" s="32"/>
      <c r="D106" s="7"/>
      <c r="E106" s="7"/>
      <c r="F106" s="33"/>
      <c r="G106" s="34"/>
      <c r="H106" s="34"/>
      <c r="I106" s="34"/>
      <c r="J106" s="31"/>
      <c r="K106" s="31"/>
      <c r="L106" s="31"/>
      <c r="M106" s="35"/>
      <c r="N106" s="35"/>
      <c r="O106" s="40"/>
      <c r="P106" s="40"/>
      <c r="Q106" s="7"/>
      <c r="R106" s="33"/>
      <c r="S106" s="7"/>
      <c r="T106" s="33"/>
      <c r="U106" s="7"/>
      <c r="V106" s="7"/>
    </row>
    <row r="107" spans="1:22" x14ac:dyDescent="0.25">
      <c r="A107" s="7"/>
      <c r="B107" s="7"/>
      <c r="C107" s="32"/>
      <c r="D107" s="7"/>
      <c r="E107" s="7"/>
      <c r="F107" s="33"/>
      <c r="G107" s="34"/>
      <c r="H107" s="34"/>
      <c r="I107" s="34"/>
      <c r="J107" s="31"/>
      <c r="K107" s="31"/>
      <c r="L107" s="31"/>
      <c r="M107" s="35"/>
      <c r="N107" s="35"/>
      <c r="O107" s="40"/>
      <c r="P107" s="40"/>
      <c r="Q107" s="7"/>
      <c r="R107" s="33"/>
      <c r="S107" s="7"/>
      <c r="T107" s="33"/>
      <c r="U107" s="7"/>
      <c r="V107" s="7"/>
    </row>
    <row r="108" spans="1:22" x14ac:dyDescent="0.25">
      <c r="A108" s="7"/>
      <c r="B108" s="7"/>
      <c r="C108" s="32"/>
      <c r="D108" s="7"/>
      <c r="E108" s="7"/>
      <c r="F108" s="33"/>
      <c r="G108" s="34"/>
      <c r="H108" s="34"/>
      <c r="I108" s="34"/>
      <c r="J108" s="31"/>
      <c r="K108" s="31"/>
      <c r="L108" s="31"/>
      <c r="M108" s="35"/>
      <c r="N108" s="35"/>
      <c r="O108" s="40"/>
      <c r="P108" s="40"/>
      <c r="Q108" s="7"/>
      <c r="R108" s="33"/>
      <c r="S108" s="7"/>
      <c r="T108" s="33"/>
      <c r="U108" s="7"/>
      <c r="V108" s="7"/>
    </row>
    <row r="109" spans="1:22" x14ac:dyDescent="0.25">
      <c r="A109" s="7"/>
      <c r="B109" s="7"/>
      <c r="C109" s="32"/>
      <c r="D109" s="7"/>
      <c r="E109" s="7"/>
      <c r="F109" s="33"/>
      <c r="G109" s="34"/>
      <c r="H109" s="34"/>
      <c r="I109" s="34"/>
      <c r="J109" s="31"/>
      <c r="K109" s="31"/>
      <c r="L109" s="31"/>
      <c r="M109" s="35"/>
      <c r="N109" s="35"/>
      <c r="O109" s="40"/>
      <c r="P109" s="40"/>
      <c r="Q109" s="7"/>
      <c r="R109" s="33"/>
      <c r="S109" s="7"/>
      <c r="T109" s="33"/>
      <c r="U109" s="7"/>
      <c r="V109" s="7"/>
    </row>
    <row r="110" spans="1:22" x14ac:dyDescent="0.25">
      <c r="A110" s="7"/>
      <c r="B110" s="7"/>
      <c r="C110" s="32"/>
      <c r="D110" s="7"/>
      <c r="E110" s="7"/>
      <c r="F110" s="33"/>
      <c r="G110" s="34"/>
      <c r="H110" s="34"/>
      <c r="I110" s="34"/>
      <c r="J110" s="31"/>
      <c r="K110" s="31"/>
      <c r="L110" s="31"/>
      <c r="M110" s="35"/>
      <c r="N110" s="35"/>
      <c r="O110" s="40"/>
      <c r="P110" s="40"/>
      <c r="Q110" s="7"/>
      <c r="R110" s="33"/>
      <c r="S110" s="7"/>
      <c r="T110" s="33"/>
      <c r="U110" s="7"/>
      <c r="V110" s="7"/>
    </row>
    <row r="111" spans="1:22" x14ac:dyDescent="0.25">
      <c r="A111" s="7"/>
      <c r="B111" s="7"/>
      <c r="C111" s="32"/>
      <c r="D111" s="7"/>
      <c r="E111" s="7"/>
      <c r="F111" s="33"/>
      <c r="G111" s="34"/>
      <c r="H111" s="34"/>
      <c r="I111" s="34"/>
      <c r="J111" s="31"/>
      <c r="K111" s="31"/>
      <c r="L111" s="31"/>
      <c r="M111" s="35"/>
      <c r="N111" s="35"/>
      <c r="O111" s="40"/>
      <c r="P111" s="40"/>
      <c r="Q111" s="7"/>
      <c r="R111" s="33"/>
      <c r="S111" s="7"/>
      <c r="T111" s="33"/>
      <c r="U111" s="7"/>
      <c r="V111" s="7"/>
    </row>
    <row r="112" spans="1:22" x14ac:dyDescent="0.25">
      <c r="A112" s="7"/>
      <c r="B112" s="7"/>
      <c r="C112" s="32"/>
      <c r="D112" s="7"/>
      <c r="E112" s="7"/>
      <c r="F112" s="33"/>
      <c r="G112" s="34"/>
      <c r="H112" s="34"/>
      <c r="I112" s="34"/>
      <c r="J112" s="31"/>
      <c r="K112" s="31"/>
      <c r="L112" s="31"/>
      <c r="M112" s="35"/>
      <c r="N112" s="35"/>
      <c r="O112" s="40"/>
      <c r="P112" s="40"/>
      <c r="Q112" s="7"/>
      <c r="R112" s="33"/>
      <c r="S112" s="7"/>
      <c r="T112" s="33"/>
      <c r="U112" s="7"/>
      <c r="V112" s="7"/>
    </row>
    <row r="113" spans="1:22" x14ac:dyDescent="0.25">
      <c r="A113" s="7"/>
      <c r="B113" s="7"/>
      <c r="C113" s="32"/>
      <c r="D113" s="7"/>
      <c r="E113" s="7"/>
      <c r="F113" s="33"/>
      <c r="G113" s="34"/>
      <c r="H113" s="34"/>
      <c r="I113" s="34"/>
      <c r="J113" s="31"/>
      <c r="K113" s="31"/>
      <c r="L113" s="31"/>
      <c r="M113" s="35"/>
      <c r="N113" s="35"/>
      <c r="O113" s="40"/>
      <c r="P113" s="40"/>
      <c r="Q113" s="7"/>
      <c r="R113" s="33"/>
      <c r="S113" s="7"/>
      <c r="T113" s="33"/>
      <c r="U113" s="7"/>
      <c r="V113" s="7"/>
    </row>
    <row r="114" spans="1:22" x14ac:dyDescent="0.25">
      <c r="A114" s="7"/>
      <c r="B114" s="7"/>
      <c r="C114" s="32"/>
      <c r="D114" s="7"/>
      <c r="E114" s="7"/>
      <c r="F114" s="33"/>
      <c r="G114" s="34"/>
      <c r="H114" s="34"/>
      <c r="I114" s="34"/>
      <c r="J114" s="31"/>
      <c r="K114" s="31"/>
      <c r="L114" s="31"/>
      <c r="M114" s="35"/>
      <c r="N114" s="35"/>
      <c r="O114" s="40"/>
      <c r="P114" s="40"/>
      <c r="Q114" s="7"/>
      <c r="R114" s="33"/>
      <c r="S114" s="7"/>
      <c r="T114" s="33"/>
      <c r="U114" s="7"/>
      <c r="V114" s="7"/>
    </row>
    <row r="115" spans="1:22" x14ac:dyDescent="0.25">
      <c r="A115" s="7"/>
      <c r="B115" s="7"/>
      <c r="C115" s="32"/>
      <c r="D115" s="7"/>
      <c r="E115" s="7"/>
      <c r="F115" s="33"/>
      <c r="G115" s="34"/>
      <c r="H115" s="34"/>
      <c r="I115" s="34"/>
      <c r="J115" s="31"/>
      <c r="K115" s="31"/>
      <c r="L115" s="31"/>
      <c r="M115" s="35"/>
      <c r="N115" s="35"/>
      <c r="O115" s="40"/>
      <c r="P115" s="40"/>
      <c r="Q115" s="7"/>
      <c r="R115" s="33"/>
      <c r="S115" s="7"/>
      <c r="T115" s="33"/>
      <c r="U115" s="7"/>
      <c r="V115" s="7"/>
    </row>
    <row r="116" spans="1:22" x14ac:dyDescent="0.25">
      <c r="A116" s="7"/>
      <c r="B116" s="7"/>
      <c r="C116" s="32"/>
      <c r="D116" s="7"/>
      <c r="E116" s="7"/>
      <c r="F116" s="33"/>
      <c r="G116" s="34"/>
      <c r="H116" s="34"/>
      <c r="I116" s="34"/>
      <c r="J116" s="31"/>
      <c r="K116" s="31"/>
      <c r="L116" s="31"/>
      <c r="M116" s="35"/>
      <c r="N116" s="35"/>
      <c r="O116" s="40"/>
      <c r="P116" s="40"/>
      <c r="Q116" s="7"/>
      <c r="R116" s="33"/>
      <c r="S116" s="7"/>
      <c r="T116" s="33"/>
      <c r="U116" s="7"/>
      <c r="V116" s="7"/>
    </row>
    <row r="117" spans="1:22" x14ac:dyDescent="0.25">
      <c r="A117" s="7"/>
      <c r="B117" s="7"/>
      <c r="C117" s="32"/>
      <c r="D117" s="7"/>
      <c r="E117" s="7"/>
      <c r="F117" s="33"/>
      <c r="G117" s="34"/>
      <c r="H117" s="34"/>
      <c r="I117" s="34"/>
      <c r="J117" s="31"/>
      <c r="K117" s="31"/>
      <c r="L117" s="31"/>
      <c r="M117" s="35"/>
      <c r="N117" s="35"/>
      <c r="O117" s="40"/>
      <c r="P117" s="40"/>
      <c r="Q117" s="7"/>
      <c r="R117" s="33"/>
      <c r="S117" s="7"/>
      <c r="T117" s="33"/>
      <c r="U117" s="7"/>
      <c r="V117" s="7"/>
    </row>
    <row r="118" spans="1:22" x14ac:dyDescent="0.25">
      <c r="A118" s="7"/>
      <c r="B118" s="7"/>
      <c r="C118" s="32"/>
      <c r="D118" s="7"/>
      <c r="E118" s="7"/>
      <c r="F118" s="33"/>
      <c r="G118" s="34"/>
      <c r="H118" s="34"/>
      <c r="I118" s="34"/>
      <c r="J118" s="31"/>
      <c r="K118" s="31"/>
      <c r="L118" s="31"/>
      <c r="M118" s="35"/>
      <c r="N118" s="35"/>
      <c r="O118" s="40"/>
      <c r="P118" s="40"/>
      <c r="Q118" s="7"/>
      <c r="R118" s="33"/>
      <c r="S118" s="7"/>
      <c r="T118" s="33"/>
      <c r="U118" s="7"/>
      <c r="V118" s="7"/>
    </row>
    <row r="119" spans="1:22" x14ac:dyDescent="0.25">
      <c r="A119" s="7"/>
      <c r="B119" s="7"/>
      <c r="C119" s="32"/>
      <c r="D119" s="7"/>
      <c r="E119" s="7"/>
      <c r="F119" s="33"/>
      <c r="G119" s="34"/>
      <c r="H119" s="34"/>
      <c r="I119" s="34"/>
      <c r="J119" s="31"/>
      <c r="K119" s="31"/>
      <c r="L119" s="31"/>
      <c r="M119" s="35"/>
      <c r="N119" s="35"/>
      <c r="O119" s="40"/>
      <c r="P119" s="40"/>
      <c r="Q119" s="7"/>
      <c r="R119" s="33"/>
      <c r="S119" s="7"/>
      <c r="T119" s="33"/>
      <c r="U119" s="7"/>
      <c r="V119" s="7"/>
    </row>
    <row r="120" spans="1:22" x14ac:dyDescent="0.25">
      <c r="A120" s="7"/>
      <c r="B120" s="7"/>
      <c r="C120" s="32"/>
      <c r="D120" s="7"/>
      <c r="E120" s="7"/>
      <c r="F120" s="33"/>
      <c r="G120" s="34"/>
      <c r="H120" s="34"/>
      <c r="I120" s="34"/>
      <c r="J120" s="31"/>
      <c r="K120" s="31"/>
      <c r="L120" s="31"/>
      <c r="M120" s="35"/>
      <c r="N120" s="35"/>
      <c r="O120" s="40"/>
      <c r="P120" s="40"/>
      <c r="Q120" s="7"/>
      <c r="R120" s="33"/>
      <c r="S120" s="7"/>
      <c r="T120" s="33"/>
      <c r="U120" s="7"/>
      <c r="V120" s="7"/>
    </row>
    <row r="121" spans="1:22" x14ac:dyDescent="0.25">
      <c r="A121" s="7"/>
      <c r="B121" s="7"/>
      <c r="C121" s="32"/>
      <c r="D121" s="7"/>
      <c r="E121" s="7"/>
      <c r="F121" s="33"/>
      <c r="G121" s="34"/>
      <c r="H121" s="34"/>
      <c r="I121" s="34"/>
      <c r="J121" s="31"/>
      <c r="K121" s="31"/>
      <c r="L121" s="31"/>
      <c r="M121" s="35"/>
      <c r="N121" s="35"/>
      <c r="O121" s="40"/>
      <c r="P121" s="40"/>
      <c r="Q121" s="7"/>
      <c r="R121" s="33"/>
      <c r="S121" s="7"/>
      <c r="T121" s="33"/>
      <c r="U121" s="7"/>
      <c r="V121" s="7"/>
    </row>
    <row r="122" spans="1:22" x14ac:dyDescent="0.25">
      <c r="A122" s="7"/>
      <c r="B122" s="7"/>
      <c r="C122" s="32"/>
      <c r="D122" s="7"/>
      <c r="E122" s="7"/>
      <c r="F122" s="33"/>
      <c r="G122" s="34"/>
      <c r="H122" s="34"/>
      <c r="I122" s="34"/>
      <c r="J122" s="31"/>
      <c r="K122" s="31"/>
      <c r="L122" s="31"/>
      <c r="M122" s="35"/>
      <c r="N122" s="35"/>
      <c r="O122" s="40"/>
      <c r="P122" s="40"/>
      <c r="Q122" s="7"/>
      <c r="R122" s="33"/>
      <c r="S122" s="7"/>
      <c r="T122" s="33"/>
      <c r="U122" s="7"/>
      <c r="V122" s="7"/>
    </row>
    <row r="123" spans="1:22" x14ac:dyDescent="0.25">
      <c r="A123" s="7"/>
      <c r="B123" s="7"/>
      <c r="C123" s="32"/>
      <c r="D123" s="7"/>
      <c r="E123" s="7"/>
      <c r="F123" s="33"/>
      <c r="G123" s="34"/>
      <c r="H123" s="34"/>
      <c r="I123" s="34"/>
      <c r="J123" s="31"/>
      <c r="K123" s="31"/>
      <c r="L123" s="31"/>
      <c r="M123" s="35"/>
      <c r="N123" s="35"/>
      <c r="O123" s="40"/>
      <c r="P123" s="40"/>
      <c r="Q123" s="7"/>
      <c r="R123" s="33"/>
      <c r="S123" s="7"/>
      <c r="T123" s="33"/>
      <c r="U123" s="7"/>
      <c r="V123" s="7"/>
    </row>
    <row r="124" spans="1:22" x14ac:dyDescent="0.25">
      <c r="A124" s="7"/>
      <c r="B124" s="7"/>
      <c r="C124" s="32"/>
      <c r="D124" s="7"/>
      <c r="E124" s="7"/>
      <c r="F124" s="33"/>
      <c r="G124" s="34"/>
      <c r="H124" s="34"/>
      <c r="I124" s="34"/>
      <c r="J124" s="31"/>
      <c r="K124" s="31"/>
      <c r="L124" s="31"/>
      <c r="M124" s="35"/>
      <c r="N124" s="35"/>
      <c r="O124" s="40"/>
      <c r="P124" s="40"/>
      <c r="Q124" s="7"/>
      <c r="R124" s="33"/>
      <c r="S124" s="7"/>
      <c r="T124" s="33"/>
      <c r="U124" s="7"/>
      <c r="V124" s="7"/>
    </row>
    <row r="125" spans="1:22" x14ac:dyDescent="0.25">
      <c r="A125" s="7"/>
      <c r="B125" s="7"/>
      <c r="C125" s="32"/>
      <c r="D125" s="7"/>
      <c r="E125" s="7"/>
      <c r="F125" s="33"/>
      <c r="G125" s="34"/>
      <c r="H125" s="34"/>
      <c r="I125" s="34"/>
      <c r="J125" s="31"/>
      <c r="K125" s="31"/>
      <c r="L125" s="31"/>
      <c r="M125" s="35"/>
      <c r="N125" s="35"/>
      <c r="O125" s="40"/>
      <c r="P125" s="40"/>
      <c r="Q125" s="7"/>
      <c r="R125" s="33"/>
      <c r="S125" s="7"/>
      <c r="T125" s="33"/>
      <c r="U125" s="7"/>
      <c r="V125" s="7"/>
    </row>
    <row r="126" spans="1:22" x14ac:dyDescent="0.25">
      <c r="A126" s="7"/>
      <c r="B126" s="7"/>
      <c r="C126" s="32"/>
      <c r="D126" s="7"/>
      <c r="E126" s="7"/>
      <c r="F126" s="33"/>
      <c r="G126" s="34"/>
      <c r="H126" s="34"/>
      <c r="I126" s="34"/>
      <c r="J126" s="31"/>
      <c r="K126" s="31"/>
      <c r="L126" s="31"/>
      <c r="M126" s="35"/>
      <c r="N126" s="35"/>
      <c r="O126" s="40"/>
      <c r="P126" s="40"/>
      <c r="Q126" s="7"/>
      <c r="R126" s="33"/>
      <c r="S126" s="7"/>
      <c r="T126" s="33"/>
      <c r="U126" s="7"/>
      <c r="V126" s="7"/>
    </row>
    <row r="127" spans="1:22" x14ac:dyDescent="0.25">
      <c r="A127" s="7"/>
      <c r="B127" s="7"/>
      <c r="C127" s="32"/>
      <c r="D127" s="7"/>
      <c r="E127" s="7"/>
      <c r="F127" s="33"/>
      <c r="G127" s="34"/>
      <c r="H127" s="34"/>
      <c r="I127" s="34"/>
      <c r="J127" s="31"/>
      <c r="K127" s="31"/>
      <c r="L127" s="31"/>
      <c r="M127" s="35"/>
      <c r="N127" s="35"/>
      <c r="O127" s="40"/>
      <c r="P127" s="40"/>
      <c r="Q127" s="7"/>
      <c r="R127" s="33"/>
      <c r="S127" s="7"/>
      <c r="T127" s="33"/>
      <c r="U127" s="7"/>
      <c r="V127" s="7"/>
    </row>
    <row r="128" spans="1:22" x14ac:dyDescent="0.25">
      <c r="A128" s="7"/>
      <c r="B128" s="7"/>
      <c r="C128" s="32"/>
      <c r="D128" s="7"/>
      <c r="E128" s="7"/>
      <c r="F128" s="33"/>
      <c r="G128" s="34"/>
      <c r="H128" s="34"/>
      <c r="I128" s="34"/>
      <c r="J128" s="31"/>
      <c r="K128" s="31"/>
      <c r="L128" s="31"/>
      <c r="M128" s="35"/>
      <c r="N128" s="35"/>
      <c r="O128" s="40"/>
      <c r="P128" s="40"/>
      <c r="Q128" s="7"/>
      <c r="R128" s="33"/>
      <c r="S128" s="7"/>
      <c r="T128" s="33"/>
      <c r="U128" s="7"/>
      <c r="V128" s="7"/>
    </row>
    <row r="129" spans="1:22" x14ac:dyDescent="0.25">
      <c r="A129" s="7"/>
      <c r="B129" s="7"/>
      <c r="C129" s="32"/>
      <c r="D129" s="7"/>
      <c r="E129" s="7"/>
      <c r="F129" s="33"/>
      <c r="G129" s="34"/>
      <c r="H129" s="34"/>
      <c r="I129" s="34"/>
      <c r="J129" s="31"/>
      <c r="K129" s="31"/>
      <c r="L129" s="31"/>
      <c r="M129" s="35"/>
      <c r="N129" s="35"/>
      <c r="O129" s="40"/>
      <c r="P129" s="40"/>
      <c r="Q129" s="7"/>
      <c r="R129" s="33"/>
      <c r="S129" s="7"/>
      <c r="T129" s="33"/>
      <c r="U129" s="7"/>
      <c r="V129" s="7"/>
    </row>
    <row r="130" spans="1:22" x14ac:dyDescent="0.25">
      <c r="A130" s="7"/>
      <c r="B130" s="7"/>
      <c r="C130" s="32"/>
      <c r="D130" s="7"/>
      <c r="E130" s="7"/>
      <c r="F130" s="33"/>
      <c r="G130" s="34"/>
      <c r="H130" s="34"/>
      <c r="I130" s="34"/>
      <c r="J130" s="31"/>
      <c r="K130" s="31"/>
      <c r="L130" s="31"/>
      <c r="M130" s="35"/>
      <c r="N130" s="35"/>
      <c r="O130" s="40"/>
      <c r="P130" s="40"/>
      <c r="Q130" s="7"/>
      <c r="R130" s="33"/>
      <c r="S130" s="7"/>
      <c r="T130" s="33"/>
      <c r="U130" s="7"/>
      <c r="V130" s="7"/>
    </row>
    <row r="131" spans="1:22" x14ac:dyDescent="0.25">
      <c r="A131" s="7"/>
      <c r="B131" s="7"/>
      <c r="C131" s="32"/>
      <c r="D131" s="7"/>
      <c r="E131" s="7"/>
      <c r="F131" s="33"/>
      <c r="G131" s="34"/>
      <c r="H131" s="34"/>
      <c r="I131" s="34"/>
      <c r="J131" s="31"/>
      <c r="K131" s="31"/>
      <c r="L131" s="31"/>
      <c r="M131" s="35"/>
      <c r="N131" s="35"/>
      <c r="O131" s="40"/>
      <c r="P131" s="40"/>
      <c r="Q131" s="7"/>
      <c r="R131" s="33"/>
      <c r="S131" s="7"/>
      <c r="T131" s="33"/>
      <c r="U131" s="7"/>
      <c r="V131" s="7"/>
    </row>
    <row r="132" spans="1:22" x14ac:dyDescent="0.25">
      <c r="A132" s="7"/>
      <c r="B132" s="7"/>
      <c r="C132" s="32"/>
      <c r="D132" s="7"/>
      <c r="E132" s="7"/>
      <c r="F132" s="33"/>
      <c r="G132" s="34"/>
      <c r="H132" s="34"/>
      <c r="I132" s="34"/>
      <c r="J132" s="31"/>
      <c r="K132" s="31"/>
      <c r="L132" s="31"/>
      <c r="M132" s="35"/>
      <c r="N132" s="35"/>
      <c r="O132" s="40"/>
      <c r="P132" s="40"/>
      <c r="Q132" s="7"/>
      <c r="R132" s="33"/>
      <c r="S132" s="7"/>
      <c r="T132" s="33"/>
      <c r="U132" s="7"/>
      <c r="V132" s="7"/>
    </row>
    <row r="133" spans="1:22" x14ac:dyDescent="0.25">
      <c r="A133" s="7"/>
      <c r="B133" s="7"/>
      <c r="C133" s="32"/>
      <c r="D133" s="7"/>
      <c r="E133" s="7"/>
      <c r="F133" s="33"/>
      <c r="G133" s="34"/>
      <c r="H133" s="34"/>
      <c r="I133" s="34"/>
      <c r="J133" s="31"/>
      <c r="K133" s="31"/>
      <c r="L133" s="31"/>
      <c r="M133" s="35"/>
      <c r="N133" s="35"/>
      <c r="O133" s="40"/>
      <c r="P133" s="40"/>
      <c r="Q133" s="7"/>
      <c r="R133" s="33"/>
      <c r="S133" s="7"/>
      <c r="T133" s="33"/>
      <c r="U133" s="7"/>
      <c r="V133" s="7"/>
    </row>
    <row r="134" spans="1:22" x14ac:dyDescent="0.25">
      <c r="A134" s="7"/>
      <c r="B134" s="7"/>
      <c r="C134" s="32"/>
      <c r="D134" s="7"/>
      <c r="E134" s="7"/>
      <c r="F134" s="33"/>
      <c r="G134" s="34"/>
      <c r="H134" s="34"/>
      <c r="I134" s="34"/>
      <c r="J134" s="31"/>
      <c r="K134" s="31"/>
      <c r="L134" s="31"/>
      <c r="M134" s="35"/>
      <c r="N134" s="35"/>
      <c r="O134" s="40"/>
      <c r="P134" s="40"/>
      <c r="Q134" s="7"/>
      <c r="R134" s="33"/>
      <c r="S134" s="7"/>
      <c r="T134" s="33"/>
      <c r="U134" s="7"/>
      <c r="V134" s="7"/>
    </row>
    <row r="135" spans="1:22" x14ac:dyDescent="0.25">
      <c r="A135" s="7"/>
      <c r="B135" s="7"/>
      <c r="C135" s="32"/>
      <c r="D135" s="7"/>
      <c r="E135" s="7"/>
      <c r="F135" s="33"/>
      <c r="G135" s="34"/>
      <c r="H135" s="34"/>
      <c r="I135" s="34"/>
      <c r="J135" s="31"/>
      <c r="K135" s="31"/>
      <c r="L135" s="31"/>
      <c r="M135" s="35"/>
      <c r="N135" s="35"/>
      <c r="O135" s="40"/>
      <c r="P135" s="40"/>
      <c r="Q135" s="7"/>
      <c r="R135" s="33"/>
      <c r="S135" s="7"/>
      <c r="T135" s="33"/>
      <c r="U135" s="7"/>
      <c r="V135" s="7"/>
    </row>
    <row r="136" spans="1:22" x14ac:dyDescent="0.25">
      <c r="A136" s="7"/>
      <c r="B136" s="7"/>
      <c r="C136" s="32"/>
      <c r="D136" s="7"/>
      <c r="E136" s="7"/>
      <c r="F136" s="33"/>
      <c r="G136" s="34"/>
      <c r="H136" s="34"/>
      <c r="I136" s="34"/>
      <c r="J136" s="31"/>
      <c r="K136" s="31"/>
      <c r="L136" s="31"/>
      <c r="M136" s="35"/>
      <c r="N136" s="35"/>
      <c r="O136" s="40"/>
      <c r="P136" s="40"/>
      <c r="Q136" s="7"/>
      <c r="R136" s="33"/>
      <c r="S136" s="7"/>
      <c r="T136" s="33"/>
      <c r="U136" s="7"/>
      <c r="V136" s="7"/>
    </row>
    <row r="137" spans="1:22" x14ac:dyDescent="0.25">
      <c r="A137" s="7"/>
      <c r="B137" s="7"/>
      <c r="C137" s="32"/>
      <c r="D137" s="7"/>
      <c r="E137" s="7"/>
      <c r="F137" s="33"/>
      <c r="G137" s="34"/>
      <c r="H137" s="34"/>
      <c r="I137" s="34"/>
      <c r="J137" s="31"/>
      <c r="K137" s="31"/>
      <c r="L137" s="31"/>
      <c r="M137" s="35"/>
      <c r="N137" s="35"/>
      <c r="O137" s="40"/>
      <c r="P137" s="40"/>
      <c r="Q137" s="7"/>
      <c r="R137" s="33"/>
      <c r="S137" s="7"/>
      <c r="T137" s="33"/>
      <c r="U137" s="7"/>
      <c r="V137" s="7"/>
    </row>
    <row r="138" spans="1:22" x14ac:dyDescent="0.25">
      <c r="A138" s="7"/>
      <c r="B138" s="7"/>
      <c r="C138" s="32"/>
      <c r="D138" s="7"/>
      <c r="E138" s="7"/>
      <c r="F138" s="33"/>
      <c r="G138" s="34"/>
      <c r="H138" s="34"/>
      <c r="I138" s="34"/>
      <c r="J138" s="31"/>
      <c r="K138" s="31"/>
      <c r="L138" s="31"/>
      <c r="M138" s="35"/>
      <c r="N138" s="35"/>
      <c r="O138" s="40"/>
      <c r="P138" s="40"/>
      <c r="Q138" s="7"/>
      <c r="R138" s="33"/>
      <c r="S138" s="7"/>
      <c r="T138" s="33"/>
      <c r="U138" s="7"/>
      <c r="V138" s="7"/>
    </row>
    <row r="139" spans="1:22" x14ac:dyDescent="0.25">
      <c r="A139" s="7"/>
      <c r="B139" s="7"/>
      <c r="C139" s="32"/>
      <c r="D139" s="7"/>
      <c r="E139" s="7"/>
      <c r="F139" s="33"/>
      <c r="G139" s="34"/>
      <c r="H139" s="34"/>
      <c r="I139" s="34"/>
      <c r="J139" s="31"/>
      <c r="K139" s="31"/>
      <c r="L139" s="31"/>
      <c r="M139" s="35"/>
      <c r="N139" s="35"/>
      <c r="O139" s="40"/>
      <c r="P139" s="40"/>
      <c r="Q139" s="7"/>
      <c r="R139" s="33"/>
      <c r="S139" s="7"/>
      <c r="T139" s="33"/>
      <c r="U139" s="7"/>
      <c r="V139" s="7"/>
    </row>
    <row r="140" spans="1:22" x14ac:dyDescent="0.25">
      <c r="A140" s="7"/>
      <c r="B140" s="7"/>
      <c r="C140" s="32"/>
      <c r="D140" s="7"/>
      <c r="E140" s="7"/>
      <c r="F140" s="33"/>
      <c r="G140" s="34"/>
      <c r="H140" s="34"/>
      <c r="I140" s="34"/>
      <c r="J140" s="31"/>
      <c r="K140" s="31"/>
      <c r="L140" s="31"/>
      <c r="M140" s="35"/>
      <c r="N140" s="35"/>
      <c r="O140" s="40"/>
      <c r="P140" s="40"/>
      <c r="Q140" s="7"/>
      <c r="R140" s="33"/>
      <c r="S140" s="7"/>
      <c r="T140" s="33"/>
      <c r="U140" s="7"/>
      <c r="V140" s="7"/>
    </row>
    <row r="141" spans="1:22" x14ac:dyDescent="0.25">
      <c r="A141" s="7"/>
      <c r="B141" s="7"/>
      <c r="C141" s="32"/>
      <c r="D141" s="7"/>
      <c r="E141" s="7"/>
      <c r="F141" s="33"/>
      <c r="G141" s="34"/>
      <c r="H141" s="34"/>
      <c r="I141" s="34"/>
      <c r="J141" s="31"/>
      <c r="K141" s="31"/>
      <c r="L141" s="31"/>
      <c r="M141" s="35"/>
      <c r="N141" s="35"/>
      <c r="O141" s="40"/>
      <c r="P141" s="40"/>
      <c r="Q141" s="7"/>
      <c r="R141" s="33"/>
      <c r="S141" s="7"/>
      <c r="T141" s="33"/>
      <c r="U141" s="7"/>
      <c r="V141" s="7"/>
    </row>
    <row r="142" spans="1:22" x14ac:dyDescent="0.25">
      <c r="A142" s="7"/>
      <c r="B142" s="7"/>
      <c r="C142" s="32"/>
      <c r="D142" s="7"/>
      <c r="E142" s="7"/>
      <c r="F142" s="33"/>
      <c r="G142" s="34"/>
      <c r="H142" s="34"/>
      <c r="I142" s="34"/>
      <c r="J142" s="31"/>
      <c r="K142" s="31"/>
      <c r="L142" s="31"/>
      <c r="M142" s="35"/>
      <c r="N142" s="35"/>
      <c r="O142" s="40"/>
      <c r="P142" s="40"/>
      <c r="Q142" s="7"/>
      <c r="R142" s="33"/>
      <c r="S142" s="7"/>
      <c r="T142" s="33"/>
      <c r="U142" s="7"/>
      <c r="V142" s="7"/>
    </row>
    <row r="143" spans="1:22" x14ac:dyDescent="0.25">
      <c r="A143" s="7"/>
      <c r="B143" s="7"/>
      <c r="C143" s="32"/>
      <c r="D143" s="7"/>
      <c r="E143" s="7"/>
      <c r="F143" s="33"/>
      <c r="G143" s="34"/>
      <c r="H143" s="34"/>
      <c r="I143" s="34"/>
      <c r="J143" s="31"/>
      <c r="K143" s="31"/>
      <c r="L143" s="31"/>
      <c r="M143" s="35"/>
      <c r="N143" s="35"/>
      <c r="O143" s="40"/>
      <c r="P143" s="40"/>
      <c r="Q143" s="7"/>
      <c r="R143" s="33"/>
      <c r="S143" s="7"/>
      <c r="T143" s="33"/>
      <c r="U143" s="7"/>
      <c r="V143" s="7"/>
    </row>
    <row r="144" spans="1:22" x14ac:dyDescent="0.25">
      <c r="A144" s="7"/>
      <c r="B144" s="7"/>
      <c r="C144" s="32"/>
      <c r="D144" s="7"/>
      <c r="E144" s="7"/>
      <c r="F144" s="33"/>
      <c r="G144" s="34"/>
      <c r="H144" s="34"/>
      <c r="I144" s="34"/>
      <c r="J144" s="31"/>
      <c r="K144" s="31"/>
      <c r="L144" s="31"/>
      <c r="M144" s="35"/>
      <c r="N144" s="35"/>
      <c r="O144" s="40"/>
      <c r="P144" s="40"/>
      <c r="Q144" s="7"/>
      <c r="R144" s="33"/>
      <c r="S144" s="7"/>
      <c r="T144" s="33"/>
      <c r="U144" s="7"/>
      <c r="V144" s="7"/>
    </row>
    <row r="145" spans="1:22" x14ac:dyDescent="0.25">
      <c r="A145" s="7"/>
      <c r="B145" s="7"/>
      <c r="C145" s="32"/>
      <c r="D145" s="7"/>
      <c r="E145" s="7"/>
      <c r="F145" s="33"/>
      <c r="G145" s="34"/>
      <c r="H145" s="34"/>
      <c r="I145" s="34"/>
      <c r="J145" s="31"/>
      <c r="K145" s="31"/>
      <c r="L145" s="31"/>
      <c r="M145" s="35"/>
      <c r="N145" s="35"/>
      <c r="O145" s="40"/>
      <c r="P145" s="40"/>
      <c r="Q145" s="7"/>
      <c r="R145" s="33"/>
      <c r="S145" s="7"/>
      <c r="T145" s="33"/>
      <c r="U145" s="7"/>
      <c r="V145" s="7"/>
    </row>
    <row r="146" spans="1:22" x14ac:dyDescent="0.25">
      <c r="A146" s="7"/>
      <c r="B146" s="7"/>
      <c r="C146" s="32"/>
      <c r="D146" s="7"/>
      <c r="E146" s="7"/>
      <c r="F146" s="33"/>
      <c r="G146" s="34"/>
      <c r="H146" s="34"/>
      <c r="I146" s="34"/>
      <c r="J146" s="31"/>
      <c r="K146" s="31"/>
      <c r="L146" s="31"/>
      <c r="M146" s="35"/>
      <c r="N146" s="35"/>
      <c r="O146" s="40"/>
      <c r="P146" s="40"/>
      <c r="Q146" s="7"/>
      <c r="R146" s="33"/>
      <c r="S146" s="7"/>
      <c r="T146" s="33"/>
      <c r="U146" s="7"/>
      <c r="V146" s="7"/>
    </row>
    <row r="147" spans="1:22" x14ac:dyDescent="0.25">
      <c r="A147" s="7"/>
      <c r="B147" s="7"/>
      <c r="C147" s="32"/>
      <c r="D147" s="7"/>
      <c r="E147" s="7"/>
      <c r="F147" s="33"/>
      <c r="G147" s="34"/>
      <c r="H147" s="34"/>
      <c r="I147" s="34"/>
      <c r="J147" s="31"/>
      <c r="K147" s="31"/>
      <c r="L147" s="31"/>
      <c r="M147" s="35"/>
      <c r="N147" s="35"/>
      <c r="O147" s="40"/>
      <c r="P147" s="40"/>
      <c r="Q147" s="7"/>
      <c r="R147" s="33"/>
      <c r="S147" s="7"/>
      <c r="T147" s="33"/>
      <c r="U147" s="7"/>
      <c r="V147" s="7"/>
    </row>
    <row r="148" spans="1:22" x14ac:dyDescent="0.25">
      <c r="A148" s="7"/>
      <c r="B148" s="7"/>
      <c r="C148" s="32"/>
      <c r="D148" s="7"/>
      <c r="E148" s="7"/>
      <c r="F148" s="33"/>
      <c r="G148" s="34"/>
      <c r="H148" s="34"/>
      <c r="I148" s="34"/>
      <c r="J148" s="31"/>
      <c r="K148" s="31"/>
      <c r="L148" s="31"/>
      <c r="M148" s="35"/>
      <c r="N148" s="35"/>
      <c r="O148" s="40"/>
      <c r="P148" s="40"/>
      <c r="Q148" s="7"/>
      <c r="R148" s="33"/>
      <c r="S148" s="7"/>
      <c r="T148" s="33"/>
      <c r="U148" s="7"/>
      <c r="V148" s="7"/>
    </row>
    <row r="149" spans="1:22" x14ac:dyDescent="0.25">
      <c r="A149" s="7"/>
      <c r="B149" s="7"/>
      <c r="C149" s="32"/>
      <c r="D149" s="7"/>
      <c r="E149" s="7"/>
      <c r="F149" s="33"/>
      <c r="G149" s="34"/>
      <c r="H149" s="34"/>
      <c r="I149" s="34"/>
      <c r="J149" s="31"/>
      <c r="K149" s="31"/>
      <c r="L149" s="31"/>
      <c r="M149" s="35"/>
      <c r="N149" s="35"/>
      <c r="O149" s="40"/>
      <c r="P149" s="40"/>
      <c r="Q149" s="7"/>
      <c r="R149" s="33"/>
      <c r="S149" s="7"/>
      <c r="T149" s="33"/>
      <c r="U149" s="7"/>
      <c r="V149" s="7"/>
    </row>
    <row r="150" spans="1:22" x14ac:dyDescent="0.25">
      <c r="A150" s="7"/>
      <c r="B150" s="7"/>
      <c r="C150" s="32"/>
      <c r="D150" s="7"/>
      <c r="E150" s="7"/>
      <c r="F150" s="33"/>
      <c r="G150" s="34"/>
      <c r="H150" s="34"/>
      <c r="I150" s="34"/>
      <c r="J150" s="31"/>
      <c r="K150" s="31"/>
      <c r="L150" s="31"/>
      <c r="M150" s="35"/>
      <c r="N150" s="35"/>
      <c r="O150" s="40"/>
      <c r="P150" s="40"/>
      <c r="Q150" s="7"/>
      <c r="R150" s="33"/>
      <c r="S150" s="7"/>
      <c r="T150" s="33"/>
      <c r="U150" s="7"/>
      <c r="V150" s="7"/>
    </row>
    <row r="151" spans="1:22" x14ac:dyDescent="0.25">
      <c r="A151" s="7"/>
      <c r="B151" s="7"/>
      <c r="C151" s="32"/>
      <c r="D151" s="7"/>
      <c r="E151" s="7"/>
      <c r="F151" s="33"/>
      <c r="G151" s="34"/>
      <c r="H151" s="34"/>
      <c r="I151" s="34"/>
      <c r="J151" s="31"/>
      <c r="K151" s="31"/>
      <c r="L151" s="31"/>
      <c r="M151" s="35"/>
      <c r="N151" s="35"/>
      <c r="O151" s="40"/>
      <c r="P151" s="40"/>
      <c r="Q151" s="7"/>
      <c r="R151" s="33"/>
      <c r="S151" s="7"/>
      <c r="T151" s="33"/>
      <c r="U151" s="7"/>
      <c r="V151" s="7"/>
    </row>
    <row r="152" spans="1:22" x14ac:dyDescent="0.25">
      <c r="A152" s="7"/>
      <c r="B152" s="7"/>
      <c r="C152" s="32"/>
      <c r="D152" s="7"/>
      <c r="E152" s="7"/>
      <c r="F152" s="33"/>
      <c r="G152" s="34"/>
      <c r="H152" s="34"/>
      <c r="I152" s="34"/>
      <c r="J152" s="31"/>
      <c r="K152" s="31"/>
      <c r="L152" s="31"/>
      <c r="M152" s="35"/>
      <c r="N152" s="35"/>
      <c r="O152" s="40"/>
      <c r="P152" s="40"/>
      <c r="Q152" s="7"/>
      <c r="R152" s="33"/>
      <c r="S152" s="7"/>
      <c r="T152" s="33"/>
      <c r="U152" s="7"/>
      <c r="V152" s="7"/>
    </row>
    <row r="153" spans="1:22" x14ac:dyDescent="0.25">
      <c r="A153" s="7"/>
      <c r="B153" s="7"/>
      <c r="C153" s="32"/>
      <c r="D153" s="7"/>
      <c r="E153" s="7"/>
      <c r="F153" s="33"/>
      <c r="G153" s="34"/>
      <c r="H153" s="34"/>
      <c r="I153" s="34"/>
      <c r="J153" s="31"/>
      <c r="K153" s="31"/>
      <c r="L153" s="31"/>
      <c r="M153" s="35"/>
      <c r="N153" s="35"/>
      <c r="O153" s="40"/>
      <c r="P153" s="40"/>
      <c r="Q153" s="7"/>
      <c r="R153" s="33"/>
      <c r="S153" s="7"/>
      <c r="T153" s="33"/>
      <c r="U153" s="7"/>
      <c r="V153" s="7"/>
    </row>
    <row r="154" spans="1:22" x14ac:dyDescent="0.25">
      <c r="A154" s="7"/>
      <c r="B154" s="7"/>
      <c r="C154" s="32"/>
      <c r="D154" s="7"/>
      <c r="E154" s="7"/>
      <c r="F154" s="33"/>
      <c r="G154" s="34"/>
      <c r="H154" s="34"/>
      <c r="I154" s="34"/>
      <c r="J154" s="31"/>
      <c r="K154" s="31"/>
      <c r="L154" s="31"/>
      <c r="M154" s="35"/>
      <c r="N154" s="35"/>
      <c r="O154" s="40"/>
      <c r="P154" s="40"/>
      <c r="Q154" s="7"/>
      <c r="R154" s="33"/>
      <c r="S154" s="7"/>
      <c r="T154" s="33"/>
      <c r="U154" s="7"/>
      <c r="V154" s="7"/>
    </row>
    <row r="155" spans="1:22" x14ac:dyDescent="0.25">
      <c r="A155" s="7"/>
      <c r="B155" s="7"/>
      <c r="C155" s="32"/>
      <c r="D155" s="7"/>
      <c r="E155" s="7"/>
      <c r="F155" s="33"/>
      <c r="G155" s="34"/>
      <c r="H155" s="34"/>
      <c r="I155" s="34"/>
      <c r="J155" s="31"/>
      <c r="K155" s="31"/>
      <c r="L155" s="31"/>
      <c r="M155" s="35"/>
      <c r="N155" s="35"/>
      <c r="O155" s="40"/>
      <c r="P155" s="40"/>
      <c r="Q155" s="7"/>
      <c r="R155" s="33"/>
      <c r="S155" s="7"/>
      <c r="T155" s="33"/>
      <c r="U155" s="7"/>
      <c r="V155" s="7"/>
    </row>
    <row r="156" spans="1:22" x14ac:dyDescent="0.25">
      <c r="A156" s="7"/>
      <c r="B156" s="7"/>
      <c r="C156" s="32"/>
      <c r="D156" s="7"/>
      <c r="E156" s="7"/>
      <c r="F156" s="33"/>
      <c r="G156" s="34"/>
      <c r="H156" s="34"/>
      <c r="I156" s="34"/>
      <c r="J156" s="31"/>
      <c r="K156" s="31"/>
      <c r="L156" s="31"/>
      <c r="M156" s="35"/>
      <c r="N156" s="35"/>
      <c r="O156" s="40"/>
      <c r="P156" s="40"/>
      <c r="Q156" s="7"/>
      <c r="R156" s="33"/>
      <c r="S156" s="7"/>
      <c r="T156" s="33"/>
      <c r="U156" s="7"/>
      <c r="V156" s="7"/>
    </row>
    <row r="157" spans="1:22" x14ac:dyDescent="0.25">
      <c r="A157" s="7"/>
      <c r="B157" s="7"/>
      <c r="C157" s="32"/>
      <c r="D157" s="7"/>
      <c r="E157" s="7"/>
      <c r="F157" s="33"/>
      <c r="G157" s="34"/>
      <c r="H157" s="34"/>
      <c r="I157" s="34"/>
      <c r="J157" s="31"/>
      <c r="K157" s="31"/>
      <c r="L157" s="31"/>
      <c r="M157" s="35"/>
      <c r="N157" s="35"/>
      <c r="O157" s="40"/>
      <c r="P157" s="40"/>
      <c r="Q157" s="7"/>
      <c r="R157" s="33"/>
      <c r="S157" s="7"/>
      <c r="T157" s="33"/>
      <c r="U157" s="7"/>
      <c r="V157" s="7"/>
    </row>
    <row r="158" spans="1:22" x14ac:dyDescent="0.25">
      <c r="A158" s="7"/>
      <c r="B158" s="7"/>
      <c r="C158" s="32"/>
      <c r="D158" s="7"/>
      <c r="E158" s="7"/>
      <c r="F158" s="33"/>
      <c r="G158" s="34"/>
      <c r="H158" s="34"/>
      <c r="I158" s="34"/>
      <c r="J158" s="31"/>
      <c r="K158" s="31"/>
      <c r="L158" s="31"/>
      <c r="M158" s="35"/>
      <c r="N158" s="35"/>
      <c r="O158" s="40"/>
      <c r="P158" s="40"/>
      <c r="Q158" s="7"/>
      <c r="R158" s="33"/>
      <c r="S158" s="7"/>
      <c r="T158" s="33"/>
      <c r="U158" s="7"/>
      <c r="V158" s="7"/>
    </row>
    <row r="159" spans="1:22" x14ac:dyDescent="0.25">
      <c r="A159" s="7"/>
      <c r="B159" s="7"/>
      <c r="C159" s="32"/>
      <c r="D159" s="7"/>
      <c r="E159" s="7"/>
      <c r="F159" s="33"/>
      <c r="G159" s="34"/>
      <c r="H159" s="34"/>
      <c r="I159" s="34"/>
      <c r="J159" s="31"/>
      <c r="K159" s="31"/>
      <c r="L159" s="31"/>
      <c r="M159" s="35"/>
      <c r="N159" s="35"/>
      <c r="O159" s="40"/>
      <c r="P159" s="40"/>
      <c r="Q159" s="7"/>
      <c r="R159" s="33"/>
      <c r="S159" s="7"/>
      <c r="T159" s="33"/>
      <c r="U159" s="7"/>
      <c r="V159" s="7"/>
    </row>
    <row r="160" spans="1:22" x14ac:dyDescent="0.25">
      <c r="A160" s="7"/>
      <c r="B160" s="7"/>
      <c r="C160" s="32"/>
      <c r="D160" s="7"/>
      <c r="E160" s="7"/>
      <c r="F160" s="33"/>
      <c r="G160" s="34"/>
      <c r="H160" s="34"/>
      <c r="I160" s="34"/>
      <c r="J160" s="31"/>
      <c r="K160" s="31"/>
      <c r="L160" s="31"/>
      <c r="M160" s="35"/>
      <c r="N160" s="35"/>
      <c r="O160" s="40"/>
      <c r="P160" s="40"/>
      <c r="Q160" s="7"/>
      <c r="R160" s="33"/>
      <c r="S160" s="7"/>
      <c r="T160" s="33"/>
      <c r="U160" s="7"/>
      <c r="V160" s="7"/>
    </row>
    <row r="161" spans="1:22" x14ac:dyDescent="0.25">
      <c r="A161" s="7"/>
      <c r="B161" s="7"/>
      <c r="C161" s="32"/>
      <c r="D161" s="7"/>
      <c r="E161" s="7"/>
      <c r="F161" s="33"/>
      <c r="G161" s="34"/>
      <c r="H161" s="34"/>
      <c r="I161" s="34"/>
      <c r="J161" s="31"/>
      <c r="K161" s="31"/>
      <c r="L161" s="31"/>
      <c r="M161" s="35"/>
      <c r="N161" s="35"/>
      <c r="O161" s="40"/>
      <c r="P161" s="40"/>
      <c r="Q161" s="7"/>
      <c r="R161" s="33"/>
      <c r="S161" s="7"/>
      <c r="T161" s="33"/>
      <c r="U161" s="7"/>
      <c r="V161" s="7"/>
    </row>
    <row r="162" spans="1:22" x14ac:dyDescent="0.25">
      <c r="A162" s="7"/>
      <c r="B162" s="7"/>
      <c r="C162" s="32"/>
      <c r="D162" s="7"/>
      <c r="E162" s="7"/>
      <c r="F162" s="33"/>
      <c r="G162" s="34"/>
      <c r="H162" s="34"/>
      <c r="I162" s="34"/>
      <c r="J162" s="31"/>
      <c r="K162" s="31"/>
      <c r="L162" s="31"/>
      <c r="M162" s="35"/>
      <c r="N162" s="35"/>
      <c r="O162" s="40"/>
      <c r="P162" s="40"/>
      <c r="Q162" s="7"/>
      <c r="R162" s="33"/>
      <c r="S162" s="7"/>
      <c r="T162" s="33"/>
      <c r="U162" s="7"/>
      <c r="V162" s="7"/>
    </row>
    <row r="163" spans="1:22" x14ac:dyDescent="0.25">
      <c r="A163" s="7"/>
      <c r="B163" s="7"/>
      <c r="C163" s="32"/>
      <c r="D163" s="7"/>
      <c r="E163" s="7"/>
      <c r="F163" s="33"/>
      <c r="G163" s="34"/>
      <c r="H163" s="34"/>
      <c r="I163" s="34"/>
      <c r="J163" s="31"/>
      <c r="K163" s="31"/>
      <c r="L163" s="31"/>
      <c r="M163" s="35"/>
      <c r="N163" s="35"/>
      <c r="O163" s="40"/>
      <c r="P163" s="40"/>
      <c r="Q163" s="7"/>
      <c r="R163" s="33"/>
      <c r="S163" s="7"/>
      <c r="T163" s="33"/>
      <c r="U163" s="7"/>
      <c r="V163" s="7"/>
    </row>
    <row r="164" spans="1:22" x14ac:dyDescent="0.25">
      <c r="A164" s="7"/>
      <c r="B164" s="7"/>
      <c r="C164" s="32"/>
      <c r="D164" s="7"/>
      <c r="E164" s="7"/>
      <c r="F164" s="33"/>
      <c r="G164" s="34"/>
      <c r="H164" s="34"/>
      <c r="I164" s="34"/>
      <c r="J164" s="31"/>
      <c r="K164" s="31"/>
      <c r="L164" s="31"/>
      <c r="M164" s="35"/>
      <c r="N164" s="35"/>
      <c r="O164" s="40"/>
      <c r="P164" s="40"/>
      <c r="Q164" s="7"/>
      <c r="R164" s="33"/>
      <c r="S164" s="7"/>
      <c r="T164" s="33"/>
      <c r="U164" s="7"/>
      <c r="V164" s="7"/>
    </row>
    <row r="165" spans="1:22" x14ac:dyDescent="0.25">
      <c r="A165" s="7"/>
      <c r="B165" s="7"/>
      <c r="C165" s="32"/>
      <c r="D165" s="7"/>
      <c r="E165" s="7"/>
      <c r="F165" s="33"/>
      <c r="G165" s="34"/>
      <c r="H165" s="34"/>
      <c r="I165" s="34"/>
      <c r="J165" s="31"/>
      <c r="K165" s="31"/>
      <c r="L165" s="31"/>
      <c r="M165" s="35"/>
      <c r="N165" s="35"/>
      <c r="O165" s="40"/>
      <c r="P165" s="40"/>
      <c r="Q165" s="7"/>
      <c r="R165" s="33"/>
      <c r="S165" s="7"/>
      <c r="T165" s="33"/>
      <c r="U165" s="7"/>
      <c r="V165" s="7"/>
    </row>
    <row r="166" spans="1:22" x14ac:dyDescent="0.25">
      <c r="A166" s="7"/>
      <c r="B166" s="7"/>
      <c r="C166" s="32"/>
      <c r="D166" s="7"/>
      <c r="E166" s="7"/>
      <c r="F166" s="33"/>
      <c r="G166" s="34"/>
      <c r="H166" s="34"/>
      <c r="I166" s="34"/>
      <c r="J166" s="31"/>
      <c r="K166" s="31"/>
      <c r="L166" s="31"/>
      <c r="M166" s="35"/>
      <c r="N166" s="35"/>
      <c r="O166" s="40"/>
      <c r="P166" s="40"/>
      <c r="Q166" s="7"/>
      <c r="R166" s="33"/>
      <c r="S166" s="7"/>
      <c r="T166" s="33"/>
      <c r="U166" s="7"/>
      <c r="V166" s="7"/>
    </row>
    <row r="167" spans="1:22" x14ac:dyDescent="0.25">
      <c r="A167" s="7"/>
      <c r="B167" s="7"/>
      <c r="C167" s="32"/>
      <c r="D167" s="7"/>
      <c r="E167" s="7"/>
      <c r="F167" s="33"/>
      <c r="G167" s="34"/>
      <c r="H167" s="34"/>
      <c r="I167" s="34"/>
      <c r="J167" s="31"/>
      <c r="K167" s="31"/>
      <c r="L167" s="31"/>
      <c r="M167" s="35"/>
      <c r="N167" s="35"/>
      <c r="O167" s="40"/>
      <c r="P167" s="40"/>
      <c r="Q167" s="7"/>
      <c r="R167" s="33"/>
      <c r="S167" s="7"/>
      <c r="T167" s="33"/>
      <c r="U167" s="7"/>
      <c r="V167" s="7"/>
    </row>
    <row r="168" spans="1:22" x14ac:dyDescent="0.25">
      <c r="A168" s="7"/>
      <c r="B168" s="7"/>
      <c r="C168" s="32"/>
      <c r="D168" s="7"/>
      <c r="E168" s="7"/>
      <c r="F168" s="33"/>
      <c r="G168" s="34"/>
      <c r="H168" s="34"/>
      <c r="I168" s="34"/>
      <c r="J168" s="31"/>
      <c r="K168" s="31"/>
      <c r="L168" s="31"/>
      <c r="M168" s="35"/>
      <c r="N168" s="35"/>
      <c r="O168" s="40"/>
      <c r="P168" s="40"/>
      <c r="Q168" s="7"/>
      <c r="R168" s="33"/>
      <c r="S168" s="7"/>
      <c r="T168" s="33"/>
      <c r="U168" s="7"/>
      <c r="V168" s="7"/>
    </row>
    <row r="169" spans="1:22" x14ac:dyDescent="0.25">
      <c r="A169" s="7"/>
      <c r="B169" s="7"/>
      <c r="C169" s="32"/>
      <c r="D169" s="7"/>
      <c r="E169" s="7"/>
      <c r="F169" s="33"/>
      <c r="G169" s="34"/>
      <c r="H169" s="34"/>
      <c r="I169" s="34"/>
      <c r="J169" s="31"/>
      <c r="K169" s="31"/>
      <c r="L169" s="31"/>
      <c r="M169" s="35"/>
      <c r="N169" s="35"/>
      <c r="O169" s="40"/>
      <c r="P169" s="40"/>
      <c r="Q169" s="7"/>
      <c r="R169" s="33"/>
      <c r="S169" s="7"/>
      <c r="T169" s="33"/>
      <c r="U169" s="7"/>
      <c r="V169" s="7"/>
    </row>
    <row r="170" spans="1:22" x14ac:dyDescent="0.25">
      <c r="A170" s="7"/>
      <c r="B170" s="7"/>
      <c r="C170" s="32"/>
      <c r="D170" s="7"/>
      <c r="E170" s="7"/>
      <c r="F170" s="33"/>
      <c r="G170" s="34"/>
      <c r="H170" s="34"/>
      <c r="I170" s="34"/>
      <c r="J170" s="31"/>
      <c r="K170" s="31"/>
      <c r="L170" s="31"/>
      <c r="M170" s="35"/>
      <c r="N170" s="35"/>
      <c r="O170" s="40"/>
      <c r="P170" s="40"/>
      <c r="Q170" s="7"/>
      <c r="R170" s="33"/>
      <c r="S170" s="7"/>
      <c r="T170" s="33"/>
      <c r="U170" s="7"/>
      <c r="V170" s="7"/>
    </row>
    <row r="171" spans="1:22" x14ac:dyDescent="0.25">
      <c r="A171" s="7"/>
      <c r="B171" s="7"/>
      <c r="C171" s="32"/>
      <c r="D171" s="7"/>
      <c r="E171" s="7"/>
      <c r="F171" s="33"/>
      <c r="G171" s="34"/>
      <c r="H171" s="34"/>
      <c r="I171" s="34"/>
      <c r="J171" s="31"/>
      <c r="K171" s="31"/>
      <c r="L171" s="31"/>
      <c r="M171" s="35"/>
      <c r="N171" s="35"/>
      <c r="O171" s="40"/>
      <c r="P171" s="40"/>
      <c r="Q171" s="7"/>
      <c r="R171" s="33"/>
      <c r="S171" s="7"/>
      <c r="T171" s="33"/>
      <c r="U171" s="7"/>
      <c r="V171" s="7"/>
    </row>
    <row r="172" spans="1:22" x14ac:dyDescent="0.25">
      <c r="A172" s="7"/>
      <c r="B172" s="7"/>
      <c r="C172" s="32"/>
      <c r="D172" s="7"/>
      <c r="E172" s="7"/>
      <c r="F172" s="33"/>
      <c r="G172" s="34"/>
      <c r="H172" s="34"/>
      <c r="I172" s="34"/>
      <c r="J172" s="31"/>
      <c r="K172" s="31"/>
      <c r="L172" s="31"/>
      <c r="M172" s="35"/>
      <c r="N172" s="35"/>
      <c r="O172" s="40"/>
      <c r="P172" s="40"/>
      <c r="Q172" s="7"/>
      <c r="R172" s="33"/>
      <c r="S172" s="7"/>
      <c r="T172" s="33"/>
      <c r="U172" s="7"/>
      <c r="V172" s="7"/>
    </row>
    <row r="173" spans="1:22" x14ac:dyDescent="0.25">
      <c r="A173" s="7"/>
      <c r="B173" s="7"/>
      <c r="C173" s="32"/>
      <c r="D173" s="7"/>
      <c r="E173" s="7"/>
      <c r="F173" s="33"/>
      <c r="G173" s="34"/>
      <c r="H173" s="34"/>
      <c r="I173" s="34"/>
      <c r="J173" s="31"/>
      <c r="K173" s="31"/>
      <c r="L173" s="31"/>
      <c r="M173" s="35"/>
      <c r="N173" s="35"/>
      <c r="O173" s="40"/>
      <c r="P173" s="40"/>
      <c r="Q173" s="7"/>
      <c r="R173" s="33"/>
      <c r="S173" s="7"/>
      <c r="T173" s="33"/>
      <c r="U173" s="7"/>
      <c r="V173" s="7"/>
    </row>
    <row r="174" spans="1:22" x14ac:dyDescent="0.25">
      <c r="A174" s="7"/>
      <c r="B174" s="7"/>
      <c r="C174" s="32"/>
      <c r="D174" s="7"/>
      <c r="E174" s="7"/>
      <c r="F174" s="33"/>
      <c r="G174" s="34"/>
      <c r="H174" s="34"/>
      <c r="I174" s="34"/>
      <c r="J174" s="31"/>
      <c r="K174" s="31"/>
      <c r="L174" s="31"/>
      <c r="M174" s="35"/>
      <c r="N174" s="35"/>
      <c r="O174" s="40"/>
      <c r="P174" s="40"/>
      <c r="Q174" s="7"/>
      <c r="R174" s="33"/>
      <c r="S174" s="7"/>
      <c r="T174" s="33"/>
      <c r="U174" s="7"/>
      <c r="V174" s="7"/>
    </row>
    <row r="175" spans="1:22" x14ac:dyDescent="0.25">
      <c r="A175" s="7"/>
      <c r="B175" s="7"/>
      <c r="C175" s="32"/>
      <c r="D175" s="7"/>
      <c r="E175" s="7"/>
      <c r="F175" s="33"/>
      <c r="G175" s="34"/>
      <c r="H175" s="34"/>
      <c r="I175" s="34"/>
      <c r="J175" s="31"/>
      <c r="K175" s="31"/>
      <c r="L175" s="31"/>
      <c r="M175" s="35"/>
      <c r="N175" s="35"/>
      <c r="O175" s="40"/>
      <c r="P175" s="40"/>
      <c r="Q175" s="7"/>
      <c r="R175" s="33"/>
      <c r="S175" s="7"/>
      <c r="T175" s="33"/>
      <c r="U175" s="7"/>
      <c r="V175" s="7"/>
    </row>
    <row r="176" spans="1:22" x14ac:dyDescent="0.25">
      <c r="A176" s="7"/>
      <c r="B176" s="7"/>
      <c r="C176" s="32"/>
      <c r="D176" s="7"/>
      <c r="E176" s="7"/>
      <c r="F176" s="33"/>
      <c r="G176" s="34"/>
      <c r="H176" s="34"/>
      <c r="I176" s="34"/>
      <c r="J176" s="31"/>
      <c r="K176" s="31"/>
      <c r="L176" s="31"/>
      <c r="M176" s="35"/>
      <c r="N176" s="35"/>
      <c r="O176" s="40"/>
      <c r="P176" s="40"/>
      <c r="Q176" s="7"/>
      <c r="R176" s="33"/>
      <c r="S176" s="7"/>
      <c r="T176" s="33"/>
      <c r="U176" s="7"/>
      <c r="V176" s="7"/>
    </row>
    <row r="177" spans="1:22" x14ac:dyDescent="0.25">
      <c r="A177" s="7"/>
      <c r="B177" s="7"/>
      <c r="C177" s="32"/>
      <c r="D177" s="7"/>
      <c r="E177" s="7"/>
      <c r="F177" s="33"/>
      <c r="G177" s="34"/>
      <c r="H177" s="34"/>
      <c r="I177" s="34"/>
      <c r="J177" s="31"/>
      <c r="K177" s="31"/>
      <c r="L177" s="31"/>
      <c r="M177" s="35"/>
      <c r="N177" s="35"/>
      <c r="O177" s="40"/>
      <c r="P177" s="40"/>
      <c r="Q177" s="7"/>
      <c r="R177" s="33"/>
      <c r="S177" s="7"/>
      <c r="T177" s="33"/>
      <c r="U177" s="7"/>
      <c r="V177" s="7"/>
    </row>
    <row r="178" spans="1:22" x14ac:dyDescent="0.25">
      <c r="A178" s="7"/>
      <c r="B178" s="7"/>
      <c r="C178" s="32"/>
      <c r="D178" s="7"/>
      <c r="E178" s="7"/>
      <c r="F178" s="33"/>
      <c r="G178" s="34"/>
      <c r="H178" s="34"/>
      <c r="I178" s="34"/>
      <c r="J178" s="31"/>
      <c r="K178" s="31"/>
      <c r="L178" s="31"/>
      <c r="M178" s="35"/>
      <c r="N178" s="35"/>
      <c r="O178" s="40"/>
      <c r="P178" s="40"/>
      <c r="Q178" s="7"/>
      <c r="R178" s="33"/>
      <c r="S178" s="7"/>
      <c r="T178" s="33"/>
      <c r="U178" s="7"/>
      <c r="V178" s="7"/>
    </row>
    <row r="179" spans="1:22" x14ac:dyDescent="0.25">
      <c r="A179" s="7"/>
      <c r="B179" s="7"/>
      <c r="C179" s="32"/>
      <c r="D179" s="7"/>
      <c r="E179" s="7"/>
      <c r="F179" s="33"/>
      <c r="G179" s="34"/>
      <c r="H179" s="34"/>
      <c r="I179" s="34"/>
      <c r="J179" s="31"/>
      <c r="K179" s="31"/>
      <c r="L179" s="31"/>
      <c r="M179" s="35"/>
      <c r="N179" s="35"/>
      <c r="O179" s="40"/>
      <c r="P179" s="40"/>
      <c r="Q179" s="7"/>
      <c r="R179" s="33"/>
      <c r="S179" s="7"/>
      <c r="T179" s="33"/>
      <c r="U179" s="7"/>
      <c r="V179" s="7"/>
    </row>
    <row r="180" spans="1:22" x14ac:dyDescent="0.25">
      <c r="A180" s="7"/>
      <c r="B180" s="7"/>
      <c r="C180" s="32"/>
      <c r="D180" s="7"/>
      <c r="E180" s="7"/>
      <c r="F180" s="33"/>
      <c r="G180" s="34"/>
      <c r="H180" s="34"/>
      <c r="I180" s="34"/>
      <c r="J180" s="31"/>
      <c r="K180" s="31"/>
      <c r="L180" s="31"/>
      <c r="M180" s="35"/>
      <c r="N180" s="35"/>
      <c r="O180" s="40"/>
      <c r="P180" s="40"/>
      <c r="Q180" s="7"/>
      <c r="R180" s="33"/>
      <c r="S180" s="7"/>
      <c r="T180" s="33"/>
      <c r="U180" s="7"/>
      <c r="V180" s="7"/>
    </row>
    <row r="181" spans="1:22" x14ac:dyDescent="0.25">
      <c r="A181" s="7"/>
      <c r="B181" s="7"/>
      <c r="C181" s="32"/>
      <c r="D181" s="7"/>
      <c r="E181" s="7"/>
      <c r="F181" s="33"/>
      <c r="G181" s="34"/>
      <c r="H181" s="34"/>
      <c r="I181" s="34"/>
      <c r="J181" s="31"/>
      <c r="K181" s="31"/>
      <c r="L181" s="31"/>
      <c r="M181" s="35"/>
      <c r="N181" s="35"/>
      <c r="O181" s="40"/>
      <c r="P181" s="40"/>
      <c r="Q181" s="7"/>
      <c r="R181" s="33"/>
      <c r="S181" s="7"/>
      <c r="T181" s="33"/>
      <c r="U181" s="7"/>
      <c r="V181" s="7"/>
    </row>
    <row r="182" spans="1:22" x14ac:dyDescent="0.25">
      <c r="A182" s="7"/>
      <c r="B182" s="7"/>
      <c r="C182" s="32"/>
      <c r="D182" s="7"/>
      <c r="E182" s="7"/>
      <c r="F182" s="33"/>
      <c r="G182" s="34"/>
      <c r="H182" s="34"/>
      <c r="I182" s="34"/>
      <c r="J182" s="31"/>
      <c r="K182" s="31"/>
      <c r="L182" s="31"/>
      <c r="M182" s="35"/>
      <c r="N182" s="35"/>
      <c r="O182" s="40"/>
      <c r="P182" s="40"/>
      <c r="Q182" s="7"/>
      <c r="R182" s="33"/>
      <c r="S182" s="7"/>
      <c r="T182" s="33"/>
      <c r="U182" s="7"/>
      <c r="V182" s="7"/>
    </row>
    <row r="183" spans="1:22" x14ac:dyDescent="0.25">
      <c r="A183" s="7"/>
      <c r="B183" s="7"/>
      <c r="C183" s="32"/>
      <c r="D183" s="7"/>
      <c r="E183" s="7"/>
      <c r="F183" s="33"/>
      <c r="G183" s="34"/>
      <c r="H183" s="34"/>
      <c r="I183" s="34"/>
      <c r="J183" s="31"/>
      <c r="K183" s="31"/>
      <c r="L183" s="31"/>
      <c r="M183" s="35"/>
      <c r="N183" s="35"/>
      <c r="O183" s="40"/>
      <c r="P183" s="40"/>
      <c r="Q183" s="7"/>
      <c r="R183" s="33"/>
      <c r="S183" s="7"/>
      <c r="T183" s="33"/>
      <c r="U183" s="7"/>
      <c r="V183" s="7"/>
    </row>
    <row r="184" spans="1:22" x14ac:dyDescent="0.25">
      <c r="A184" s="7"/>
      <c r="B184" s="7"/>
      <c r="C184" s="32"/>
      <c r="D184" s="7"/>
      <c r="E184" s="7"/>
      <c r="F184" s="33"/>
      <c r="G184" s="34"/>
      <c r="H184" s="34"/>
      <c r="I184" s="34"/>
      <c r="J184" s="31"/>
      <c r="K184" s="31"/>
      <c r="L184" s="31"/>
      <c r="M184" s="35"/>
      <c r="N184" s="35"/>
      <c r="O184" s="40"/>
      <c r="P184" s="40"/>
      <c r="Q184" s="7"/>
      <c r="R184" s="33"/>
      <c r="S184" s="7"/>
      <c r="T184" s="33"/>
      <c r="U184" s="7"/>
      <c r="V184" s="7"/>
    </row>
    <row r="185" spans="1:22" x14ac:dyDescent="0.25">
      <c r="A185" s="7"/>
      <c r="B185" s="7"/>
      <c r="C185" s="32"/>
      <c r="D185" s="7"/>
      <c r="E185" s="7"/>
      <c r="F185" s="33"/>
      <c r="G185" s="34"/>
      <c r="H185" s="34"/>
      <c r="I185" s="34"/>
      <c r="J185" s="31"/>
      <c r="K185" s="31"/>
      <c r="L185" s="31"/>
      <c r="M185" s="35"/>
      <c r="N185" s="35"/>
      <c r="O185" s="40"/>
      <c r="P185" s="40"/>
      <c r="Q185" s="7"/>
      <c r="R185" s="33"/>
      <c r="S185" s="7"/>
      <c r="T185" s="33"/>
      <c r="U185" s="7"/>
      <c r="V185" s="7"/>
    </row>
    <row r="186" spans="1:22" x14ac:dyDescent="0.25">
      <c r="A186" s="7"/>
      <c r="B186" s="7"/>
      <c r="C186" s="32"/>
      <c r="D186" s="7"/>
      <c r="E186" s="7"/>
      <c r="F186" s="33"/>
      <c r="G186" s="34"/>
      <c r="H186" s="34"/>
      <c r="I186" s="34"/>
      <c r="J186" s="31"/>
      <c r="K186" s="31"/>
      <c r="L186" s="31"/>
      <c r="M186" s="35"/>
      <c r="N186" s="35"/>
      <c r="O186" s="40"/>
      <c r="P186" s="40"/>
      <c r="Q186" s="7"/>
      <c r="R186" s="33"/>
      <c r="S186" s="7"/>
      <c r="T186" s="33"/>
      <c r="U186" s="7"/>
      <c r="V186" s="7"/>
    </row>
    <row r="187" spans="1:22" x14ac:dyDescent="0.25">
      <c r="A187" s="7"/>
      <c r="B187" s="7"/>
      <c r="C187" s="32"/>
      <c r="D187" s="7"/>
      <c r="E187" s="7"/>
      <c r="F187" s="33"/>
      <c r="G187" s="34"/>
      <c r="H187" s="34"/>
      <c r="I187" s="34"/>
      <c r="J187" s="31"/>
      <c r="K187" s="31"/>
      <c r="L187" s="31"/>
      <c r="M187" s="35"/>
      <c r="N187" s="35"/>
      <c r="O187" s="40"/>
      <c r="P187" s="40"/>
      <c r="Q187" s="7"/>
      <c r="R187" s="33"/>
      <c r="S187" s="7"/>
      <c r="T187" s="33"/>
      <c r="U187" s="7"/>
      <c r="V187" s="7"/>
    </row>
    <row r="188" spans="1:22" x14ac:dyDescent="0.25">
      <c r="A188" s="7"/>
      <c r="B188" s="7"/>
      <c r="C188" s="32"/>
      <c r="D188" s="7"/>
      <c r="E188" s="7"/>
      <c r="F188" s="33"/>
      <c r="G188" s="34"/>
      <c r="H188" s="34"/>
      <c r="I188" s="34"/>
      <c r="J188" s="31"/>
      <c r="K188" s="31"/>
      <c r="L188" s="31"/>
      <c r="M188" s="35"/>
      <c r="N188" s="35"/>
      <c r="O188" s="40"/>
      <c r="P188" s="40"/>
      <c r="Q188" s="7"/>
      <c r="R188" s="33"/>
      <c r="S188" s="7"/>
      <c r="T188" s="33"/>
      <c r="U188" s="7"/>
      <c r="V188" s="7"/>
    </row>
    <row r="189" spans="1:22" x14ac:dyDescent="0.25">
      <c r="A189" s="7"/>
      <c r="B189" s="7"/>
      <c r="C189" s="32"/>
      <c r="D189" s="7"/>
      <c r="E189" s="7"/>
      <c r="F189" s="33"/>
      <c r="G189" s="34"/>
      <c r="H189" s="34"/>
      <c r="I189" s="34"/>
      <c r="J189" s="31"/>
      <c r="K189" s="31"/>
      <c r="L189" s="31"/>
      <c r="M189" s="35"/>
      <c r="N189" s="35"/>
      <c r="O189" s="40"/>
      <c r="P189" s="40"/>
      <c r="Q189" s="7"/>
      <c r="R189" s="33"/>
      <c r="S189" s="7"/>
      <c r="T189" s="33"/>
      <c r="U189" s="7"/>
      <c r="V189" s="7"/>
    </row>
    <row r="190" spans="1:22" x14ac:dyDescent="0.25">
      <c r="A190" s="7"/>
      <c r="B190" s="7"/>
      <c r="C190" s="32"/>
      <c r="D190" s="7"/>
      <c r="E190" s="7"/>
      <c r="F190" s="33"/>
      <c r="G190" s="34"/>
      <c r="H190" s="34"/>
      <c r="I190" s="34"/>
      <c r="J190" s="31"/>
      <c r="K190" s="31"/>
      <c r="L190" s="31"/>
      <c r="M190" s="35"/>
      <c r="N190" s="35"/>
      <c r="O190" s="40"/>
      <c r="P190" s="40"/>
      <c r="Q190" s="7"/>
      <c r="R190" s="33"/>
      <c r="S190" s="7"/>
      <c r="T190" s="33"/>
      <c r="U190" s="7"/>
      <c r="V190" s="7"/>
    </row>
    <row r="191" spans="1:22" x14ac:dyDescent="0.25">
      <c r="A191" s="7"/>
      <c r="B191" s="7"/>
      <c r="C191" s="32"/>
      <c r="D191" s="7"/>
      <c r="E191" s="7"/>
      <c r="F191" s="33"/>
      <c r="G191" s="34"/>
      <c r="H191" s="34"/>
      <c r="I191" s="34"/>
      <c r="J191" s="31"/>
      <c r="K191" s="31"/>
      <c r="L191" s="31"/>
      <c r="M191" s="35"/>
      <c r="N191" s="35"/>
      <c r="O191" s="40"/>
      <c r="P191" s="40"/>
      <c r="Q191" s="7"/>
      <c r="R191" s="33"/>
      <c r="S191" s="7"/>
      <c r="T191" s="33"/>
      <c r="U191" s="7"/>
      <c r="V191" s="7"/>
    </row>
    <row r="192" spans="1:22" x14ac:dyDescent="0.25">
      <c r="A192" s="7"/>
      <c r="B192" s="7"/>
      <c r="C192" s="32"/>
      <c r="D192" s="7"/>
      <c r="E192" s="7"/>
      <c r="F192" s="33"/>
      <c r="G192" s="34"/>
      <c r="H192" s="34"/>
      <c r="I192" s="34"/>
      <c r="J192" s="31"/>
      <c r="K192" s="31"/>
      <c r="L192" s="31"/>
      <c r="M192" s="35"/>
      <c r="N192" s="35"/>
      <c r="O192" s="40"/>
      <c r="P192" s="40"/>
      <c r="Q192" s="7"/>
      <c r="R192" s="33"/>
      <c r="S192" s="7"/>
      <c r="T192" s="33"/>
      <c r="U192" s="7"/>
      <c r="V192" s="7"/>
    </row>
    <row r="193" spans="1:22" x14ac:dyDescent="0.25">
      <c r="A193" s="7"/>
      <c r="B193" s="7"/>
      <c r="C193" s="32"/>
      <c r="D193" s="7"/>
      <c r="E193" s="7"/>
      <c r="F193" s="33"/>
      <c r="G193" s="34"/>
      <c r="H193" s="34"/>
      <c r="I193" s="34"/>
      <c r="J193" s="31"/>
      <c r="K193" s="31"/>
      <c r="L193" s="31"/>
      <c r="M193" s="35"/>
      <c r="N193" s="35"/>
      <c r="O193" s="40"/>
      <c r="P193" s="40"/>
      <c r="Q193" s="7"/>
      <c r="R193" s="33"/>
      <c r="S193" s="7"/>
      <c r="T193" s="33"/>
      <c r="U193" s="7"/>
      <c r="V193" s="7"/>
    </row>
    <row r="194" spans="1:22" x14ac:dyDescent="0.25">
      <c r="A194" s="7"/>
      <c r="B194" s="7"/>
      <c r="C194" s="32"/>
      <c r="D194" s="7"/>
      <c r="E194" s="7"/>
      <c r="F194" s="33"/>
      <c r="G194" s="34"/>
      <c r="H194" s="34"/>
      <c r="I194" s="34"/>
      <c r="J194" s="31"/>
      <c r="K194" s="31"/>
      <c r="L194" s="31"/>
      <c r="M194" s="35"/>
      <c r="N194" s="35"/>
      <c r="O194" s="40"/>
      <c r="P194" s="40"/>
      <c r="Q194" s="7"/>
      <c r="R194" s="33"/>
      <c r="S194" s="7"/>
      <c r="T194" s="33"/>
      <c r="U194" s="7"/>
      <c r="V194" s="7"/>
    </row>
    <row r="195" spans="1:22" x14ac:dyDescent="0.25">
      <c r="A195" s="7"/>
      <c r="B195" s="7"/>
      <c r="C195" s="32"/>
      <c r="D195" s="7"/>
      <c r="E195" s="7"/>
      <c r="F195" s="33"/>
      <c r="G195" s="34"/>
      <c r="H195" s="34"/>
      <c r="I195" s="34"/>
      <c r="J195" s="31"/>
      <c r="K195" s="31"/>
      <c r="L195" s="31"/>
      <c r="M195" s="35"/>
      <c r="N195" s="35"/>
      <c r="O195" s="40"/>
      <c r="P195" s="40"/>
      <c r="Q195" s="7"/>
      <c r="R195" s="33"/>
      <c r="S195" s="7"/>
      <c r="T195" s="33"/>
      <c r="U195" s="7"/>
      <c r="V195" s="7"/>
    </row>
    <row r="196" spans="1:22" x14ac:dyDescent="0.25">
      <c r="A196" s="7"/>
      <c r="B196" s="7"/>
      <c r="C196" s="32"/>
      <c r="D196" s="7"/>
      <c r="E196" s="7"/>
      <c r="F196" s="33"/>
      <c r="G196" s="34"/>
      <c r="H196" s="34"/>
      <c r="I196" s="34"/>
      <c r="J196" s="31"/>
      <c r="K196" s="31"/>
      <c r="L196" s="31"/>
      <c r="M196" s="35"/>
      <c r="N196" s="35"/>
      <c r="O196" s="40"/>
      <c r="P196" s="40"/>
      <c r="Q196" s="7"/>
      <c r="R196" s="33"/>
      <c r="S196" s="7"/>
      <c r="T196" s="33"/>
      <c r="U196" s="7"/>
      <c r="V196" s="7"/>
    </row>
    <row r="197" spans="1:22" x14ac:dyDescent="0.25">
      <c r="A197" s="7"/>
      <c r="B197" s="7"/>
      <c r="C197" s="32"/>
      <c r="D197" s="7"/>
      <c r="E197" s="7"/>
      <c r="F197" s="33"/>
      <c r="G197" s="34"/>
      <c r="H197" s="34"/>
      <c r="I197" s="34"/>
      <c r="J197" s="31"/>
      <c r="K197" s="31"/>
      <c r="L197" s="31"/>
      <c r="M197" s="35"/>
      <c r="N197" s="35"/>
      <c r="O197" s="40"/>
      <c r="P197" s="40"/>
      <c r="Q197" s="7"/>
      <c r="R197" s="33"/>
      <c r="S197" s="7"/>
      <c r="T197" s="33"/>
      <c r="U197" s="7"/>
      <c r="V197" s="7"/>
    </row>
    <row r="198" spans="1:22" x14ac:dyDescent="0.25">
      <c r="A198" s="7"/>
      <c r="B198" s="7"/>
      <c r="C198" s="32"/>
      <c r="D198" s="7"/>
      <c r="E198" s="7"/>
      <c r="F198" s="33"/>
      <c r="G198" s="34"/>
      <c r="H198" s="34"/>
      <c r="I198" s="34"/>
      <c r="J198" s="31"/>
      <c r="K198" s="31"/>
      <c r="L198" s="31"/>
      <c r="M198" s="35"/>
      <c r="N198" s="35"/>
      <c r="O198" s="40"/>
      <c r="P198" s="40"/>
      <c r="Q198" s="7"/>
      <c r="R198" s="33"/>
      <c r="S198" s="7"/>
      <c r="T198" s="33"/>
      <c r="U198" s="7"/>
      <c r="V198" s="7"/>
    </row>
    <row r="199" spans="1:22" x14ac:dyDescent="0.25">
      <c r="A199" s="7"/>
      <c r="B199" s="7"/>
      <c r="C199" s="32"/>
      <c r="D199" s="7"/>
      <c r="E199" s="7"/>
      <c r="F199" s="33"/>
      <c r="G199" s="34"/>
      <c r="H199" s="34"/>
      <c r="I199" s="34"/>
      <c r="J199" s="31"/>
      <c r="K199" s="31"/>
      <c r="L199" s="31"/>
      <c r="M199" s="35"/>
      <c r="N199" s="35"/>
      <c r="O199" s="40"/>
      <c r="P199" s="40"/>
      <c r="Q199" s="7"/>
      <c r="R199" s="33"/>
      <c r="S199" s="7"/>
      <c r="T199" s="33"/>
      <c r="U199" s="7"/>
      <c r="V199" s="7"/>
    </row>
    <row r="200" spans="1:22" x14ac:dyDescent="0.25">
      <c r="A200" s="7"/>
      <c r="B200" s="7"/>
      <c r="C200" s="32"/>
      <c r="D200" s="7"/>
      <c r="E200" s="7"/>
      <c r="F200" s="33"/>
      <c r="G200" s="34"/>
      <c r="H200" s="34"/>
      <c r="I200" s="34"/>
      <c r="J200" s="31"/>
      <c r="K200" s="31"/>
      <c r="L200" s="31"/>
      <c r="M200" s="35"/>
      <c r="N200" s="35"/>
      <c r="O200" s="40"/>
      <c r="P200" s="40"/>
      <c r="Q200" s="7"/>
      <c r="R200" s="33"/>
      <c r="S200" s="7"/>
      <c r="T200" s="33"/>
      <c r="U200" s="7"/>
      <c r="V200" s="7"/>
    </row>
    <row r="201" spans="1:22" x14ac:dyDescent="0.25">
      <c r="A201" s="7"/>
      <c r="B201" s="7"/>
      <c r="C201" s="32"/>
      <c r="D201" s="7"/>
      <c r="E201" s="7"/>
      <c r="F201" s="33"/>
      <c r="G201" s="34"/>
      <c r="H201" s="34"/>
      <c r="I201" s="34"/>
      <c r="J201" s="31"/>
      <c r="K201" s="31"/>
      <c r="L201" s="31"/>
      <c r="M201" s="35"/>
      <c r="N201" s="35"/>
      <c r="O201" s="40"/>
      <c r="P201" s="40"/>
      <c r="Q201" s="7"/>
      <c r="R201" s="33"/>
      <c r="S201" s="7"/>
      <c r="T201" s="33"/>
      <c r="U201" s="7"/>
      <c r="V201" s="7"/>
    </row>
    <row r="202" spans="1:22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1:22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1:22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1:22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1:22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1:22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1:22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  <row r="356" spans="3:20" x14ac:dyDescent="0.25">
      <c r="C356" s="6"/>
      <c r="F356" s="1"/>
      <c r="G356" s="2"/>
      <c r="H356" s="2"/>
      <c r="I356" s="2"/>
      <c r="J356" s="4"/>
      <c r="K356" s="4"/>
      <c r="L356" s="4"/>
      <c r="M356" s="3"/>
      <c r="N356" s="3"/>
      <c r="R356" s="1"/>
      <c r="T356" s="1"/>
    </row>
  </sheetData>
  <mergeCells count="3">
    <mergeCell ref="A6:C6"/>
    <mergeCell ref="D6:G6"/>
    <mergeCell ref="A8:C8"/>
  </mergeCells>
  <conditionalFormatting sqref="M16">
    <cfRule type="expression" dxfId="1453" priority="617" stopIfTrue="1">
      <formula>$A16="Pipe"</formula>
    </cfRule>
  </conditionalFormatting>
  <conditionalFormatting sqref="Q202:Q356 S202:S356 J202:J356 U202:U356 A202:A356 O202:O356 M202:M356">
    <cfRule type="expression" dxfId="1452" priority="614">
      <formula>OR($A202="Pipe",$A202="Component",$A202="Volume")</formula>
    </cfRule>
  </conditionalFormatting>
  <conditionalFormatting sqref="T202:T356 R202:R356 E202:E356 L202:L356 P202:P356 V202:V356 N202:N356 I202:I356">
    <cfRule type="expression" dxfId="1451" priority="615">
      <formula>OR($A202="Pipe",$A202="Component",$A202="Volume")</formula>
    </cfRule>
  </conditionalFormatting>
  <conditionalFormatting sqref="K202:K356 B202:D356 G202:H356">
    <cfRule type="expression" dxfId="1450" priority="613">
      <formula>OR($A202="Pipe",$A202="Component",$A202="Volume")</formula>
    </cfRule>
  </conditionalFormatting>
  <conditionalFormatting sqref="U202:V356 A202:P356">
    <cfRule type="expression" dxfId="1449" priority="612">
      <formula>$A202="Pipe"</formula>
    </cfRule>
  </conditionalFormatting>
  <conditionalFormatting sqref="Q202:T356">
    <cfRule type="expression" dxfId="1448" priority="611">
      <formula>OR($A202="Volume",$A202="Pipe")</formula>
    </cfRule>
  </conditionalFormatting>
  <conditionalFormatting sqref="A202:V356">
    <cfRule type="expression" dxfId="1447" priority="610">
      <formula>$A202="Component"</formula>
    </cfRule>
  </conditionalFormatting>
  <conditionalFormatting sqref="U202:V356 A202:P356">
    <cfRule type="expression" dxfId="1446" priority="609">
      <formula>$A202="Volume"</formula>
    </cfRule>
  </conditionalFormatting>
  <conditionalFormatting sqref="J202:L356">
    <cfRule type="cellIs" dxfId="1445" priority="607" operator="notEqual">
      <formula>0</formula>
    </cfRule>
  </conditionalFormatting>
  <conditionalFormatting sqref="F202:F356">
    <cfRule type="expression" dxfId="1443" priority="616">
      <formula>OR($A202="Pipe",$A202="Component",$A202="Volume")</formula>
    </cfRule>
  </conditionalFormatting>
  <conditionalFormatting sqref="A22:P201">
    <cfRule type="expression" dxfId="28" priority="29">
      <formula>$A22="Pipe"</formula>
    </cfRule>
    <cfRule type="expression" dxfId="27" priority="27">
      <formula>$A22="Volume"</formula>
    </cfRule>
  </conditionalFormatting>
  <conditionalFormatting sqref="T22:V201">
    <cfRule type="expression" dxfId="26" priority="28">
      <formula>$A22="Pipe"</formula>
    </cfRule>
    <cfRule type="expression" dxfId="25" priority="26">
      <formula>$A22="Volume"</formula>
    </cfRule>
  </conditionalFormatting>
  <conditionalFormatting sqref="A22:V201">
    <cfRule type="expression" dxfId="24" priority="25">
      <formula>$A22="Junction"</formula>
    </cfRule>
  </conditionalFormatting>
  <conditionalFormatting sqref="Q22:T201">
    <cfRule type="expression" dxfId="23" priority="24">
      <formula>OR($A22="Pipe",$A22="Volume")</formula>
    </cfRule>
  </conditionalFormatting>
  <conditionalFormatting sqref="J22:L201">
    <cfRule type="expression" dxfId="22" priority="23">
      <formula>AND(OR($A22="Junction",$A22="Pipe",$A22="Volume"),J22&lt;&gt;0)</formula>
    </cfRule>
  </conditionalFormatting>
  <conditionalFormatting sqref="R22:R201">
    <cfRule type="expression" dxfId="21" priority="22">
      <formula>AND($A22="Junction",ISNUMBER(R22))</formula>
    </cfRule>
  </conditionalFormatting>
  <conditionalFormatting sqref="T22:T201">
    <cfRule type="expression" dxfId="20" priority="21">
      <formula>AND($A22="Junction",ISNUMBER(T22))</formula>
    </cfRule>
  </conditionalFormatting>
  <conditionalFormatting sqref="B22:D201">
    <cfRule type="expression" dxfId="19" priority="20">
      <formula>OR($A22="Junction",$A22="Pipe",$A22="Volume")</formula>
    </cfRule>
  </conditionalFormatting>
  <conditionalFormatting sqref="F22:F201">
    <cfRule type="expression" dxfId="18" priority="19">
      <formula>OR($A22="Junction",$A22="Pipe",$A22="Volume")</formula>
    </cfRule>
  </conditionalFormatting>
  <conditionalFormatting sqref="H22:H201">
    <cfRule type="expression" dxfId="17" priority="18">
      <formula>OR($A22="Junction",$A22="Pipe",$A22="Volume")</formula>
    </cfRule>
  </conditionalFormatting>
  <conditionalFormatting sqref="K22:K201">
    <cfRule type="expression" dxfId="16" priority="17">
      <formula>OR($A22="Junction",$A22="Pipe",$A22="Volume")</formula>
    </cfRule>
  </conditionalFormatting>
  <conditionalFormatting sqref="A22:A201">
    <cfRule type="expression" dxfId="15" priority="16">
      <formula>OR($A22="Junction",$A22="Pipe",$A22="Volume")</formula>
    </cfRule>
  </conditionalFormatting>
  <conditionalFormatting sqref="G22:G201">
    <cfRule type="expression" dxfId="14" priority="15">
      <formula>OR($A22="Junction",$A22="Pipe",$A22="Volume")</formula>
    </cfRule>
  </conditionalFormatting>
  <conditionalFormatting sqref="J22:J201">
    <cfRule type="expression" dxfId="13" priority="14">
      <formula>OR($A22="Junction",$A22="Pipe",$A22="Volume")</formula>
    </cfRule>
  </conditionalFormatting>
  <conditionalFormatting sqref="M22:M201">
    <cfRule type="expression" dxfId="12" priority="13">
      <formula>OR($A22="Junction",$A22="Pipe",$A22="Volume")</formula>
    </cfRule>
  </conditionalFormatting>
  <conditionalFormatting sqref="O22:O201">
    <cfRule type="expression" dxfId="11" priority="12">
      <formula>OR($A22="Junction",$A22="Pipe",$A22="Volume")</formula>
    </cfRule>
  </conditionalFormatting>
  <conditionalFormatting sqref="Q22:Q201">
    <cfRule type="expression" dxfId="10" priority="11">
      <formula>OR($A22="Junction",$A22="Pipe",$A22="Volume")</formula>
    </cfRule>
  </conditionalFormatting>
  <conditionalFormatting sqref="S22:S201">
    <cfRule type="expression" dxfId="9" priority="10">
      <formula>OR($A22="Junction",$A22="Pipe",$A22="Volume")</formula>
    </cfRule>
  </conditionalFormatting>
  <conditionalFormatting sqref="U22:U201">
    <cfRule type="expression" dxfId="8" priority="9">
      <formula>OR($A22="Junction",$A22="Pipe",$A22="Volume")</formula>
    </cfRule>
  </conditionalFormatting>
  <conditionalFormatting sqref="E22:E201">
    <cfRule type="expression" dxfId="7" priority="8">
      <formula>OR($A22="Junction",$A22="Pipe",$A22="Volume")</formula>
    </cfRule>
  </conditionalFormatting>
  <conditionalFormatting sqref="I22:I201">
    <cfRule type="expression" dxfId="6" priority="7">
      <formula>OR($A22="Junction",$A22="Pipe",$A22="Volume")</formula>
    </cfRule>
  </conditionalFormatting>
  <conditionalFormatting sqref="L22:L201">
    <cfRule type="expression" dxfId="5" priority="6">
      <formula>OR($A22="Junction",$A22="Pipe",$A22="Volume")</formula>
    </cfRule>
  </conditionalFormatting>
  <conditionalFormatting sqref="N22:N201">
    <cfRule type="expression" dxfId="4" priority="5">
      <formula>OR($A22="Junction",$A22="Pipe",$A22="Volume")</formula>
    </cfRule>
  </conditionalFormatting>
  <conditionalFormatting sqref="P22:P201">
    <cfRule type="expression" dxfId="3" priority="4">
      <formula>OR($A22="Junction",$A22="Pipe",$A22="Volume")</formula>
    </cfRule>
  </conditionalFormatting>
  <conditionalFormatting sqref="R22:R201">
    <cfRule type="expression" dxfId="2" priority="3">
      <formula>OR($A22="Junction",$A22="Pipe",$A22="Volume")</formula>
    </cfRule>
  </conditionalFormatting>
  <conditionalFormatting sqref="T22:T201">
    <cfRule type="expression" dxfId="1" priority="2">
      <formula>OR($A22="Junction",$A22="Pipe",$A22="Volume")</formula>
    </cfRule>
  </conditionalFormatting>
  <conditionalFormatting sqref="V22:V201">
    <cfRule type="expression" dxfId="0" priority="1">
      <formula>OR($A22="Junction",$A22="Pipe",$A22="Volume")</formula>
    </cfRule>
  </conditionalFormatting>
  <dataValidations count="2">
    <dataValidation type="list" allowBlank="1" showInputMessage="1" showErrorMessage="1" sqref="D5">
      <formula1>"'-debug,'-verbose,'"</formula1>
    </dataValidation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7" name="Button 3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8" name="Button 4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/>
  <dimension ref="A1:AB356"/>
  <sheetViews>
    <sheetView zoomScale="85" zoomScaleNormal="85" workbookViewId="0">
      <pane ySplit="4" topLeftCell="A36" activePane="bottomLeft" state="frozenSplit"/>
      <selection pane="bottomLeft" activeCell="A45" sqref="A45:V45"/>
    </sheetView>
  </sheetViews>
  <sheetFormatPr defaultRowHeight="15" x14ac:dyDescent="0.25"/>
  <cols>
    <col min="1" max="3" width="12.140625" customWidth="1"/>
    <col min="4" max="5" width="10.42578125" customWidth="1"/>
    <col min="6" max="6" width="12.5703125" customWidth="1"/>
    <col min="7" max="12" width="10.42578125" customWidth="1"/>
    <col min="13" max="13" width="11.42578125" customWidth="1"/>
    <col min="14" max="14" width="10.42578125" customWidth="1"/>
    <col min="15" max="16" width="10.42578125" style="8" customWidth="1"/>
    <col min="17" max="19" width="10.42578125" customWidth="1"/>
  </cols>
  <sheetData>
    <row r="1" spans="1:26" s="13" customFormat="1" ht="18" x14ac:dyDescent="0.25">
      <c r="A1" s="11" t="s">
        <v>48</v>
      </c>
      <c r="B1" s="11" t="s">
        <v>0</v>
      </c>
      <c r="C1" s="11" t="s">
        <v>1</v>
      </c>
      <c r="D1" s="11" t="s">
        <v>18</v>
      </c>
      <c r="E1" s="11" t="s">
        <v>46</v>
      </c>
      <c r="F1" s="11" t="s">
        <v>2</v>
      </c>
      <c r="G1" s="11" t="s">
        <v>3</v>
      </c>
      <c r="H1" s="11" t="s">
        <v>4</v>
      </c>
      <c r="I1" s="11" t="s">
        <v>25</v>
      </c>
      <c r="J1" s="11" t="s">
        <v>19</v>
      </c>
      <c r="K1" s="11" t="s">
        <v>20</v>
      </c>
      <c r="L1" s="11" t="s">
        <v>21</v>
      </c>
      <c r="M1" s="11" t="s">
        <v>8</v>
      </c>
      <c r="N1" s="11" t="s">
        <v>16</v>
      </c>
      <c r="O1" s="12" t="s">
        <v>5</v>
      </c>
      <c r="P1" s="12" t="s">
        <v>6</v>
      </c>
      <c r="Q1" s="11" t="s">
        <v>12</v>
      </c>
      <c r="R1" s="11" t="s">
        <v>15</v>
      </c>
      <c r="S1" s="11" t="s">
        <v>13</v>
      </c>
      <c r="T1" s="11" t="s">
        <v>14</v>
      </c>
      <c r="U1" s="11" t="s">
        <v>47</v>
      </c>
      <c r="V1" s="11" t="s">
        <v>44</v>
      </c>
      <c r="W1" s="11"/>
      <c r="Y1" s="11"/>
      <c r="Z1" s="11"/>
    </row>
    <row r="2" spans="1:26" s="13" customFormat="1" x14ac:dyDescent="0.25">
      <c r="A2" s="13" t="s">
        <v>26</v>
      </c>
      <c r="B2" s="13" t="s">
        <v>81</v>
      </c>
      <c r="O2" s="14"/>
      <c r="P2" s="14"/>
    </row>
    <row r="3" spans="1:26" s="13" customFormat="1" x14ac:dyDescent="0.25">
      <c r="B3" s="15" t="str">
        <f>HYPERLINK(B2,"(Link)")</f>
        <v>(Link)</v>
      </c>
      <c r="D3" s="15"/>
      <c r="E3" s="15"/>
      <c r="O3" s="14"/>
      <c r="P3" s="14"/>
    </row>
    <row r="4" spans="1:26" s="13" customFormat="1" x14ac:dyDescent="0.25"/>
    <row r="5" spans="1:26" ht="18.75" x14ac:dyDescent="0.3">
      <c r="A5" s="16" t="s">
        <v>54</v>
      </c>
      <c r="D5" s="38" t="s">
        <v>82</v>
      </c>
      <c r="O5"/>
      <c r="P5"/>
    </row>
    <row r="6" spans="1:26" x14ac:dyDescent="0.25">
      <c r="A6" s="36" t="s">
        <v>55</v>
      </c>
      <c r="B6" s="36"/>
      <c r="C6" s="36"/>
      <c r="D6" s="37" t="s">
        <v>83</v>
      </c>
      <c r="E6" s="37"/>
      <c r="F6" s="37"/>
      <c r="G6" s="37"/>
      <c r="O6"/>
      <c r="P6"/>
    </row>
    <row r="7" spans="1:26" x14ac:dyDescent="0.25">
      <c r="A7" t="s">
        <v>65</v>
      </c>
      <c r="D7" s="5" t="str">
        <f>HYPERLINK(SUBSTITUTE(D6,"XlsPipePlot.exe","Components\"))</f>
        <v>"C:\Danne\Kodning\XlsPipePlot\XlsPipePlotSource\bin\Debug\Components\"</v>
      </c>
      <c r="O7"/>
      <c r="P7"/>
    </row>
    <row r="8" spans="1:26" x14ac:dyDescent="0.25">
      <c r="A8" s="36" t="s">
        <v>56</v>
      </c>
      <c r="B8" s="36"/>
      <c r="C8" s="36"/>
      <c r="D8" s="5" t="s">
        <v>57</v>
      </c>
      <c r="O8"/>
      <c r="P8"/>
    </row>
    <row r="9" spans="1:26" x14ac:dyDescent="0.25">
      <c r="O9"/>
      <c r="P9"/>
    </row>
    <row r="10" spans="1:26" ht="18.75" x14ac:dyDescent="0.3">
      <c r="A10" s="16" t="s">
        <v>58</v>
      </c>
      <c r="O10"/>
      <c r="P10"/>
    </row>
    <row r="11" spans="1:26" x14ac:dyDescent="0.25">
      <c r="A11" t="s">
        <v>59</v>
      </c>
      <c r="O11"/>
      <c r="P11"/>
    </row>
    <row r="12" spans="1:26" ht="18" x14ac:dyDescent="0.35">
      <c r="A12" s="17" t="s">
        <v>60</v>
      </c>
      <c r="B12" s="18" t="s">
        <v>18</v>
      </c>
      <c r="C12" s="19" t="s">
        <v>61</v>
      </c>
      <c r="D12" s="20" t="s">
        <v>62</v>
      </c>
      <c r="E12" s="21" t="s">
        <v>63</v>
      </c>
      <c r="F12" s="19" t="s">
        <v>64</v>
      </c>
      <c r="O12"/>
      <c r="P12"/>
    </row>
    <row r="13" spans="1:26" x14ac:dyDescent="0.25">
      <c r="A13" s="22" t="s">
        <v>27</v>
      </c>
      <c r="B13" s="23" t="str">
        <f>D25</f>
        <v>TANK_25</v>
      </c>
      <c r="C13" s="24">
        <v>1</v>
      </c>
      <c r="D13" s="25">
        <v>0</v>
      </c>
      <c r="E13" s="26">
        <v>0</v>
      </c>
      <c r="F13" s="27">
        <v>50</v>
      </c>
      <c r="O13"/>
      <c r="P13"/>
    </row>
    <row r="14" spans="1:26" x14ac:dyDescent="0.25">
      <c r="A14" s="22"/>
      <c r="B14" s="23"/>
      <c r="C14" s="24"/>
      <c r="D14" s="25"/>
      <c r="E14" s="26"/>
      <c r="F14" s="27"/>
      <c r="O14"/>
      <c r="P14"/>
    </row>
    <row r="15" spans="1:26" x14ac:dyDescent="0.25">
      <c r="A15" s="22"/>
      <c r="B15" s="23"/>
      <c r="C15" s="24"/>
      <c r="D15" s="25"/>
      <c r="E15" s="26"/>
      <c r="F15" s="27"/>
      <c r="O15"/>
      <c r="P15"/>
    </row>
    <row r="16" spans="1:26" x14ac:dyDescent="0.25">
      <c r="A16" s="22"/>
      <c r="B16" s="23"/>
      <c r="C16" s="24"/>
      <c r="D16" s="25"/>
      <c r="E16" s="26"/>
      <c r="F16" s="27"/>
      <c r="O16"/>
      <c r="P16"/>
    </row>
    <row r="17" spans="1:28" x14ac:dyDescent="0.25">
      <c r="A17" s="22"/>
      <c r="B17" s="23"/>
      <c r="C17" s="24"/>
      <c r="D17" s="25"/>
      <c r="E17" s="26"/>
      <c r="F17" s="27"/>
      <c r="O17"/>
      <c r="P17"/>
    </row>
    <row r="18" spans="1:28" x14ac:dyDescent="0.25">
      <c r="A18" s="28"/>
      <c r="B18" s="28"/>
      <c r="C18" s="28"/>
      <c r="D18" s="29"/>
      <c r="E18" s="29"/>
      <c r="F18" s="29"/>
      <c r="O18"/>
      <c r="P18"/>
    </row>
    <row r="19" spans="1:28" x14ac:dyDescent="0.25">
      <c r="A19">
        <v>1</v>
      </c>
      <c r="B19">
        <f>A19+1</f>
        <v>2</v>
      </c>
      <c r="C19">
        <f t="shared" ref="C19:V19" si="0">B19+1</f>
        <v>3</v>
      </c>
      <c r="D19">
        <f t="shared" si="0"/>
        <v>4</v>
      </c>
      <c r="E19">
        <f t="shared" si="0"/>
        <v>5</v>
      </c>
      <c r="F19">
        <f t="shared" si="0"/>
        <v>6</v>
      </c>
      <c r="G19">
        <f t="shared" si="0"/>
        <v>7</v>
      </c>
      <c r="H19">
        <f t="shared" si="0"/>
        <v>8</v>
      </c>
      <c r="I19">
        <f t="shared" si="0"/>
        <v>9</v>
      </c>
      <c r="J19">
        <f t="shared" si="0"/>
        <v>10</v>
      </c>
      <c r="K19">
        <f t="shared" si="0"/>
        <v>11</v>
      </c>
      <c r="L19">
        <f t="shared" si="0"/>
        <v>12</v>
      </c>
      <c r="M19">
        <f t="shared" si="0"/>
        <v>13</v>
      </c>
      <c r="N19">
        <f t="shared" si="0"/>
        <v>14</v>
      </c>
      <c r="O19">
        <f t="shared" si="0"/>
        <v>15</v>
      </c>
      <c r="P19">
        <f t="shared" si="0"/>
        <v>16</v>
      </c>
      <c r="Q19">
        <f t="shared" si="0"/>
        <v>17</v>
      </c>
      <c r="R19">
        <f t="shared" si="0"/>
        <v>18</v>
      </c>
      <c r="S19">
        <f t="shared" si="0"/>
        <v>19</v>
      </c>
      <c r="T19">
        <f t="shared" si="0"/>
        <v>20</v>
      </c>
      <c r="U19">
        <f t="shared" si="0"/>
        <v>21</v>
      </c>
      <c r="V19">
        <f t="shared" si="0"/>
        <v>22</v>
      </c>
    </row>
    <row r="20" spans="1:28" x14ac:dyDescent="0.25">
      <c r="O20"/>
      <c r="P20"/>
    </row>
    <row r="21" spans="1:28" ht="15.75" thickBot="1" x14ac:dyDescent="0.3">
      <c r="A21" s="10" t="s">
        <v>53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</row>
    <row r="22" spans="1:28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39"/>
      <c r="P22" s="40"/>
      <c r="Q22" s="7"/>
      <c r="R22" s="33"/>
      <c r="S22" s="7"/>
      <c r="T22" s="33"/>
      <c r="U22" s="7"/>
      <c r="V22" s="7"/>
    </row>
    <row r="23" spans="1:28" x14ac:dyDescent="0.25">
      <c r="A23" s="7"/>
      <c r="B23" s="7"/>
      <c r="C23" s="32"/>
      <c r="D23" s="7"/>
      <c r="E23" s="7"/>
      <c r="F23" s="33"/>
      <c r="G23" s="34"/>
      <c r="H23" s="34"/>
      <c r="I23" s="34"/>
      <c r="J23" s="31"/>
      <c r="K23" s="31"/>
      <c r="L23" s="31"/>
      <c r="M23" s="35"/>
      <c r="N23" s="35"/>
      <c r="O23" s="39"/>
      <c r="P23" s="40"/>
      <c r="Q23" s="7"/>
      <c r="R23" s="33" t="b">
        <f>ISNUMBER(L31)</f>
        <v>1</v>
      </c>
      <c r="S23" s="7"/>
      <c r="T23" s="33"/>
      <c r="U23" s="7"/>
      <c r="V23" s="7"/>
    </row>
    <row r="24" spans="1:28" x14ac:dyDescent="0.25">
      <c r="A24" s="7" t="s">
        <v>28</v>
      </c>
      <c r="B24" s="7" t="s">
        <v>85</v>
      </c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39"/>
      <c r="P24" s="40"/>
      <c r="Q24" s="7"/>
      <c r="R24" s="33"/>
      <c r="S24" s="7"/>
      <c r="T24" s="33"/>
      <c r="U24" s="7"/>
      <c r="V24" s="7"/>
    </row>
    <row r="25" spans="1:28" x14ac:dyDescent="0.25">
      <c r="A25" s="7" t="s">
        <v>50</v>
      </c>
      <c r="B25" s="7" t="s">
        <v>23</v>
      </c>
      <c r="C25" s="32" t="s">
        <v>24</v>
      </c>
      <c r="D25" s="7" t="str">
        <f>CONCATENATE("TANK_",ROW())</f>
        <v>TANK_25</v>
      </c>
      <c r="E25" s="7"/>
      <c r="F25" s="33">
        <v>2</v>
      </c>
      <c r="G25" s="34">
        <v>-90</v>
      </c>
      <c r="H25" s="34">
        <v>0</v>
      </c>
      <c r="I25" s="34">
        <v>0</v>
      </c>
      <c r="J25" s="31">
        <v>0</v>
      </c>
      <c r="K25" s="31">
        <v>0</v>
      </c>
      <c r="L25" s="31">
        <v>0</v>
      </c>
      <c r="M25" s="35">
        <v>1200</v>
      </c>
      <c r="N25" s="35">
        <v>7</v>
      </c>
      <c r="O25" s="40"/>
      <c r="P25" s="40"/>
      <c r="Q25" s="7" t="s">
        <v>17</v>
      </c>
      <c r="R25" s="33"/>
      <c r="S25" s="7" t="s">
        <v>17</v>
      </c>
      <c r="T25" s="33"/>
      <c r="U25" s="7"/>
      <c r="V25" s="7"/>
    </row>
    <row r="26" spans="1:28" x14ac:dyDescent="0.25">
      <c r="A26" s="7"/>
      <c r="B26" s="7"/>
      <c r="C26" s="32"/>
      <c r="D26" s="7"/>
      <c r="E26" s="7"/>
      <c r="F26" s="33"/>
      <c r="G26" s="34"/>
      <c r="H26" s="34"/>
      <c r="I26" s="34"/>
      <c r="J26" s="31"/>
      <c r="K26" s="31"/>
      <c r="L26" s="31"/>
      <c r="M26" s="35"/>
      <c r="N26" s="35"/>
      <c r="O26" s="40"/>
      <c r="P26" s="40"/>
      <c r="Q26" s="7"/>
      <c r="R26" s="33"/>
      <c r="S26" s="7"/>
      <c r="T26" s="33"/>
      <c r="U26" s="7"/>
      <c r="V26" s="7"/>
    </row>
    <row r="27" spans="1:28" x14ac:dyDescent="0.25">
      <c r="A27" s="7" t="s">
        <v>88</v>
      </c>
      <c r="B27" s="7" t="s">
        <v>11</v>
      </c>
      <c r="C27" s="32" t="s">
        <v>22</v>
      </c>
      <c r="D27" s="7" t="str">
        <f>CONCATENATE("COMP_",ROW())</f>
        <v>COMP_27</v>
      </c>
      <c r="E27" s="7"/>
      <c r="F27" s="33">
        <v>0</v>
      </c>
      <c r="G27" s="34">
        <v>0</v>
      </c>
      <c r="H27" s="34">
        <v>0</v>
      </c>
      <c r="I27" s="34">
        <v>0</v>
      </c>
      <c r="J27" s="31">
        <v>0</v>
      </c>
      <c r="K27" s="31">
        <v>0</v>
      </c>
      <c r="L27" s="31">
        <v>0</v>
      </c>
      <c r="M27" s="35">
        <v>97.93</v>
      </c>
      <c r="N27" s="35">
        <v>2.02</v>
      </c>
      <c r="O27" s="40"/>
      <c r="P27" s="40"/>
      <c r="Q27" s="7" t="str">
        <f ca="1">OFFSET($A$1,ROW()-3,3)</f>
        <v>TANK_25</v>
      </c>
      <c r="R27" s="33" t="s">
        <v>67</v>
      </c>
      <c r="S27" s="7" t="str">
        <f ca="1">OFFSET($A$1,ROW()+1,3)</f>
        <v>PIPE_29</v>
      </c>
      <c r="T27" s="33">
        <v>5</v>
      </c>
      <c r="U27" s="7"/>
      <c r="V27" s="7"/>
    </row>
    <row r="28" spans="1:28" x14ac:dyDescent="0.25">
      <c r="A28" s="7"/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40"/>
      <c r="P28" s="40"/>
      <c r="Q28" s="7"/>
      <c r="R28" s="33"/>
      <c r="S28" s="7"/>
      <c r="T28" s="33"/>
      <c r="U28" s="7"/>
      <c r="V28" s="7"/>
    </row>
    <row r="29" spans="1:28" x14ac:dyDescent="0.25">
      <c r="A29" s="7" t="s">
        <v>7</v>
      </c>
      <c r="B29" s="7" t="s">
        <v>7</v>
      </c>
      <c r="C29" s="32" t="s">
        <v>7</v>
      </c>
      <c r="D29" s="7" t="str">
        <f t="shared" ref="D29:D39" si="1">CONCATENATE("PIPE_",ROW())</f>
        <v>PIPE_29</v>
      </c>
      <c r="E29" s="7"/>
      <c r="F29" s="33">
        <v>0.4</v>
      </c>
      <c r="G29" s="34">
        <v>-90</v>
      </c>
      <c r="H29" s="34">
        <v>0</v>
      </c>
      <c r="I29" s="34">
        <v>0</v>
      </c>
      <c r="J29" s="31">
        <v>4</v>
      </c>
      <c r="K29" s="31">
        <v>0</v>
      </c>
      <c r="L29" s="31">
        <v>0</v>
      </c>
      <c r="M29" s="35">
        <v>100</v>
      </c>
      <c r="N29" s="35">
        <v>3.05</v>
      </c>
      <c r="O29" s="40">
        <v>1.5</v>
      </c>
      <c r="P29" s="40"/>
      <c r="Q29" s="7"/>
      <c r="R29" s="33"/>
      <c r="S29" s="7"/>
      <c r="T29" s="33"/>
      <c r="U29" s="7"/>
      <c r="V29" s="7"/>
    </row>
    <row r="30" spans="1:28" x14ac:dyDescent="0.25">
      <c r="A30" s="7" t="s">
        <v>7</v>
      </c>
      <c r="B30" s="7" t="s">
        <v>7</v>
      </c>
      <c r="C30" s="32" t="s">
        <v>7</v>
      </c>
      <c r="D30" s="7" t="str">
        <f t="shared" si="1"/>
        <v>PIPE_30</v>
      </c>
      <c r="E30" s="7"/>
      <c r="F30" s="33">
        <v>1.5</v>
      </c>
      <c r="G30" s="34">
        <v>0</v>
      </c>
      <c r="H30" s="34">
        <v>0</v>
      </c>
      <c r="I30" s="34">
        <v>0</v>
      </c>
      <c r="J30" s="31">
        <v>5</v>
      </c>
      <c r="K30" s="31">
        <v>6</v>
      </c>
      <c r="L30" s="31">
        <v>0</v>
      </c>
      <c r="M30" s="35">
        <v>100</v>
      </c>
      <c r="N30" s="35">
        <v>3.05</v>
      </c>
      <c r="O30" s="40">
        <v>1.5</v>
      </c>
      <c r="P30" s="40"/>
      <c r="Q30" s="7"/>
      <c r="R30" s="33"/>
      <c r="S30" s="7"/>
      <c r="T30" s="33"/>
      <c r="U30" s="7"/>
      <c r="V30" s="7"/>
      <c r="X30" t="s">
        <v>17</v>
      </c>
      <c r="Y30" t="s">
        <v>17</v>
      </c>
      <c r="Z30" t="s">
        <v>17</v>
      </c>
      <c r="AA30" t="s">
        <v>17</v>
      </c>
      <c r="AB30" t="s">
        <v>17</v>
      </c>
    </row>
    <row r="31" spans="1:28" x14ac:dyDescent="0.25">
      <c r="A31" s="7" t="s">
        <v>7</v>
      </c>
      <c r="B31" s="7" t="s">
        <v>7</v>
      </c>
      <c r="C31" s="32" t="s">
        <v>7</v>
      </c>
      <c r="D31" s="7" t="str">
        <f t="shared" si="1"/>
        <v>PIPE_31</v>
      </c>
      <c r="E31" s="7"/>
      <c r="F31" s="33">
        <v>1</v>
      </c>
      <c r="G31" s="34">
        <v>-90</v>
      </c>
      <c r="H31" s="34">
        <v>0</v>
      </c>
      <c r="I31" s="34">
        <v>0</v>
      </c>
      <c r="J31" s="31">
        <v>0</v>
      </c>
      <c r="K31" s="31">
        <v>0</v>
      </c>
      <c r="L31" s="31">
        <v>5</v>
      </c>
      <c r="M31" s="35">
        <v>100</v>
      </c>
      <c r="N31" s="35">
        <v>3.05</v>
      </c>
      <c r="O31" s="40">
        <v>1.5</v>
      </c>
      <c r="P31" s="40"/>
      <c r="Q31" s="7"/>
      <c r="R31" s="33"/>
      <c r="S31" s="7"/>
      <c r="T31" s="33"/>
      <c r="U31" s="7"/>
      <c r="V31" s="7"/>
    </row>
    <row r="32" spans="1:28" x14ac:dyDescent="0.25">
      <c r="A32" s="7" t="s">
        <v>7</v>
      </c>
      <c r="B32" s="7" t="s">
        <v>7</v>
      </c>
      <c r="C32" s="32" t="s">
        <v>7</v>
      </c>
      <c r="D32" s="7" t="str">
        <f t="shared" si="1"/>
        <v>PIPE_32</v>
      </c>
      <c r="E32" s="7"/>
      <c r="F32" s="33">
        <v>1</v>
      </c>
      <c r="G32" s="34">
        <v>0</v>
      </c>
      <c r="H32" s="34">
        <v>270</v>
      </c>
      <c r="I32" s="34">
        <v>0</v>
      </c>
      <c r="J32" s="31">
        <v>0</v>
      </c>
      <c r="K32" s="31">
        <v>0</v>
      </c>
      <c r="L32" s="31">
        <v>0</v>
      </c>
      <c r="M32" s="35">
        <v>100</v>
      </c>
      <c r="N32" s="35">
        <v>3.05</v>
      </c>
      <c r="O32" s="40">
        <v>1.5</v>
      </c>
      <c r="P32" s="40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40"/>
      <c r="P33" s="40"/>
      <c r="Q33" s="7"/>
      <c r="R33" s="33"/>
      <c r="S33" s="7"/>
      <c r="T33" s="33"/>
      <c r="U33" s="7"/>
      <c r="V33" s="7"/>
    </row>
    <row r="34" spans="1:22" x14ac:dyDescent="0.25">
      <c r="A34" s="7" t="s">
        <v>88</v>
      </c>
      <c r="B34" s="7" t="s">
        <v>10</v>
      </c>
      <c r="C34" s="32" t="s">
        <v>84</v>
      </c>
      <c r="D34" s="7" t="str">
        <f>CONCATENATE("COMP_",ROW())</f>
        <v>COMP_34</v>
      </c>
      <c r="E34" s="7"/>
      <c r="F34" s="33">
        <v>0.2</v>
      </c>
      <c r="G34" s="34">
        <v>0</v>
      </c>
      <c r="H34" s="34">
        <v>270</v>
      </c>
      <c r="I34" s="34">
        <v>0</v>
      </c>
      <c r="J34" s="31">
        <v>0</v>
      </c>
      <c r="K34" s="31">
        <v>0</v>
      </c>
      <c r="L34" s="31">
        <v>0</v>
      </c>
      <c r="M34" s="35">
        <v>100</v>
      </c>
      <c r="N34" s="35">
        <v>3.05</v>
      </c>
      <c r="O34" s="40"/>
      <c r="P34" s="40"/>
      <c r="Q34" s="7" t="str">
        <f ca="1">OFFSET($A$1,ROW()-3,3)</f>
        <v>PIPE_32</v>
      </c>
      <c r="R34" s="33" t="s">
        <v>67</v>
      </c>
      <c r="S34" s="7" t="str">
        <f ca="1">OFFSET($A$1,ROW()+1,3)</f>
        <v>PIPE_36</v>
      </c>
      <c r="T34" s="33" t="s">
        <v>66</v>
      </c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40"/>
      <c r="P35" s="40"/>
      <c r="Q35" s="7"/>
      <c r="R35" s="33"/>
      <c r="S35" s="7"/>
      <c r="T35" s="33"/>
      <c r="U35" s="7"/>
      <c r="V35" s="7"/>
    </row>
    <row r="36" spans="1:22" x14ac:dyDescent="0.25">
      <c r="A36" s="7" t="s">
        <v>7</v>
      </c>
      <c r="B36" s="7" t="s">
        <v>7</v>
      </c>
      <c r="C36" s="32" t="s">
        <v>7</v>
      </c>
      <c r="D36" s="7" t="str">
        <f t="shared" si="1"/>
        <v>PIPE_36</v>
      </c>
      <c r="E36" s="7"/>
      <c r="F36" s="33">
        <v>1</v>
      </c>
      <c r="G36" s="34">
        <v>0</v>
      </c>
      <c r="H36" s="34">
        <v>270</v>
      </c>
      <c r="I36" s="34">
        <v>0</v>
      </c>
      <c r="J36" s="31">
        <v>0</v>
      </c>
      <c r="K36" s="31">
        <v>0</v>
      </c>
      <c r="L36" s="31">
        <v>0</v>
      </c>
      <c r="M36" s="35">
        <v>100</v>
      </c>
      <c r="N36" s="35">
        <v>3.05</v>
      </c>
      <c r="O36" s="40">
        <v>1.5</v>
      </c>
      <c r="P36" s="40"/>
      <c r="Q36" s="7"/>
      <c r="R36" s="33"/>
      <c r="S36" s="7"/>
      <c r="T36" s="33"/>
      <c r="U36" s="7"/>
      <c r="V36" s="7"/>
    </row>
    <row r="37" spans="1:22" x14ac:dyDescent="0.25">
      <c r="A37" s="7" t="s">
        <v>7</v>
      </c>
      <c r="B37" s="7" t="s">
        <v>7</v>
      </c>
      <c r="C37" s="32" t="s">
        <v>7</v>
      </c>
      <c r="D37" s="7" t="str">
        <f t="shared" si="1"/>
        <v>PIPE_37</v>
      </c>
      <c r="E37" s="7"/>
      <c r="F37" s="33">
        <v>1</v>
      </c>
      <c r="G37" s="34">
        <v>-90</v>
      </c>
      <c r="H37" s="34">
        <v>0</v>
      </c>
      <c r="I37" s="34">
        <v>0</v>
      </c>
      <c r="J37" s="31">
        <v>0</v>
      </c>
      <c r="K37" s="31">
        <v>0</v>
      </c>
      <c r="L37" s="31">
        <v>0</v>
      </c>
      <c r="M37" s="35">
        <v>100</v>
      </c>
      <c r="N37" s="35">
        <v>3.05</v>
      </c>
      <c r="O37" s="40">
        <v>1.5</v>
      </c>
      <c r="P37" s="40"/>
      <c r="Q37" s="7"/>
      <c r="R37" s="33"/>
      <c r="S37" s="7"/>
      <c r="T37" s="33"/>
      <c r="U37" s="7"/>
      <c r="V37" s="7"/>
    </row>
    <row r="38" spans="1:22" x14ac:dyDescent="0.25">
      <c r="A38" s="7" t="s">
        <v>7</v>
      </c>
      <c r="B38" s="7" t="s">
        <v>7</v>
      </c>
      <c r="C38" s="32" t="s">
        <v>7</v>
      </c>
      <c r="D38" s="7" t="str">
        <f t="shared" si="1"/>
        <v>PIPE_38</v>
      </c>
      <c r="E38" s="7"/>
      <c r="F38" s="33">
        <v>2</v>
      </c>
      <c r="G38" s="34">
        <v>0</v>
      </c>
      <c r="H38" s="34">
        <v>0</v>
      </c>
      <c r="I38" s="34">
        <v>0</v>
      </c>
      <c r="J38" s="31">
        <v>0</v>
      </c>
      <c r="K38" s="31">
        <v>0</v>
      </c>
      <c r="L38" s="31">
        <v>0</v>
      </c>
      <c r="M38" s="35">
        <v>100</v>
      </c>
      <c r="N38" s="35">
        <v>3.05</v>
      </c>
      <c r="O38" s="40">
        <v>1.5</v>
      </c>
      <c r="P38" s="40"/>
      <c r="Q38" s="7"/>
      <c r="R38" s="33"/>
      <c r="S38" s="7"/>
      <c r="T38" s="33"/>
      <c r="U38" s="7"/>
      <c r="V38" s="7"/>
    </row>
    <row r="39" spans="1:22" x14ac:dyDescent="0.25">
      <c r="A39" s="7" t="s">
        <v>7</v>
      </c>
      <c r="B39" s="7" t="s">
        <v>7</v>
      </c>
      <c r="C39" s="32" t="s">
        <v>7</v>
      </c>
      <c r="D39" s="7" t="str">
        <f t="shared" si="1"/>
        <v>PIPE_39</v>
      </c>
      <c r="E39" s="7"/>
      <c r="F39" s="33">
        <v>0.3</v>
      </c>
      <c r="G39" s="34">
        <v>-90</v>
      </c>
      <c r="H39" s="34">
        <v>0</v>
      </c>
      <c r="I39" s="34">
        <v>0</v>
      </c>
      <c r="J39" s="31">
        <v>0</v>
      </c>
      <c r="K39" s="31">
        <v>0</v>
      </c>
      <c r="L39" s="31">
        <v>0</v>
      </c>
      <c r="M39" s="35">
        <v>100</v>
      </c>
      <c r="N39" s="35">
        <v>3.05</v>
      </c>
      <c r="O39" s="40">
        <v>1.5</v>
      </c>
      <c r="P39" s="40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32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40"/>
      <c r="P40" s="40"/>
      <c r="Q40" s="7"/>
      <c r="R40" s="33"/>
      <c r="S40" s="7"/>
      <c r="T40" s="33"/>
      <c r="U40" s="7"/>
      <c r="V40" s="7"/>
    </row>
    <row r="41" spans="1:22" x14ac:dyDescent="0.25">
      <c r="A41" s="7" t="s">
        <v>88</v>
      </c>
      <c r="B41" s="7" t="s">
        <v>11</v>
      </c>
      <c r="C41" s="32" t="s">
        <v>11</v>
      </c>
      <c r="D41" s="7" t="str">
        <f>CONCATENATE("COMP_",ROW())</f>
        <v>COMP_41</v>
      </c>
      <c r="E41" s="7"/>
      <c r="F41" s="33">
        <v>0</v>
      </c>
      <c r="G41" s="34">
        <v>0</v>
      </c>
      <c r="H41" s="34">
        <v>0</v>
      </c>
      <c r="I41" s="34">
        <v>0</v>
      </c>
      <c r="J41" s="31">
        <v>1</v>
      </c>
      <c r="K41" s="31">
        <v>0</v>
      </c>
      <c r="L41" s="31">
        <v>0</v>
      </c>
      <c r="M41" s="35"/>
      <c r="N41" s="35"/>
      <c r="O41" s="40"/>
      <c r="P41" s="40"/>
      <c r="Q41" s="7" t="str">
        <f ca="1">OFFSET($A$1,ROW()-3,3)</f>
        <v>PIPE_39</v>
      </c>
      <c r="R41" s="33" t="s">
        <v>67</v>
      </c>
      <c r="S41" s="7" t="str">
        <f ca="1">OFFSET($A$1,ROW()+1,3)</f>
        <v>VOL_43</v>
      </c>
      <c r="T41" s="33" t="s">
        <v>66</v>
      </c>
      <c r="U41" s="7"/>
      <c r="V41" s="7"/>
    </row>
    <row r="42" spans="1:22" x14ac:dyDescent="0.25">
      <c r="A42" s="7"/>
      <c r="B42" s="7"/>
      <c r="C42" s="32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40"/>
      <c r="P42" s="40"/>
      <c r="Q42" s="7"/>
      <c r="R42" s="33"/>
      <c r="S42" s="7"/>
      <c r="T42" s="33"/>
      <c r="U42" s="7"/>
      <c r="V42" s="7"/>
    </row>
    <row r="43" spans="1:22" x14ac:dyDescent="0.25">
      <c r="A43" s="7" t="s">
        <v>50</v>
      </c>
      <c r="B43" s="7" t="s">
        <v>23</v>
      </c>
      <c r="C43" s="32" t="s">
        <v>86</v>
      </c>
      <c r="D43" s="7" t="str">
        <f>CONCATENATE("VOL_",ROW())</f>
        <v>VOL_43</v>
      </c>
      <c r="E43" s="7"/>
      <c r="F43" s="33">
        <v>1</v>
      </c>
      <c r="G43" s="34">
        <v>-90</v>
      </c>
      <c r="H43" s="34">
        <v>0</v>
      </c>
      <c r="I43" s="34">
        <v>0</v>
      </c>
      <c r="J43" s="31">
        <v>0</v>
      </c>
      <c r="K43" s="31">
        <v>0</v>
      </c>
      <c r="L43" s="31">
        <v>0</v>
      </c>
      <c r="M43" s="35">
        <v>3000</v>
      </c>
      <c r="N43" s="35">
        <v>7</v>
      </c>
      <c r="O43" s="40"/>
      <c r="P43" s="40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32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40"/>
      <c r="P44" s="40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32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40"/>
      <c r="P45" s="40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32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40"/>
      <c r="P46" s="40"/>
      <c r="Q46" s="7"/>
      <c r="R46" s="33"/>
      <c r="S46" s="7"/>
      <c r="T46" s="33"/>
      <c r="U46" s="7"/>
      <c r="V46" s="7"/>
    </row>
    <row r="47" spans="1:22" x14ac:dyDescent="0.25">
      <c r="A47" s="7" t="s">
        <v>28</v>
      </c>
      <c r="B47" s="7" t="s">
        <v>85</v>
      </c>
      <c r="C47" s="32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40"/>
      <c r="P47" s="40"/>
      <c r="Q47" s="7"/>
      <c r="R47" s="33"/>
      <c r="S47" s="7"/>
      <c r="T47" s="33"/>
      <c r="U47" s="7"/>
      <c r="V47" s="7"/>
    </row>
    <row r="48" spans="1:22" x14ac:dyDescent="0.25">
      <c r="A48" s="7" t="s">
        <v>51</v>
      </c>
      <c r="B48" s="7" t="s">
        <v>11</v>
      </c>
      <c r="C48" s="32" t="s">
        <v>22</v>
      </c>
      <c r="D48" s="7" t="str">
        <f>CONCATENATE("COMP_",ROW())</f>
        <v>COMP_48</v>
      </c>
      <c r="E48" s="7"/>
      <c r="F48" s="33">
        <v>0</v>
      </c>
      <c r="G48" s="34">
        <v>0</v>
      </c>
      <c r="H48" s="34">
        <v>0</v>
      </c>
      <c r="I48" s="34">
        <v>0</v>
      </c>
      <c r="J48" s="31">
        <v>0</v>
      </c>
      <c r="K48" s="31">
        <v>0</v>
      </c>
      <c r="L48" s="31">
        <v>0</v>
      </c>
      <c r="M48" s="35">
        <v>97.93</v>
      </c>
      <c r="N48" s="35">
        <v>2.02</v>
      </c>
      <c r="O48" s="40"/>
      <c r="P48" s="40"/>
      <c r="Q48" s="7" t="str">
        <f>D32</f>
        <v>PIPE_32</v>
      </c>
      <c r="R48" s="33">
        <v>0.5</v>
      </c>
      <c r="S48" s="7" t="str">
        <f ca="1">OFFSET($A$1,ROW()+1,3)</f>
        <v>PIPE_50</v>
      </c>
      <c r="T48" s="33" t="s">
        <v>66</v>
      </c>
      <c r="U48" s="7"/>
      <c r="V48" s="7"/>
    </row>
    <row r="49" spans="1:22" x14ac:dyDescent="0.25">
      <c r="A49" s="7"/>
      <c r="B49" s="7"/>
      <c r="C49" s="32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40"/>
      <c r="P49" s="40"/>
      <c r="Q49" s="7"/>
      <c r="R49" s="33"/>
      <c r="S49" s="7"/>
      <c r="T49" s="33"/>
      <c r="U49" s="7"/>
      <c r="V49" s="7"/>
    </row>
    <row r="50" spans="1:22" x14ac:dyDescent="0.25">
      <c r="A50" s="7" t="s">
        <v>7</v>
      </c>
      <c r="B50" s="7" t="s">
        <v>7</v>
      </c>
      <c r="C50" s="32" t="s">
        <v>7</v>
      </c>
      <c r="D50" s="7" t="str">
        <f t="shared" ref="D50:D56" si="2">CONCATENATE("PIPE_",ROW())</f>
        <v>PIPE_50</v>
      </c>
      <c r="E50" s="7"/>
      <c r="F50" s="33">
        <v>0.7</v>
      </c>
      <c r="G50" s="34">
        <v>0</v>
      </c>
      <c r="H50" s="34">
        <v>180</v>
      </c>
      <c r="I50" s="34">
        <v>0</v>
      </c>
      <c r="J50" s="31">
        <v>0</v>
      </c>
      <c r="K50" s="31">
        <v>0</v>
      </c>
      <c r="L50" s="31">
        <v>0</v>
      </c>
      <c r="M50" s="35">
        <v>100</v>
      </c>
      <c r="N50" s="35">
        <v>3.05</v>
      </c>
      <c r="O50" s="40">
        <v>1.5</v>
      </c>
      <c r="P50" s="40"/>
      <c r="Q50" s="7"/>
      <c r="R50" s="33"/>
      <c r="S50" s="7"/>
      <c r="T50" s="33"/>
      <c r="U50" s="7"/>
      <c r="V50" s="7"/>
    </row>
    <row r="51" spans="1:22" x14ac:dyDescent="0.25">
      <c r="A51" s="7" t="s">
        <v>7</v>
      </c>
      <c r="B51" s="7" t="s">
        <v>7</v>
      </c>
      <c r="C51" s="32" t="s">
        <v>7</v>
      </c>
      <c r="D51" s="7" t="str">
        <f t="shared" si="2"/>
        <v>PIPE_51</v>
      </c>
      <c r="E51" s="7"/>
      <c r="F51" s="33">
        <v>0.5</v>
      </c>
      <c r="G51" s="34">
        <v>0</v>
      </c>
      <c r="H51" s="34">
        <v>270</v>
      </c>
      <c r="I51" s="34">
        <v>0</v>
      </c>
      <c r="J51" s="31">
        <v>0</v>
      </c>
      <c r="K51" s="31">
        <v>0</v>
      </c>
      <c r="L51" s="31">
        <v>0</v>
      </c>
      <c r="M51" s="35">
        <v>100</v>
      </c>
      <c r="N51" s="35">
        <v>3.05</v>
      </c>
      <c r="O51" s="40">
        <v>1.5</v>
      </c>
      <c r="P51" s="40"/>
      <c r="Q51" s="7"/>
      <c r="R51" s="33"/>
      <c r="S51" s="7"/>
      <c r="T51" s="33"/>
      <c r="U51" s="7"/>
      <c r="V51" s="7"/>
    </row>
    <row r="52" spans="1:22" x14ac:dyDescent="0.25">
      <c r="A52" s="7"/>
      <c r="B52" s="7"/>
      <c r="C52" s="32"/>
      <c r="D52" s="7"/>
      <c r="E52" s="7"/>
      <c r="F52" s="33"/>
      <c r="G52" s="34"/>
      <c r="H52" s="34"/>
      <c r="I52" s="34"/>
      <c r="J52" s="31"/>
      <c r="K52" s="31"/>
      <c r="L52" s="31"/>
      <c r="M52" s="35"/>
      <c r="N52" s="35"/>
      <c r="O52" s="40"/>
      <c r="P52" s="40"/>
      <c r="Q52" s="7"/>
      <c r="R52" s="33"/>
      <c r="S52" s="7"/>
      <c r="T52" s="33"/>
      <c r="U52" s="7"/>
      <c r="V52" s="7"/>
    </row>
    <row r="53" spans="1:22" x14ac:dyDescent="0.25">
      <c r="A53" s="7" t="s">
        <v>51</v>
      </c>
      <c r="B53" s="7" t="s">
        <v>10</v>
      </c>
      <c r="C53" s="32" t="s">
        <v>87</v>
      </c>
      <c r="D53" s="7" t="str">
        <f>CONCATENATE("COMP_",ROW())</f>
        <v>COMP_53</v>
      </c>
      <c r="E53" s="7"/>
      <c r="F53" s="33">
        <v>0.2</v>
      </c>
      <c r="G53" s="34">
        <v>0</v>
      </c>
      <c r="H53" s="34">
        <v>270</v>
      </c>
      <c r="I53" s="34">
        <v>0</v>
      </c>
      <c r="J53" s="31">
        <v>0</v>
      </c>
      <c r="K53" s="31">
        <v>0</v>
      </c>
      <c r="L53" s="31">
        <v>0</v>
      </c>
      <c r="M53" s="35">
        <v>100</v>
      </c>
      <c r="N53" s="35">
        <v>3.05</v>
      </c>
      <c r="O53" s="40"/>
      <c r="P53" s="40"/>
      <c r="Q53" s="7" t="str">
        <f ca="1">OFFSET($A$1,ROW()-3,3)</f>
        <v>PIPE_51</v>
      </c>
      <c r="R53" s="33" t="s">
        <v>67</v>
      </c>
      <c r="S53" s="7" t="str">
        <f ca="1">OFFSET($A$1,ROW()+1,3)</f>
        <v>PIPE_55</v>
      </c>
      <c r="T53" s="33" t="s">
        <v>66</v>
      </c>
      <c r="U53" s="7"/>
      <c r="V53" s="7"/>
    </row>
    <row r="54" spans="1:22" x14ac:dyDescent="0.25">
      <c r="A54" s="7"/>
      <c r="B54" s="7"/>
      <c r="C54" s="32"/>
      <c r="D54" s="7"/>
      <c r="E54" s="7"/>
      <c r="F54" s="33"/>
      <c r="G54" s="34"/>
      <c r="H54" s="34"/>
      <c r="I54" s="34"/>
      <c r="J54" s="31"/>
      <c r="K54" s="31"/>
      <c r="L54" s="31"/>
      <c r="M54" s="35"/>
      <c r="N54" s="35"/>
      <c r="O54" s="40"/>
      <c r="P54" s="40"/>
      <c r="Q54" s="7"/>
      <c r="R54" s="33"/>
      <c r="S54" s="7"/>
      <c r="T54" s="33"/>
      <c r="U54" s="7"/>
      <c r="V54" s="7"/>
    </row>
    <row r="55" spans="1:22" x14ac:dyDescent="0.25">
      <c r="A55" s="7" t="s">
        <v>7</v>
      </c>
      <c r="B55" s="7" t="s">
        <v>7</v>
      </c>
      <c r="C55" s="32" t="s">
        <v>7</v>
      </c>
      <c r="D55" s="7" t="str">
        <f t="shared" si="2"/>
        <v>PIPE_55</v>
      </c>
      <c r="E55" s="7"/>
      <c r="F55" s="33">
        <v>0.5</v>
      </c>
      <c r="G55" s="34">
        <v>0</v>
      </c>
      <c r="H55" s="34">
        <v>270</v>
      </c>
      <c r="I55" s="34">
        <v>0</v>
      </c>
      <c r="J55" s="31">
        <v>0</v>
      </c>
      <c r="K55" s="31">
        <v>0</v>
      </c>
      <c r="L55" s="31">
        <v>0</v>
      </c>
      <c r="M55" s="35">
        <v>100</v>
      </c>
      <c r="N55" s="35">
        <v>3.05</v>
      </c>
      <c r="O55" s="40">
        <v>1.5</v>
      </c>
      <c r="P55" s="40"/>
      <c r="Q55" s="7"/>
      <c r="R55" s="33"/>
      <c r="S55" s="7"/>
      <c r="T55" s="33"/>
      <c r="U55" s="7"/>
      <c r="V55" s="7"/>
    </row>
    <row r="56" spans="1:22" x14ac:dyDescent="0.25">
      <c r="A56" s="7" t="s">
        <v>7</v>
      </c>
      <c r="B56" s="7" t="s">
        <v>7</v>
      </c>
      <c r="C56" s="32" t="s">
        <v>7</v>
      </c>
      <c r="D56" s="7" t="str">
        <f t="shared" si="2"/>
        <v>PIPE_56</v>
      </c>
      <c r="E56" s="7"/>
      <c r="F56" s="33">
        <v>0.7</v>
      </c>
      <c r="G56" s="34">
        <v>0</v>
      </c>
      <c r="H56" s="34">
        <v>0</v>
      </c>
      <c r="I56" s="34">
        <v>0</v>
      </c>
      <c r="J56" s="31">
        <v>0</v>
      </c>
      <c r="K56" s="31">
        <v>0</v>
      </c>
      <c r="L56" s="31">
        <v>0</v>
      </c>
      <c r="M56" s="35">
        <v>100</v>
      </c>
      <c r="N56" s="35">
        <v>3.05</v>
      </c>
      <c r="O56" s="40">
        <v>1.5</v>
      </c>
      <c r="P56" s="40"/>
      <c r="Q56" s="7"/>
      <c r="R56" s="33"/>
      <c r="S56" s="7"/>
      <c r="T56" s="33"/>
      <c r="U56" s="7"/>
      <c r="V56" s="7"/>
    </row>
    <row r="57" spans="1:22" x14ac:dyDescent="0.25">
      <c r="A57" s="7"/>
      <c r="B57" s="7"/>
      <c r="C57" s="32"/>
      <c r="D57" s="7"/>
      <c r="E57" s="7"/>
      <c r="F57" s="33"/>
      <c r="G57" s="34"/>
      <c r="H57" s="34"/>
      <c r="I57" s="34"/>
      <c r="J57" s="31"/>
      <c r="K57" s="31"/>
      <c r="L57" s="31"/>
      <c r="M57" s="35"/>
      <c r="N57" s="35"/>
      <c r="O57" s="40"/>
      <c r="P57" s="40"/>
      <c r="Q57" s="7"/>
      <c r="R57" s="33"/>
      <c r="S57" s="7"/>
      <c r="T57" s="33"/>
      <c r="U57" s="7"/>
      <c r="V57" s="7"/>
    </row>
    <row r="58" spans="1:22" x14ac:dyDescent="0.25">
      <c r="A58" s="7" t="s">
        <v>51</v>
      </c>
      <c r="B58" s="7" t="s">
        <v>11</v>
      </c>
      <c r="C58" s="32" t="s">
        <v>22</v>
      </c>
      <c r="D58" s="7" t="str">
        <f>CONCATENATE("COMP_",ROW())</f>
        <v>COMP_58</v>
      </c>
      <c r="E58" s="7"/>
      <c r="F58" s="33">
        <v>0</v>
      </c>
      <c r="G58" s="34">
        <v>0</v>
      </c>
      <c r="H58" s="34">
        <v>0</v>
      </c>
      <c r="I58" s="34">
        <v>0</v>
      </c>
      <c r="J58" s="31">
        <v>0</v>
      </c>
      <c r="K58" s="31">
        <v>0</v>
      </c>
      <c r="L58" s="31">
        <v>0</v>
      </c>
      <c r="M58" s="35">
        <v>97.93</v>
      </c>
      <c r="N58" s="35">
        <v>2.02</v>
      </c>
      <c r="O58" s="40"/>
      <c r="P58" s="40"/>
      <c r="Q58" s="7" t="str">
        <f ca="1">OFFSET($A$1,ROW()-3,3)</f>
        <v>PIPE_56</v>
      </c>
      <c r="R58" s="33" t="s">
        <v>67</v>
      </c>
      <c r="S58" s="7" t="str">
        <f>D36</f>
        <v>PIPE_36</v>
      </c>
      <c r="T58" s="33">
        <v>0.5</v>
      </c>
      <c r="U58" s="7"/>
      <c r="V58" s="7"/>
    </row>
    <row r="59" spans="1:22" x14ac:dyDescent="0.25">
      <c r="A59" s="7"/>
      <c r="B59" s="7"/>
      <c r="C59" s="32"/>
      <c r="D59" s="7"/>
      <c r="E59" s="7"/>
      <c r="F59" s="33"/>
      <c r="G59" s="34"/>
      <c r="H59" s="34"/>
      <c r="I59" s="34"/>
      <c r="J59" s="31"/>
      <c r="K59" s="31"/>
      <c r="L59" s="31"/>
      <c r="M59" s="35"/>
      <c r="N59" s="35"/>
      <c r="O59" s="40"/>
      <c r="P59" s="40"/>
      <c r="Q59" s="7"/>
      <c r="R59" s="33"/>
      <c r="S59" s="7"/>
      <c r="T59" s="33"/>
      <c r="U59" s="7"/>
      <c r="V59" s="7"/>
    </row>
    <row r="60" spans="1:22" x14ac:dyDescent="0.25">
      <c r="A60" s="7"/>
      <c r="B60" s="7"/>
      <c r="C60" s="32"/>
      <c r="D60" s="7"/>
      <c r="E60" s="7"/>
      <c r="F60" s="33"/>
      <c r="G60" s="34"/>
      <c r="H60" s="34"/>
      <c r="I60" s="34"/>
      <c r="J60" s="31"/>
      <c r="K60" s="31"/>
      <c r="L60" s="31"/>
      <c r="M60" s="35"/>
      <c r="N60" s="35"/>
      <c r="O60" s="40"/>
      <c r="P60" s="40"/>
      <c r="Q60" s="7"/>
      <c r="R60" s="33"/>
      <c r="S60" s="7"/>
      <c r="T60" s="33"/>
      <c r="U60" s="7"/>
      <c r="V60" s="7"/>
    </row>
    <row r="61" spans="1:22" x14ac:dyDescent="0.25">
      <c r="A61" s="7"/>
      <c r="B61" s="7"/>
      <c r="C61" s="32"/>
      <c r="D61" s="7"/>
      <c r="E61" s="7"/>
      <c r="F61" s="33"/>
      <c r="G61" s="34"/>
      <c r="H61" s="34"/>
      <c r="I61" s="34"/>
      <c r="J61" s="31"/>
      <c r="K61" s="31"/>
      <c r="L61" s="31"/>
      <c r="M61" s="35"/>
      <c r="N61" s="35"/>
      <c r="O61" s="40"/>
      <c r="P61" s="40"/>
      <c r="Q61" s="7"/>
      <c r="R61" s="33"/>
      <c r="S61" s="7"/>
      <c r="T61" s="33"/>
      <c r="U61" s="7"/>
      <c r="V61" s="7"/>
    </row>
    <row r="62" spans="1:22" x14ac:dyDescent="0.25">
      <c r="A62" s="7"/>
      <c r="B62" s="7"/>
      <c r="C62" s="32"/>
      <c r="D62" s="7"/>
      <c r="E62" s="7"/>
      <c r="F62" s="33"/>
      <c r="G62" s="34"/>
      <c r="H62" s="34"/>
      <c r="I62" s="34"/>
      <c r="J62" s="31"/>
      <c r="K62" s="31"/>
      <c r="L62" s="31"/>
      <c r="M62" s="35"/>
      <c r="N62" s="35"/>
      <c r="O62" s="40"/>
      <c r="P62" s="40"/>
      <c r="Q62" s="7"/>
      <c r="R62" s="33"/>
      <c r="S62" s="7"/>
      <c r="T62" s="33"/>
      <c r="U62" s="7"/>
      <c r="V62" s="7"/>
    </row>
    <row r="63" spans="1:22" x14ac:dyDescent="0.25">
      <c r="A63" s="7"/>
      <c r="B63" s="7"/>
      <c r="C63" s="32"/>
      <c r="D63" s="7"/>
      <c r="E63" s="7"/>
      <c r="F63" s="33"/>
      <c r="G63" s="34"/>
      <c r="H63" s="34"/>
      <c r="I63" s="34"/>
      <c r="J63" s="31"/>
      <c r="K63" s="31"/>
      <c r="L63" s="31"/>
      <c r="M63" s="35"/>
      <c r="N63" s="35"/>
      <c r="O63" s="40"/>
      <c r="P63" s="40"/>
      <c r="Q63" s="7"/>
      <c r="R63" s="33"/>
      <c r="S63" s="7"/>
      <c r="T63" s="33"/>
      <c r="U63" s="7"/>
      <c r="V63" s="7"/>
    </row>
    <row r="64" spans="1:22" x14ac:dyDescent="0.25">
      <c r="A64" s="7"/>
      <c r="B64" s="7"/>
      <c r="C64" s="32"/>
      <c r="D64" s="7"/>
      <c r="E64" s="7"/>
      <c r="F64" s="33"/>
      <c r="G64" s="34"/>
      <c r="H64" s="34"/>
      <c r="I64" s="34"/>
      <c r="J64" s="31"/>
      <c r="K64" s="31"/>
      <c r="L64" s="31"/>
      <c r="M64" s="35"/>
      <c r="N64" s="35"/>
      <c r="O64" s="40"/>
      <c r="P64" s="40"/>
      <c r="Q64" s="7"/>
      <c r="R64" s="33"/>
      <c r="S64" s="7"/>
      <c r="T64" s="33"/>
      <c r="U64" s="7"/>
      <c r="V64" s="7"/>
    </row>
    <row r="65" spans="1:22" x14ac:dyDescent="0.25">
      <c r="A65" s="7"/>
      <c r="B65" s="7"/>
      <c r="C65" s="32"/>
      <c r="D65" s="7"/>
      <c r="E65" s="7"/>
      <c r="F65" s="33"/>
      <c r="G65" s="34"/>
      <c r="H65" s="34"/>
      <c r="I65" s="34"/>
      <c r="J65" s="31"/>
      <c r="K65" s="31"/>
      <c r="L65" s="31"/>
      <c r="M65" s="35"/>
      <c r="N65" s="35"/>
      <c r="O65" s="40"/>
      <c r="P65" s="40"/>
      <c r="Q65" s="7"/>
      <c r="R65" s="33"/>
      <c r="S65" s="7"/>
      <c r="T65" s="33"/>
      <c r="U65" s="7"/>
      <c r="V65" s="7"/>
    </row>
    <row r="66" spans="1:22" x14ac:dyDescent="0.25">
      <c r="A66" s="7"/>
      <c r="B66" s="7"/>
      <c r="C66" s="32"/>
      <c r="D66" s="7"/>
      <c r="E66" s="7"/>
      <c r="F66" s="33"/>
      <c r="G66" s="34"/>
      <c r="H66" s="34"/>
      <c r="I66" s="34"/>
      <c r="J66" s="31"/>
      <c r="K66" s="31"/>
      <c r="L66" s="31"/>
      <c r="M66" s="35"/>
      <c r="N66" s="35"/>
      <c r="O66" s="40"/>
      <c r="P66" s="40"/>
      <c r="Q66" s="7"/>
      <c r="R66" s="33"/>
      <c r="S66" s="7"/>
      <c r="T66" s="33"/>
      <c r="U66" s="7"/>
      <c r="V66" s="7"/>
    </row>
    <row r="67" spans="1:22" x14ac:dyDescent="0.25">
      <c r="A67" s="7"/>
      <c r="B67" s="7"/>
      <c r="C67" s="32"/>
      <c r="D67" s="7"/>
      <c r="E67" s="7"/>
      <c r="F67" s="33"/>
      <c r="G67" s="34"/>
      <c r="H67" s="34"/>
      <c r="I67" s="34"/>
      <c r="J67" s="31"/>
      <c r="K67" s="31"/>
      <c r="L67" s="31"/>
      <c r="M67" s="35"/>
      <c r="N67" s="35"/>
      <c r="O67" s="40"/>
      <c r="P67" s="40"/>
      <c r="Q67" s="7"/>
      <c r="R67" s="33"/>
      <c r="S67" s="7"/>
      <c r="T67" s="33"/>
      <c r="U67" s="7"/>
      <c r="V67" s="7"/>
    </row>
    <row r="68" spans="1:22" x14ac:dyDescent="0.25">
      <c r="A68" s="7"/>
      <c r="B68" s="7"/>
      <c r="C68" s="32"/>
      <c r="D68" s="7"/>
      <c r="E68" s="7"/>
      <c r="F68" s="33"/>
      <c r="G68" s="34"/>
      <c r="H68" s="34"/>
      <c r="I68" s="34"/>
      <c r="J68" s="31"/>
      <c r="K68" s="31"/>
      <c r="L68" s="31"/>
      <c r="M68" s="35"/>
      <c r="N68" s="35"/>
      <c r="O68" s="40"/>
      <c r="P68" s="40"/>
      <c r="Q68" s="7"/>
      <c r="R68" s="33"/>
      <c r="S68" s="7"/>
      <c r="T68" s="33"/>
      <c r="U68" s="7"/>
      <c r="V68" s="7"/>
    </row>
    <row r="69" spans="1:22" x14ac:dyDescent="0.25">
      <c r="A69" s="7"/>
      <c r="B69" s="7"/>
      <c r="C69" s="32"/>
      <c r="D69" s="7"/>
      <c r="E69" s="7"/>
      <c r="F69" s="33"/>
      <c r="G69" s="34"/>
      <c r="H69" s="34"/>
      <c r="I69" s="34"/>
      <c r="J69" s="31"/>
      <c r="K69" s="31"/>
      <c r="L69" s="31"/>
      <c r="M69" s="35"/>
      <c r="N69" s="35"/>
      <c r="O69" s="40"/>
      <c r="P69" s="40"/>
      <c r="Q69" s="7"/>
      <c r="R69" s="33"/>
      <c r="S69" s="7"/>
      <c r="T69" s="33"/>
      <c r="U69" s="7"/>
      <c r="V69" s="7"/>
    </row>
    <row r="70" spans="1:22" x14ac:dyDescent="0.25">
      <c r="A70" s="7"/>
      <c r="B70" s="7"/>
      <c r="C70" s="32"/>
      <c r="D70" s="7"/>
      <c r="E70" s="7"/>
      <c r="F70" s="33"/>
      <c r="G70" s="34"/>
      <c r="H70" s="34"/>
      <c r="I70" s="34"/>
      <c r="J70" s="31"/>
      <c r="K70" s="31"/>
      <c r="L70" s="31"/>
      <c r="M70" s="35"/>
      <c r="N70" s="35"/>
      <c r="O70" s="40"/>
      <c r="P70" s="40"/>
      <c r="Q70" s="7"/>
      <c r="R70" s="33"/>
      <c r="S70" s="7"/>
      <c r="T70" s="33"/>
      <c r="U70" s="7"/>
      <c r="V70" s="7"/>
    </row>
    <row r="71" spans="1:22" x14ac:dyDescent="0.25">
      <c r="A71" s="7"/>
      <c r="B71" s="7"/>
      <c r="C71" s="32"/>
      <c r="D71" s="7"/>
      <c r="E71" s="7"/>
      <c r="F71" s="33"/>
      <c r="G71" s="34"/>
      <c r="H71" s="34"/>
      <c r="I71" s="34"/>
      <c r="J71" s="31"/>
      <c r="K71" s="31"/>
      <c r="L71" s="31"/>
      <c r="M71" s="35"/>
      <c r="N71" s="35"/>
      <c r="O71" s="40"/>
      <c r="P71" s="40"/>
      <c r="Q71" s="7"/>
      <c r="R71" s="33"/>
      <c r="S71" s="7"/>
      <c r="T71" s="33"/>
      <c r="U71" s="7"/>
      <c r="V71" s="7"/>
    </row>
    <row r="72" spans="1:22" x14ac:dyDescent="0.25">
      <c r="A72" s="7"/>
      <c r="B72" s="7"/>
      <c r="C72" s="32"/>
      <c r="D72" s="7"/>
      <c r="E72" s="7"/>
      <c r="F72" s="33"/>
      <c r="G72" s="34"/>
      <c r="H72" s="34"/>
      <c r="I72" s="34"/>
      <c r="J72" s="31"/>
      <c r="K72" s="31"/>
      <c r="L72" s="31"/>
      <c r="M72" s="35"/>
      <c r="N72" s="35"/>
      <c r="O72" s="40"/>
      <c r="P72" s="40"/>
      <c r="Q72" s="7"/>
      <c r="R72" s="33"/>
      <c r="S72" s="7"/>
      <c r="T72" s="33"/>
      <c r="U72" s="7"/>
      <c r="V72" s="7"/>
    </row>
    <row r="73" spans="1:22" x14ac:dyDescent="0.25">
      <c r="A73" s="7"/>
      <c r="B73" s="7"/>
      <c r="C73" s="32"/>
      <c r="D73" s="7"/>
      <c r="E73" s="7"/>
      <c r="F73" s="33"/>
      <c r="G73" s="34"/>
      <c r="H73" s="34"/>
      <c r="I73" s="34"/>
      <c r="J73" s="31"/>
      <c r="K73" s="31"/>
      <c r="L73" s="31"/>
      <c r="M73" s="35"/>
      <c r="N73" s="35"/>
      <c r="O73" s="40"/>
      <c r="P73" s="40"/>
      <c r="Q73" s="7"/>
      <c r="R73" s="33"/>
      <c r="S73" s="7"/>
      <c r="T73" s="33"/>
      <c r="U73" s="7"/>
      <c r="V73" s="7"/>
    </row>
    <row r="74" spans="1:22" x14ac:dyDescent="0.25">
      <c r="A74" s="7"/>
      <c r="B74" s="7"/>
      <c r="C74" s="32"/>
      <c r="D74" s="7"/>
      <c r="E74" s="7"/>
      <c r="F74" s="33"/>
      <c r="G74" s="34"/>
      <c r="H74" s="34"/>
      <c r="I74" s="34"/>
      <c r="J74" s="31"/>
      <c r="K74" s="31"/>
      <c r="L74" s="31"/>
      <c r="M74" s="35"/>
      <c r="N74" s="35"/>
      <c r="O74" s="40"/>
      <c r="P74" s="40"/>
      <c r="Q74" s="7"/>
      <c r="R74" s="33"/>
      <c r="S74" s="7"/>
      <c r="T74" s="33"/>
      <c r="U74" s="7"/>
      <c r="V74" s="7"/>
    </row>
    <row r="75" spans="1:22" x14ac:dyDescent="0.25">
      <c r="A75" s="7"/>
      <c r="B75" s="7"/>
      <c r="C75" s="32"/>
      <c r="D75" s="7"/>
      <c r="E75" s="7"/>
      <c r="F75" s="33"/>
      <c r="G75" s="34"/>
      <c r="H75" s="34"/>
      <c r="I75" s="34"/>
      <c r="J75" s="31"/>
      <c r="K75" s="31"/>
      <c r="L75" s="31"/>
      <c r="M75" s="35"/>
      <c r="N75" s="35"/>
      <c r="O75" s="40"/>
      <c r="P75" s="40"/>
      <c r="Q75" s="7"/>
      <c r="R75" s="33"/>
      <c r="S75" s="7"/>
      <c r="T75" s="33"/>
      <c r="U75" s="7"/>
      <c r="V75" s="7"/>
    </row>
    <row r="76" spans="1:22" x14ac:dyDescent="0.25">
      <c r="A76" s="7"/>
      <c r="B76" s="7"/>
      <c r="C76" s="32"/>
      <c r="D76" s="7"/>
      <c r="E76" s="7"/>
      <c r="F76" s="33"/>
      <c r="G76" s="34"/>
      <c r="H76" s="34"/>
      <c r="I76" s="34"/>
      <c r="J76" s="31"/>
      <c r="K76" s="31"/>
      <c r="L76" s="31"/>
      <c r="M76" s="35"/>
      <c r="N76" s="35"/>
      <c r="O76" s="40"/>
      <c r="P76" s="40"/>
      <c r="Q76" s="7"/>
      <c r="R76" s="33"/>
      <c r="S76" s="7"/>
      <c r="T76" s="33"/>
      <c r="U76" s="7"/>
      <c r="V76" s="7"/>
    </row>
    <row r="77" spans="1:22" x14ac:dyDescent="0.25">
      <c r="A77" s="7"/>
      <c r="B77" s="7"/>
      <c r="C77" s="32"/>
      <c r="D77" s="7"/>
      <c r="E77" s="7"/>
      <c r="F77" s="33"/>
      <c r="G77" s="34"/>
      <c r="H77" s="34"/>
      <c r="I77" s="34"/>
      <c r="J77" s="31"/>
      <c r="K77" s="31"/>
      <c r="L77" s="31"/>
      <c r="M77" s="35"/>
      <c r="N77" s="35"/>
      <c r="O77" s="40"/>
      <c r="P77" s="40"/>
      <c r="Q77" s="7"/>
      <c r="R77" s="33"/>
      <c r="S77" s="7"/>
      <c r="T77" s="33"/>
      <c r="U77" s="7"/>
      <c r="V77" s="7"/>
    </row>
    <row r="78" spans="1:22" x14ac:dyDescent="0.25">
      <c r="A78" s="7"/>
      <c r="B78" s="7"/>
      <c r="C78" s="32"/>
      <c r="D78" s="7"/>
      <c r="E78" s="7"/>
      <c r="F78" s="33"/>
      <c r="G78" s="34"/>
      <c r="H78" s="34"/>
      <c r="I78" s="34"/>
      <c r="J78" s="31"/>
      <c r="K78" s="31"/>
      <c r="L78" s="31"/>
      <c r="M78" s="35"/>
      <c r="N78" s="35"/>
      <c r="O78" s="40"/>
      <c r="P78" s="40"/>
      <c r="Q78" s="7"/>
      <c r="R78" s="33"/>
      <c r="S78" s="7"/>
      <c r="T78" s="33"/>
      <c r="U78" s="7"/>
      <c r="V78" s="7"/>
    </row>
    <row r="79" spans="1:22" x14ac:dyDescent="0.25">
      <c r="A79" s="7"/>
      <c r="B79" s="7"/>
      <c r="C79" s="32"/>
      <c r="D79" s="7"/>
      <c r="E79" s="7"/>
      <c r="F79" s="33"/>
      <c r="G79" s="34"/>
      <c r="H79" s="34"/>
      <c r="I79" s="34"/>
      <c r="J79" s="31"/>
      <c r="K79" s="31"/>
      <c r="L79" s="31"/>
      <c r="M79" s="35"/>
      <c r="N79" s="35"/>
      <c r="O79" s="40"/>
      <c r="P79" s="40"/>
      <c r="Q79" s="7"/>
      <c r="R79" s="33"/>
      <c r="S79" s="7"/>
      <c r="T79" s="33"/>
      <c r="U79" s="7"/>
      <c r="V79" s="7"/>
    </row>
    <row r="80" spans="1:22" x14ac:dyDescent="0.25">
      <c r="A80" s="7"/>
      <c r="B80" s="7"/>
      <c r="C80" s="32"/>
      <c r="D80" s="7"/>
      <c r="E80" s="7"/>
      <c r="F80" s="33"/>
      <c r="G80" s="34"/>
      <c r="H80" s="34"/>
      <c r="I80" s="34"/>
      <c r="J80" s="31"/>
      <c r="K80" s="31"/>
      <c r="L80" s="31"/>
      <c r="M80" s="35"/>
      <c r="N80" s="35"/>
      <c r="O80" s="40"/>
      <c r="P80" s="40"/>
      <c r="Q80" s="7"/>
      <c r="R80" s="33"/>
      <c r="S80" s="7"/>
      <c r="T80" s="33"/>
      <c r="U80" s="7"/>
      <c r="V80" s="7"/>
    </row>
    <row r="81" spans="1:22" x14ac:dyDescent="0.25">
      <c r="A81" s="7"/>
      <c r="B81" s="7"/>
      <c r="C81" s="32"/>
      <c r="D81" s="7"/>
      <c r="E81" s="7"/>
      <c r="F81" s="33"/>
      <c r="G81" s="34"/>
      <c r="H81" s="34"/>
      <c r="I81" s="34"/>
      <c r="J81" s="31"/>
      <c r="K81" s="31"/>
      <c r="L81" s="31"/>
      <c r="M81" s="35"/>
      <c r="N81" s="35"/>
      <c r="O81" s="40"/>
      <c r="P81" s="40"/>
      <c r="Q81" s="7"/>
      <c r="R81" s="33"/>
      <c r="S81" s="7"/>
      <c r="T81" s="33"/>
      <c r="U81" s="7"/>
      <c r="V81" s="7"/>
    </row>
    <row r="82" spans="1:22" x14ac:dyDescent="0.25">
      <c r="A82" s="7"/>
      <c r="B82" s="7"/>
      <c r="C82" s="32"/>
      <c r="D82" s="7"/>
      <c r="E82" s="7"/>
      <c r="F82" s="33"/>
      <c r="G82" s="34"/>
      <c r="H82" s="34"/>
      <c r="I82" s="34"/>
      <c r="J82" s="31"/>
      <c r="K82" s="31"/>
      <c r="L82" s="31"/>
      <c r="M82" s="35"/>
      <c r="N82" s="35"/>
      <c r="O82" s="40"/>
      <c r="P82" s="40"/>
      <c r="Q82" s="7"/>
      <c r="R82" s="33"/>
      <c r="S82" s="7"/>
      <c r="T82" s="33"/>
      <c r="U82" s="7"/>
      <c r="V82" s="7"/>
    </row>
    <row r="83" spans="1:22" x14ac:dyDescent="0.25">
      <c r="A83" s="7"/>
      <c r="B83" s="7"/>
      <c r="C83" s="32"/>
      <c r="D83" s="7"/>
      <c r="E83" s="7"/>
      <c r="F83" s="33"/>
      <c r="G83" s="34"/>
      <c r="H83" s="34"/>
      <c r="I83" s="34"/>
      <c r="J83" s="31"/>
      <c r="K83" s="31"/>
      <c r="L83" s="31"/>
      <c r="M83" s="35"/>
      <c r="N83" s="35"/>
      <c r="O83" s="40"/>
      <c r="P83" s="40"/>
      <c r="Q83" s="7"/>
      <c r="R83" s="33"/>
      <c r="S83" s="7"/>
      <c r="T83" s="33"/>
      <c r="U83" s="7"/>
      <c r="V83" s="7"/>
    </row>
    <row r="84" spans="1:22" x14ac:dyDescent="0.25">
      <c r="A84" s="7"/>
      <c r="B84" s="7"/>
      <c r="C84" s="32"/>
      <c r="D84" s="7"/>
      <c r="E84" s="7"/>
      <c r="F84" s="33"/>
      <c r="G84" s="34"/>
      <c r="H84" s="34"/>
      <c r="I84" s="34"/>
      <c r="J84" s="31"/>
      <c r="K84" s="31"/>
      <c r="L84" s="31"/>
      <c r="M84" s="35"/>
      <c r="N84" s="35"/>
      <c r="O84" s="40"/>
      <c r="P84" s="40"/>
      <c r="Q84" s="7"/>
      <c r="R84" s="33"/>
      <c r="S84" s="7"/>
      <c r="T84" s="33"/>
      <c r="U84" s="7"/>
      <c r="V84" s="7"/>
    </row>
    <row r="85" spans="1:22" x14ac:dyDescent="0.25">
      <c r="A85" s="7"/>
      <c r="B85" s="7"/>
      <c r="C85" s="32"/>
      <c r="D85" s="7"/>
      <c r="E85" s="7"/>
      <c r="F85" s="33"/>
      <c r="G85" s="34"/>
      <c r="H85" s="34"/>
      <c r="I85" s="34"/>
      <c r="J85" s="31"/>
      <c r="K85" s="31"/>
      <c r="L85" s="31"/>
      <c r="M85" s="35"/>
      <c r="N85" s="35"/>
      <c r="O85" s="40"/>
      <c r="P85" s="40"/>
      <c r="Q85" s="7"/>
      <c r="R85" s="33"/>
      <c r="S85" s="7"/>
      <c r="T85" s="33"/>
      <c r="U85" s="7"/>
      <c r="V85" s="7"/>
    </row>
    <row r="86" spans="1:22" x14ac:dyDescent="0.25">
      <c r="A86" s="7"/>
      <c r="B86" s="7"/>
      <c r="C86" s="32"/>
      <c r="D86" s="7"/>
      <c r="E86" s="7"/>
      <c r="F86" s="33"/>
      <c r="G86" s="34"/>
      <c r="H86" s="34"/>
      <c r="I86" s="34"/>
      <c r="J86" s="31"/>
      <c r="K86" s="31"/>
      <c r="L86" s="31"/>
      <c r="M86" s="35"/>
      <c r="N86" s="35"/>
      <c r="O86" s="40"/>
      <c r="P86" s="40"/>
      <c r="Q86" s="7"/>
      <c r="R86" s="33"/>
      <c r="S86" s="7"/>
      <c r="T86" s="33"/>
      <c r="U86" s="7"/>
      <c r="V86" s="7"/>
    </row>
    <row r="87" spans="1:22" x14ac:dyDescent="0.25">
      <c r="A87" s="7"/>
      <c r="B87" s="7"/>
      <c r="C87" s="32"/>
      <c r="D87" s="7"/>
      <c r="E87" s="7"/>
      <c r="F87" s="33"/>
      <c r="G87" s="34"/>
      <c r="H87" s="34"/>
      <c r="I87" s="34"/>
      <c r="J87" s="31"/>
      <c r="K87" s="31"/>
      <c r="L87" s="31"/>
      <c r="M87" s="35"/>
      <c r="N87" s="35"/>
      <c r="O87" s="40"/>
      <c r="P87" s="40"/>
      <c r="Q87" s="7"/>
      <c r="R87" s="33"/>
      <c r="S87" s="7"/>
      <c r="T87" s="33"/>
      <c r="U87" s="7"/>
      <c r="V87" s="7"/>
    </row>
    <row r="88" spans="1:22" x14ac:dyDescent="0.25">
      <c r="A88" s="7"/>
      <c r="B88" s="7"/>
      <c r="C88" s="32"/>
      <c r="D88" s="7"/>
      <c r="E88" s="7"/>
      <c r="F88" s="33"/>
      <c r="G88" s="34"/>
      <c r="H88" s="34"/>
      <c r="I88" s="34"/>
      <c r="J88" s="31"/>
      <c r="K88" s="31"/>
      <c r="L88" s="31"/>
      <c r="M88" s="35"/>
      <c r="N88" s="35"/>
      <c r="O88" s="40"/>
      <c r="P88" s="40"/>
      <c r="Q88" s="7"/>
      <c r="R88" s="33"/>
      <c r="S88" s="7"/>
      <c r="T88" s="33"/>
      <c r="U88" s="7"/>
      <c r="V88" s="7"/>
    </row>
    <row r="89" spans="1:22" x14ac:dyDescent="0.25">
      <c r="A89" s="7"/>
      <c r="B89" s="7"/>
      <c r="C89" s="32"/>
      <c r="D89" s="7"/>
      <c r="E89" s="7"/>
      <c r="F89" s="33"/>
      <c r="G89" s="34"/>
      <c r="H89" s="34"/>
      <c r="I89" s="34"/>
      <c r="J89" s="31"/>
      <c r="K89" s="31"/>
      <c r="L89" s="31"/>
      <c r="M89" s="35"/>
      <c r="N89" s="35"/>
      <c r="O89" s="40"/>
      <c r="P89" s="40"/>
      <c r="Q89" s="7"/>
      <c r="R89" s="33"/>
      <c r="S89" s="7"/>
      <c r="T89" s="33"/>
      <c r="U89" s="7"/>
      <c r="V89" s="7"/>
    </row>
    <row r="90" spans="1:22" x14ac:dyDescent="0.25">
      <c r="A90" s="7"/>
      <c r="B90" s="7"/>
      <c r="C90" s="32"/>
      <c r="D90" s="7"/>
      <c r="E90" s="7"/>
      <c r="F90" s="33"/>
      <c r="G90" s="34"/>
      <c r="H90" s="34"/>
      <c r="I90" s="34"/>
      <c r="J90" s="31"/>
      <c r="K90" s="31"/>
      <c r="L90" s="31"/>
      <c r="M90" s="35"/>
      <c r="N90" s="35"/>
      <c r="O90" s="40"/>
      <c r="P90" s="40"/>
      <c r="Q90" s="7"/>
      <c r="R90" s="33"/>
      <c r="S90" s="7"/>
      <c r="T90" s="33"/>
      <c r="U90" s="7"/>
      <c r="V90" s="7"/>
    </row>
    <row r="91" spans="1:22" x14ac:dyDescent="0.25">
      <c r="A91" s="7"/>
      <c r="B91" s="7"/>
      <c r="C91" s="32"/>
      <c r="D91" s="7"/>
      <c r="E91" s="7"/>
      <c r="F91" s="33"/>
      <c r="G91" s="34"/>
      <c r="H91" s="34"/>
      <c r="I91" s="34"/>
      <c r="J91" s="31"/>
      <c r="K91" s="31"/>
      <c r="L91" s="31"/>
      <c r="M91" s="35"/>
      <c r="N91" s="35"/>
      <c r="O91" s="40"/>
      <c r="P91" s="40"/>
      <c r="Q91" s="7"/>
      <c r="R91" s="33"/>
      <c r="S91" s="7"/>
      <c r="T91" s="33"/>
      <c r="U91" s="7"/>
      <c r="V91" s="7"/>
    </row>
    <row r="92" spans="1:22" x14ac:dyDescent="0.25">
      <c r="A92" s="7"/>
      <c r="B92" s="7"/>
      <c r="C92" s="32"/>
      <c r="D92" s="7"/>
      <c r="E92" s="7"/>
      <c r="F92" s="33"/>
      <c r="G92" s="34"/>
      <c r="H92" s="34"/>
      <c r="I92" s="34"/>
      <c r="J92" s="31"/>
      <c r="K92" s="31"/>
      <c r="L92" s="31"/>
      <c r="M92" s="35"/>
      <c r="N92" s="35"/>
      <c r="O92" s="40"/>
      <c r="P92" s="40"/>
      <c r="Q92" s="7"/>
      <c r="R92" s="33"/>
      <c r="S92" s="7"/>
      <c r="T92" s="33"/>
      <c r="U92" s="7"/>
      <c r="V92" s="7"/>
    </row>
    <row r="93" spans="1:22" x14ac:dyDescent="0.25">
      <c r="A93" s="7"/>
      <c r="B93" s="7"/>
      <c r="C93" s="32"/>
      <c r="D93" s="7"/>
      <c r="E93" s="7"/>
      <c r="F93" s="33"/>
      <c r="G93" s="34"/>
      <c r="H93" s="34"/>
      <c r="I93" s="34"/>
      <c r="J93" s="31"/>
      <c r="K93" s="31"/>
      <c r="L93" s="31"/>
      <c r="M93" s="35"/>
      <c r="N93" s="35"/>
      <c r="O93" s="40"/>
      <c r="P93" s="40"/>
      <c r="Q93" s="7"/>
      <c r="R93" s="33"/>
      <c r="S93" s="7"/>
      <c r="T93" s="33"/>
      <c r="U93" s="7"/>
      <c r="V93" s="7"/>
    </row>
    <row r="94" spans="1:22" x14ac:dyDescent="0.25">
      <c r="A94" s="7"/>
      <c r="B94" s="7"/>
      <c r="C94" s="32"/>
      <c r="D94" s="7"/>
      <c r="E94" s="7"/>
      <c r="F94" s="33"/>
      <c r="G94" s="34"/>
      <c r="H94" s="34"/>
      <c r="I94" s="34"/>
      <c r="J94" s="31"/>
      <c r="K94" s="31"/>
      <c r="L94" s="31"/>
      <c r="M94" s="35"/>
      <c r="N94" s="35"/>
      <c r="O94" s="40"/>
      <c r="P94" s="40"/>
      <c r="Q94" s="7"/>
      <c r="R94" s="33"/>
      <c r="S94" s="7"/>
      <c r="T94" s="33"/>
      <c r="U94" s="7"/>
      <c r="V94" s="7"/>
    </row>
    <row r="95" spans="1:22" x14ac:dyDescent="0.25">
      <c r="A95" s="7"/>
      <c r="B95" s="7"/>
      <c r="C95" s="32"/>
      <c r="D95" s="7"/>
      <c r="E95" s="7"/>
      <c r="F95" s="33"/>
      <c r="G95" s="34"/>
      <c r="H95" s="34"/>
      <c r="I95" s="34"/>
      <c r="J95" s="31"/>
      <c r="K95" s="31"/>
      <c r="L95" s="31"/>
      <c r="M95" s="35"/>
      <c r="N95" s="35"/>
      <c r="O95" s="40"/>
      <c r="P95" s="40"/>
      <c r="Q95" s="7"/>
      <c r="R95" s="33"/>
      <c r="S95" s="7"/>
      <c r="T95" s="33"/>
      <c r="U95" s="7"/>
      <c r="V95" s="7"/>
    </row>
    <row r="96" spans="1:22" x14ac:dyDescent="0.25">
      <c r="A96" s="7"/>
      <c r="B96" s="7"/>
      <c r="C96" s="32"/>
      <c r="D96" s="7"/>
      <c r="E96" s="7"/>
      <c r="F96" s="33"/>
      <c r="G96" s="34"/>
      <c r="H96" s="34"/>
      <c r="I96" s="34"/>
      <c r="J96" s="31"/>
      <c r="K96" s="31"/>
      <c r="L96" s="31"/>
      <c r="M96" s="35"/>
      <c r="N96" s="35"/>
      <c r="O96" s="40"/>
      <c r="P96" s="40"/>
      <c r="Q96" s="7"/>
      <c r="R96" s="33"/>
      <c r="S96" s="7"/>
      <c r="T96" s="33"/>
      <c r="U96" s="7"/>
      <c r="V96" s="7"/>
    </row>
    <row r="97" spans="1:22" x14ac:dyDescent="0.25">
      <c r="A97" s="7"/>
      <c r="B97" s="7"/>
      <c r="C97" s="32"/>
      <c r="D97" s="7"/>
      <c r="E97" s="7"/>
      <c r="F97" s="33"/>
      <c r="G97" s="34"/>
      <c r="H97" s="34"/>
      <c r="I97" s="34"/>
      <c r="J97" s="31"/>
      <c r="K97" s="31"/>
      <c r="L97" s="31"/>
      <c r="M97" s="35"/>
      <c r="N97" s="35"/>
      <c r="O97" s="40"/>
      <c r="P97" s="40"/>
      <c r="Q97" s="7"/>
      <c r="R97" s="33"/>
      <c r="S97" s="7"/>
      <c r="T97" s="33"/>
      <c r="U97" s="7"/>
      <c r="V97" s="7"/>
    </row>
    <row r="98" spans="1:22" x14ac:dyDescent="0.25">
      <c r="A98" s="7"/>
      <c r="B98" s="7"/>
      <c r="C98" s="32"/>
      <c r="D98" s="7"/>
      <c r="E98" s="7"/>
      <c r="F98" s="33"/>
      <c r="G98" s="34"/>
      <c r="H98" s="34"/>
      <c r="I98" s="34"/>
      <c r="J98" s="31"/>
      <c r="K98" s="31"/>
      <c r="L98" s="31"/>
      <c r="M98" s="35"/>
      <c r="N98" s="35"/>
      <c r="O98" s="40"/>
      <c r="P98" s="40"/>
      <c r="Q98" s="7"/>
      <c r="R98" s="33"/>
      <c r="S98" s="7"/>
      <c r="T98" s="33"/>
      <c r="U98" s="7"/>
      <c r="V98" s="7"/>
    </row>
    <row r="99" spans="1:22" x14ac:dyDescent="0.25">
      <c r="A99" s="7"/>
      <c r="B99" s="7"/>
      <c r="C99" s="32"/>
      <c r="D99" s="7"/>
      <c r="E99" s="7"/>
      <c r="F99" s="33"/>
      <c r="G99" s="34"/>
      <c r="H99" s="34"/>
      <c r="I99" s="34"/>
      <c r="J99" s="31"/>
      <c r="K99" s="31"/>
      <c r="L99" s="31"/>
      <c r="M99" s="35"/>
      <c r="N99" s="35"/>
      <c r="O99" s="40"/>
      <c r="P99" s="40"/>
      <c r="Q99" s="7"/>
      <c r="R99" s="33"/>
      <c r="S99" s="7"/>
      <c r="T99" s="33"/>
      <c r="U99" s="7"/>
      <c r="V99" s="7"/>
    </row>
    <row r="100" spans="1:22" x14ac:dyDescent="0.25">
      <c r="A100" s="7"/>
      <c r="B100" s="7"/>
      <c r="C100" s="32"/>
      <c r="D100" s="7"/>
      <c r="E100" s="7"/>
      <c r="F100" s="33"/>
      <c r="G100" s="34"/>
      <c r="H100" s="34"/>
      <c r="I100" s="34"/>
      <c r="J100" s="31"/>
      <c r="K100" s="31"/>
      <c r="L100" s="31"/>
      <c r="M100" s="35"/>
      <c r="N100" s="35"/>
      <c r="O100" s="40"/>
      <c r="P100" s="40"/>
      <c r="Q100" s="7"/>
      <c r="R100" s="33"/>
      <c r="S100" s="7"/>
      <c r="T100" s="33"/>
      <c r="U100" s="7"/>
      <c r="V100" s="7"/>
    </row>
    <row r="101" spans="1:22" x14ac:dyDescent="0.25">
      <c r="A101" s="7"/>
      <c r="B101" s="7"/>
      <c r="C101" s="32"/>
      <c r="D101" s="7"/>
      <c r="E101" s="7"/>
      <c r="F101" s="33"/>
      <c r="G101" s="34"/>
      <c r="H101" s="34"/>
      <c r="I101" s="34"/>
      <c r="J101" s="31"/>
      <c r="K101" s="31"/>
      <c r="L101" s="31"/>
      <c r="M101" s="35"/>
      <c r="N101" s="35"/>
      <c r="O101" s="40"/>
      <c r="P101" s="40"/>
      <c r="Q101" s="7"/>
      <c r="R101" s="33"/>
      <c r="S101" s="7"/>
      <c r="T101" s="33"/>
      <c r="U101" s="7"/>
      <c r="V101" s="7"/>
    </row>
    <row r="102" spans="1:22" x14ac:dyDescent="0.25">
      <c r="A102" s="7"/>
      <c r="B102" s="7"/>
      <c r="C102" s="32"/>
      <c r="D102" s="7"/>
      <c r="E102" s="7"/>
      <c r="F102" s="33"/>
      <c r="G102" s="34"/>
      <c r="H102" s="34"/>
      <c r="I102" s="34"/>
      <c r="J102" s="31"/>
      <c r="K102" s="31"/>
      <c r="L102" s="31"/>
      <c r="M102" s="35"/>
      <c r="N102" s="35"/>
      <c r="O102" s="40"/>
      <c r="P102" s="40"/>
      <c r="Q102" s="7"/>
      <c r="R102" s="33"/>
      <c r="S102" s="7"/>
      <c r="T102" s="33"/>
      <c r="U102" s="7"/>
      <c r="V102" s="7"/>
    </row>
    <row r="103" spans="1:22" x14ac:dyDescent="0.25">
      <c r="A103" s="7"/>
      <c r="B103" s="7"/>
      <c r="C103" s="32"/>
      <c r="D103" s="7"/>
      <c r="E103" s="7"/>
      <c r="F103" s="33"/>
      <c r="G103" s="34"/>
      <c r="H103" s="34"/>
      <c r="I103" s="34"/>
      <c r="J103" s="31"/>
      <c r="K103" s="31"/>
      <c r="L103" s="31"/>
      <c r="M103" s="35"/>
      <c r="N103" s="35"/>
      <c r="O103" s="40"/>
      <c r="P103" s="40"/>
      <c r="Q103" s="7"/>
      <c r="R103" s="33"/>
      <c r="S103" s="7"/>
      <c r="T103" s="33"/>
      <c r="U103" s="7"/>
      <c r="V103" s="7"/>
    </row>
    <row r="104" spans="1:22" x14ac:dyDescent="0.25">
      <c r="A104" s="7"/>
      <c r="B104" s="7"/>
      <c r="C104" s="32"/>
      <c r="D104" s="7"/>
      <c r="E104" s="7"/>
      <c r="F104" s="33"/>
      <c r="G104" s="34"/>
      <c r="H104" s="34"/>
      <c r="I104" s="34"/>
      <c r="J104" s="31"/>
      <c r="K104" s="31"/>
      <c r="L104" s="31"/>
      <c r="M104" s="35"/>
      <c r="N104" s="35"/>
      <c r="O104" s="40"/>
      <c r="P104" s="40"/>
      <c r="Q104" s="7"/>
      <c r="R104" s="33"/>
      <c r="S104" s="7"/>
      <c r="T104" s="33"/>
      <c r="U104" s="7"/>
      <c r="V104" s="7"/>
    </row>
    <row r="105" spans="1:22" x14ac:dyDescent="0.25">
      <c r="A105" s="7"/>
      <c r="B105" s="7"/>
      <c r="C105" s="32"/>
      <c r="D105" s="7"/>
      <c r="E105" s="7"/>
      <c r="F105" s="33"/>
      <c r="G105" s="34"/>
      <c r="H105" s="34"/>
      <c r="I105" s="34"/>
      <c r="J105" s="31"/>
      <c r="K105" s="31"/>
      <c r="L105" s="31"/>
      <c r="M105" s="35"/>
      <c r="N105" s="35"/>
      <c r="O105" s="40"/>
      <c r="P105" s="40"/>
      <c r="Q105" s="7"/>
      <c r="R105" s="33"/>
      <c r="S105" s="7"/>
      <c r="T105" s="33"/>
      <c r="U105" s="7"/>
      <c r="V105" s="7"/>
    </row>
    <row r="106" spans="1:22" x14ac:dyDescent="0.25">
      <c r="A106" s="7"/>
      <c r="B106" s="7"/>
      <c r="C106" s="32"/>
      <c r="D106" s="7"/>
      <c r="E106" s="7"/>
      <c r="F106" s="33"/>
      <c r="G106" s="34"/>
      <c r="H106" s="34"/>
      <c r="I106" s="34"/>
      <c r="J106" s="31"/>
      <c r="K106" s="31"/>
      <c r="L106" s="31"/>
      <c r="M106" s="35"/>
      <c r="N106" s="35"/>
      <c r="O106" s="40"/>
      <c r="P106" s="40"/>
      <c r="Q106" s="7"/>
      <c r="R106" s="33"/>
      <c r="S106" s="7"/>
      <c r="T106" s="33"/>
      <c r="U106" s="7"/>
      <c r="V106" s="7"/>
    </row>
    <row r="107" spans="1:22" x14ac:dyDescent="0.25">
      <c r="A107" s="7"/>
      <c r="B107" s="7"/>
      <c r="C107" s="32"/>
      <c r="D107" s="7"/>
      <c r="E107" s="7"/>
      <c r="F107" s="33"/>
      <c r="G107" s="34"/>
      <c r="H107" s="34"/>
      <c r="I107" s="34"/>
      <c r="J107" s="31"/>
      <c r="K107" s="31"/>
      <c r="L107" s="31"/>
      <c r="M107" s="35"/>
      <c r="N107" s="35"/>
      <c r="O107" s="40"/>
      <c r="P107" s="40"/>
      <c r="Q107" s="7"/>
      <c r="R107" s="33"/>
      <c r="S107" s="7"/>
      <c r="T107" s="33"/>
      <c r="U107" s="7"/>
      <c r="V107" s="7"/>
    </row>
    <row r="108" spans="1:22" x14ac:dyDescent="0.25">
      <c r="A108" s="7"/>
      <c r="B108" s="7"/>
      <c r="C108" s="32"/>
      <c r="D108" s="7"/>
      <c r="E108" s="7"/>
      <c r="F108" s="33"/>
      <c r="G108" s="34"/>
      <c r="H108" s="34"/>
      <c r="I108" s="34"/>
      <c r="J108" s="31"/>
      <c r="K108" s="31"/>
      <c r="L108" s="31"/>
      <c r="M108" s="35"/>
      <c r="N108" s="35"/>
      <c r="O108" s="40"/>
      <c r="P108" s="40"/>
      <c r="Q108" s="7"/>
      <c r="R108" s="33"/>
      <c r="S108" s="7"/>
      <c r="T108" s="33"/>
      <c r="U108" s="7"/>
      <c r="V108" s="7"/>
    </row>
    <row r="109" spans="1:22" x14ac:dyDescent="0.25">
      <c r="A109" s="7"/>
      <c r="B109" s="7"/>
      <c r="C109" s="32"/>
      <c r="D109" s="7"/>
      <c r="E109" s="7"/>
      <c r="F109" s="33"/>
      <c r="G109" s="34"/>
      <c r="H109" s="34"/>
      <c r="I109" s="34"/>
      <c r="J109" s="31"/>
      <c r="K109" s="31"/>
      <c r="L109" s="31"/>
      <c r="M109" s="35"/>
      <c r="N109" s="35"/>
      <c r="O109" s="40"/>
      <c r="P109" s="40"/>
      <c r="Q109" s="7"/>
      <c r="R109" s="33"/>
      <c r="S109" s="7"/>
      <c r="T109" s="33"/>
      <c r="U109" s="7"/>
      <c r="V109" s="7"/>
    </row>
    <row r="110" spans="1:22" x14ac:dyDescent="0.25">
      <c r="A110" s="7"/>
      <c r="B110" s="7"/>
      <c r="C110" s="32"/>
      <c r="D110" s="7"/>
      <c r="E110" s="7"/>
      <c r="F110" s="33"/>
      <c r="G110" s="34"/>
      <c r="H110" s="34"/>
      <c r="I110" s="34"/>
      <c r="J110" s="31"/>
      <c r="K110" s="31"/>
      <c r="L110" s="31"/>
      <c r="M110" s="35"/>
      <c r="N110" s="35"/>
      <c r="O110" s="40"/>
      <c r="P110" s="40"/>
      <c r="Q110" s="7"/>
      <c r="R110" s="33"/>
      <c r="S110" s="7"/>
      <c r="T110" s="33"/>
      <c r="U110" s="7"/>
      <c r="V110" s="7"/>
    </row>
    <row r="111" spans="1:22" x14ac:dyDescent="0.25">
      <c r="A111" s="7"/>
      <c r="B111" s="7"/>
      <c r="C111" s="32"/>
      <c r="D111" s="7"/>
      <c r="E111" s="7"/>
      <c r="F111" s="33"/>
      <c r="G111" s="34"/>
      <c r="H111" s="34"/>
      <c r="I111" s="34"/>
      <c r="J111" s="31"/>
      <c r="K111" s="31"/>
      <c r="L111" s="31"/>
      <c r="M111" s="35"/>
      <c r="N111" s="35"/>
      <c r="O111" s="40"/>
      <c r="P111" s="40"/>
      <c r="Q111" s="7"/>
      <c r="R111" s="33"/>
      <c r="S111" s="7"/>
      <c r="T111" s="33"/>
      <c r="U111" s="7"/>
      <c r="V111" s="7"/>
    </row>
    <row r="112" spans="1:22" x14ac:dyDescent="0.25">
      <c r="A112" s="7"/>
      <c r="B112" s="7"/>
      <c r="C112" s="32"/>
      <c r="D112" s="7"/>
      <c r="E112" s="7"/>
      <c r="F112" s="33"/>
      <c r="G112" s="34"/>
      <c r="H112" s="34"/>
      <c r="I112" s="34"/>
      <c r="J112" s="31"/>
      <c r="K112" s="31"/>
      <c r="L112" s="31"/>
      <c r="M112" s="35"/>
      <c r="N112" s="35"/>
      <c r="O112" s="40"/>
      <c r="P112" s="40"/>
      <c r="Q112" s="7"/>
      <c r="R112" s="33"/>
      <c r="S112" s="7"/>
      <c r="T112" s="33"/>
      <c r="U112" s="7"/>
      <c r="V112" s="7"/>
    </row>
    <row r="113" spans="1:22" x14ac:dyDescent="0.25">
      <c r="A113" s="7"/>
      <c r="B113" s="7"/>
      <c r="C113" s="32"/>
      <c r="D113" s="7"/>
      <c r="E113" s="7"/>
      <c r="F113" s="33"/>
      <c r="G113" s="34"/>
      <c r="H113" s="34"/>
      <c r="I113" s="34"/>
      <c r="J113" s="31"/>
      <c r="K113" s="31"/>
      <c r="L113" s="31"/>
      <c r="M113" s="35"/>
      <c r="N113" s="35"/>
      <c r="O113" s="40"/>
      <c r="P113" s="40"/>
      <c r="Q113" s="7"/>
      <c r="R113" s="33"/>
      <c r="S113" s="7"/>
      <c r="T113" s="33"/>
      <c r="U113" s="7"/>
      <c r="V113" s="7"/>
    </row>
    <row r="114" spans="1:22" x14ac:dyDescent="0.25">
      <c r="A114" s="7"/>
      <c r="B114" s="7"/>
      <c r="C114" s="32"/>
      <c r="D114" s="7"/>
      <c r="E114" s="7"/>
      <c r="F114" s="33"/>
      <c r="G114" s="34"/>
      <c r="H114" s="34"/>
      <c r="I114" s="34"/>
      <c r="J114" s="31"/>
      <c r="K114" s="31"/>
      <c r="L114" s="31"/>
      <c r="M114" s="35"/>
      <c r="N114" s="35"/>
      <c r="O114" s="40"/>
      <c r="P114" s="40"/>
      <c r="Q114" s="7"/>
      <c r="R114" s="33"/>
      <c r="S114" s="7"/>
      <c r="T114" s="33"/>
      <c r="U114" s="7"/>
      <c r="V114" s="7"/>
    </row>
    <row r="115" spans="1:22" x14ac:dyDescent="0.25">
      <c r="C115" s="6"/>
      <c r="F115" s="1"/>
      <c r="G115" s="2"/>
      <c r="H115" s="2"/>
      <c r="I115" s="2"/>
      <c r="J115" s="4"/>
      <c r="K115" s="4"/>
      <c r="L115" s="4"/>
      <c r="M115" s="3"/>
      <c r="N115" s="3"/>
      <c r="R115" s="1"/>
      <c r="T115" s="1"/>
    </row>
    <row r="116" spans="1:22" x14ac:dyDescent="0.25">
      <c r="C116" s="6"/>
      <c r="F116" s="1"/>
      <c r="G116" s="2"/>
      <c r="H116" s="2"/>
      <c r="I116" s="2"/>
      <c r="J116" s="4"/>
      <c r="K116" s="4"/>
      <c r="L116" s="4"/>
      <c r="M116" s="3"/>
      <c r="N116" s="3"/>
      <c r="R116" s="1"/>
      <c r="T116" s="1"/>
    </row>
    <row r="117" spans="1:22" x14ac:dyDescent="0.25">
      <c r="C117" s="6"/>
      <c r="F117" s="1"/>
      <c r="G117" s="2"/>
      <c r="H117" s="2"/>
      <c r="I117" s="2"/>
      <c r="J117" s="4"/>
      <c r="K117" s="4"/>
      <c r="L117" s="4"/>
      <c r="M117" s="3"/>
      <c r="N117" s="3"/>
      <c r="R117" s="1"/>
      <c r="T117" s="1"/>
    </row>
    <row r="118" spans="1:22" x14ac:dyDescent="0.25">
      <c r="C118" s="6"/>
      <c r="F118" s="1"/>
      <c r="G118" s="2"/>
      <c r="H118" s="2"/>
      <c r="I118" s="2"/>
      <c r="J118" s="4"/>
      <c r="K118" s="4"/>
      <c r="L118" s="4"/>
      <c r="M118" s="3"/>
      <c r="N118" s="3"/>
      <c r="R118" s="1"/>
      <c r="T118" s="1"/>
    </row>
    <row r="119" spans="1:22" x14ac:dyDescent="0.25">
      <c r="C119" s="6"/>
      <c r="F119" s="1"/>
      <c r="G119" s="2"/>
      <c r="H119" s="2"/>
      <c r="I119" s="2"/>
      <c r="J119" s="4"/>
      <c r="K119" s="4"/>
      <c r="L119" s="4"/>
      <c r="M119" s="3"/>
      <c r="N119" s="3"/>
      <c r="R119" s="1"/>
      <c r="T119" s="1"/>
    </row>
    <row r="120" spans="1:22" x14ac:dyDescent="0.25">
      <c r="C120" s="6"/>
      <c r="F120" s="1"/>
      <c r="G120" s="2"/>
      <c r="H120" s="2"/>
      <c r="I120" s="2"/>
      <c r="J120" s="4"/>
      <c r="K120" s="4"/>
      <c r="L120" s="4"/>
      <c r="M120" s="3"/>
      <c r="N120" s="3"/>
      <c r="R120" s="1"/>
      <c r="T120" s="1"/>
    </row>
    <row r="121" spans="1:22" x14ac:dyDescent="0.25">
      <c r="C121" s="6"/>
      <c r="F121" s="1"/>
      <c r="G121" s="2"/>
      <c r="H121" s="2"/>
      <c r="I121" s="2"/>
      <c r="J121" s="4"/>
      <c r="K121" s="4"/>
      <c r="L121" s="4"/>
      <c r="M121" s="3"/>
      <c r="N121" s="3"/>
      <c r="R121" s="1"/>
      <c r="T121" s="1"/>
    </row>
    <row r="122" spans="1:22" x14ac:dyDescent="0.25">
      <c r="C122" s="6"/>
      <c r="F122" s="1"/>
      <c r="G122" s="2"/>
      <c r="H122" s="2"/>
      <c r="I122" s="2"/>
      <c r="J122" s="4"/>
      <c r="K122" s="4"/>
      <c r="L122" s="4"/>
      <c r="M122" s="3"/>
      <c r="N122" s="3"/>
      <c r="R122" s="1"/>
      <c r="T122" s="1"/>
    </row>
    <row r="123" spans="1:22" x14ac:dyDescent="0.25">
      <c r="C123" s="6"/>
      <c r="F123" s="1"/>
      <c r="G123" s="2"/>
      <c r="H123" s="2"/>
      <c r="I123" s="2"/>
      <c r="J123" s="4"/>
      <c r="K123" s="4"/>
      <c r="L123" s="4"/>
      <c r="M123" s="3"/>
      <c r="N123" s="3"/>
      <c r="R123" s="1"/>
      <c r="T123" s="1"/>
    </row>
    <row r="124" spans="1:22" x14ac:dyDescent="0.25">
      <c r="C124" s="6"/>
      <c r="F124" s="1"/>
      <c r="G124" s="2"/>
      <c r="H124" s="2"/>
      <c r="I124" s="2"/>
      <c r="J124" s="4"/>
      <c r="K124" s="4"/>
      <c r="L124" s="4"/>
      <c r="M124" s="3"/>
      <c r="N124" s="3"/>
      <c r="R124" s="1"/>
      <c r="T124" s="1"/>
    </row>
    <row r="125" spans="1:22" x14ac:dyDescent="0.25">
      <c r="C125" s="6"/>
      <c r="F125" s="1"/>
      <c r="G125" s="2"/>
      <c r="H125" s="2"/>
      <c r="I125" s="2"/>
      <c r="J125" s="4"/>
      <c r="K125" s="4"/>
      <c r="L125" s="4"/>
      <c r="M125" s="3"/>
      <c r="N125" s="3"/>
      <c r="R125" s="1"/>
      <c r="T125" s="1"/>
    </row>
    <row r="126" spans="1:22" x14ac:dyDescent="0.25">
      <c r="C126" s="6"/>
      <c r="F126" s="1"/>
      <c r="G126" s="2"/>
      <c r="H126" s="2"/>
      <c r="I126" s="2"/>
      <c r="J126" s="4"/>
      <c r="K126" s="4"/>
      <c r="L126" s="4"/>
      <c r="M126" s="3"/>
      <c r="N126" s="3"/>
      <c r="R126" s="1"/>
      <c r="T126" s="1"/>
    </row>
    <row r="127" spans="1:22" x14ac:dyDescent="0.25">
      <c r="C127" s="6"/>
      <c r="F127" s="1"/>
      <c r="G127" s="2"/>
      <c r="H127" s="2"/>
      <c r="I127" s="2"/>
      <c r="J127" s="4"/>
      <c r="K127" s="4"/>
      <c r="L127" s="4"/>
      <c r="M127" s="3"/>
      <c r="N127" s="3"/>
      <c r="R127" s="1"/>
      <c r="T127" s="1"/>
    </row>
    <row r="128" spans="1:22" x14ac:dyDescent="0.25">
      <c r="C128" s="6"/>
      <c r="F128" s="1"/>
      <c r="G128" s="2"/>
      <c r="H128" s="2"/>
      <c r="I128" s="2"/>
      <c r="J128" s="4"/>
      <c r="K128" s="4"/>
      <c r="L128" s="4"/>
      <c r="M128" s="3"/>
      <c r="N128" s="3"/>
      <c r="R128" s="1"/>
      <c r="T128" s="1"/>
    </row>
    <row r="129" spans="3:20" x14ac:dyDescent="0.25">
      <c r="C129" s="6"/>
      <c r="F129" s="1"/>
      <c r="G129" s="2"/>
      <c r="H129" s="2"/>
      <c r="I129" s="2"/>
      <c r="J129" s="4"/>
      <c r="K129" s="4"/>
      <c r="L129" s="4"/>
      <c r="M129" s="3"/>
      <c r="N129" s="3"/>
      <c r="R129" s="1"/>
      <c r="T129" s="1"/>
    </row>
    <row r="130" spans="3:20" x14ac:dyDescent="0.25">
      <c r="C130" s="6"/>
      <c r="F130" s="1"/>
      <c r="G130" s="2"/>
      <c r="H130" s="2"/>
      <c r="I130" s="2"/>
      <c r="J130" s="4"/>
      <c r="K130" s="4"/>
      <c r="L130" s="4"/>
      <c r="M130" s="3"/>
      <c r="N130" s="3"/>
      <c r="R130" s="1"/>
      <c r="T130" s="1"/>
    </row>
    <row r="131" spans="3:20" x14ac:dyDescent="0.25">
      <c r="C131" s="6"/>
      <c r="F131" s="1"/>
      <c r="G131" s="2"/>
      <c r="H131" s="2"/>
      <c r="I131" s="2"/>
      <c r="J131" s="4"/>
      <c r="K131" s="4"/>
      <c r="L131" s="4"/>
      <c r="M131" s="3"/>
      <c r="N131" s="3"/>
      <c r="R131" s="1"/>
      <c r="T131" s="1"/>
    </row>
    <row r="132" spans="3:20" x14ac:dyDescent="0.25">
      <c r="C132" s="6"/>
      <c r="F132" s="1"/>
      <c r="G132" s="2"/>
      <c r="H132" s="2"/>
      <c r="I132" s="2"/>
      <c r="J132" s="4"/>
      <c r="K132" s="4"/>
      <c r="L132" s="4"/>
      <c r="M132" s="3"/>
      <c r="N132" s="3"/>
      <c r="R132" s="1"/>
      <c r="T132" s="1"/>
    </row>
    <row r="133" spans="3:20" x14ac:dyDescent="0.25">
      <c r="C133" s="6"/>
      <c r="F133" s="1"/>
      <c r="G133" s="2"/>
      <c r="H133" s="2"/>
      <c r="I133" s="2"/>
      <c r="J133" s="4"/>
      <c r="K133" s="4"/>
      <c r="L133" s="4"/>
      <c r="M133" s="3"/>
      <c r="N133" s="3"/>
      <c r="R133" s="1"/>
      <c r="T133" s="1"/>
    </row>
    <row r="134" spans="3:20" x14ac:dyDescent="0.25">
      <c r="C134" s="6"/>
      <c r="F134" s="1"/>
      <c r="G134" s="2"/>
      <c r="H134" s="2"/>
      <c r="I134" s="2"/>
      <c r="J134" s="4"/>
      <c r="K134" s="4"/>
      <c r="L134" s="4"/>
      <c r="M134" s="3"/>
      <c r="N134" s="3"/>
      <c r="R134" s="1"/>
      <c r="T134" s="1"/>
    </row>
    <row r="135" spans="3:20" x14ac:dyDescent="0.25">
      <c r="C135" s="6"/>
      <c r="F135" s="1"/>
      <c r="G135" s="2"/>
      <c r="H135" s="2"/>
      <c r="I135" s="2"/>
      <c r="J135" s="4"/>
      <c r="K135" s="4"/>
      <c r="L135" s="4"/>
      <c r="M135" s="3"/>
      <c r="N135" s="3"/>
      <c r="R135" s="1"/>
      <c r="T135" s="1"/>
    </row>
    <row r="136" spans="3:20" x14ac:dyDescent="0.25">
      <c r="C136" s="6"/>
      <c r="F136" s="1"/>
      <c r="G136" s="2"/>
      <c r="H136" s="2"/>
      <c r="I136" s="2"/>
      <c r="J136" s="4"/>
      <c r="K136" s="4"/>
      <c r="L136" s="4"/>
      <c r="M136" s="3"/>
      <c r="N136" s="3"/>
      <c r="R136" s="1"/>
      <c r="T136" s="1"/>
    </row>
    <row r="137" spans="3:20" x14ac:dyDescent="0.25">
      <c r="C137" s="6"/>
      <c r="F137" s="1"/>
      <c r="G137" s="2"/>
      <c r="H137" s="2"/>
      <c r="I137" s="2"/>
      <c r="J137" s="4"/>
      <c r="K137" s="4"/>
      <c r="L137" s="4"/>
      <c r="M137" s="3"/>
      <c r="N137" s="3"/>
      <c r="R137" s="1"/>
      <c r="T137" s="1"/>
    </row>
    <row r="138" spans="3:20" x14ac:dyDescent="0.25">
      <c r="C138" s="6"/>
      <c r="F138" s="1"/>
      <c r="G138" s="2"/>
      <c r="H138" s="2"/>
      <c r="I138" s="2"/>
      <c r="J138" s="4"/>
      <c r="K138" s="4"/>
      <c r="L138" s="4"/>
      <c r="M138" s="3"/>
      <c r="N138" s="3"/>
      <c r="R138" s="1"/>
      <c r="T138" s="1"/>
    </row>
    <row r="139" spans="3:20" x14ac:dyDescent="0.25">
      <c r="C139" s="6"/>
      <c r="F139" s="1"/>
      <c r="G139" s="2"/>
      <c r="H139" s="2"/>
      <c r="I139" s="2"/>
      <c r="J139" s="4"/>
      <c r="K139" s="4"/>
      <c r="L139" s="4"/>
      <c r="M139" s="3"/>
      <c r="N139" s="3"/>
      <c r="R139" s="1"/>
      <c r="T139" s="1"/>
    </row>
    <row r="140" spans="3:20" x14ac:dyDescent="0.25">
      <c r="C140" s="6"/>
      <c r="F140" s="1"/>
      <c r="G140" s="2"/>
      <c r="H140" s="2"/>
      <c r="I140" s="2"/>
      <c r="J140" s="4"/>
      <c r="K140" s="4"/>
      <c r="L140" s="4"/>
      <c r="M140" s="3"/>
      <c r="N140" s="3"/>
      <c r="R140" s="1"/>
      <c r="T140" s="1"/>
    </row>
    <row r="141" spans="3:20" x14ac:dyDescent="0.25">
      <c r="C141" s="6"/>
      <c r="F141" s="1"/>
      <c r="G141" s="2"/>
      <c r="H141" s="2"/>
      <c r="I141" s="2"/>
      <c r="J141" s="4"/>
      <c r="K141" s="4"/>
      <c r="L141" s="4"/>
      <c r="M141" s="3"/>
      <c r="N141" s="3"/>
      <c r="R141" s="1"/>
      <c r="T141" s="1"/>
    </row>
    <row r="142" spans="3:20" x14ac:dyDescent="0.25">
      <c r="C142" s="6"/>
      <c r="F142" s="1"/>
      <c r="G142" s="2"/>
      <c r="H142" s="2"/>
      <c r="I142" s="2"/>
      <c r="J142" s="4"/>
      <c r="K142" s="4"/>
      <c r="L142" s="4"/>
      <c r="M142" s="3"/>
      <c r="N142" s="3"/>
      <c r="R142" s="1"/>
      <c r="T142" s="1"/>
    </row>
    <row r="143" spans="3:20" x14ac:dyDescent="0.25">
      <c r="C143" s="6"/>
      <c r="F143" s="1"/>
      <c r="G143" s="2"/>
      <c r="H143" s="2"/>
      <c r="I143" s="2"/>
      <c r="J143" s="4"/>
      <c r="K143" s="4"/>
      <c r="L143" s="4"/>
      <c r="M143" s="3"/>
      <c r="N143" s="3"/>
      <c r="R143" s="1"/>
      <c r="T143" s="1"/>
    </row>
    <row r="144" spans="3:20" x14ac:dyDescent="0.25">
      <c r="C144" s="6"/>
      <c r="F144" s="1"/>
      <c r="G144" s="2"/>
      <c r="H144" s="2"/>
      <c r="I144" s="2"/>
      <c r="J144" s="4"/>
      <c r="K144" s="4"/>
      <c r="L144" s="4"/>
      <c r="M144" s="3"/>
      <c r="N144" s="3"/>
      <c r="R144" s="1"/>
      <c r="T144" s="1"/>
    </row>
    <row r="145" spans="3:20" x14ac:dyDescent="0.25">
      <c r="C145" s="6"/>
      <c r="F145" s="1"/>
      <c r="G145" s="2"/>
      <c r="H145" s="2"/>
      <c r="I145" s="2"/>
      <c r="J145" s="4"/>
      <c r="K145" s="4"/>
      <c r="L145" s="4"/>
      <c r="M145" s="3"/>
      <c r="N145" s="3"/>
      <c r="R145" s="1"/>
      <c r="T145" s="1"/>
    </row>
    <row r="146" spans="3:20" x14ac:dyDescent="0.25">
      <c r="C146" s="6"/>
      <c r="F146" s="1"/>
      <c r="G146" s="2"/>
      <c r="H146" s="2"/>
      <c r="I146" s="2"/>
      <c r="J146" s="4"/>
      <c r="K146" s="4"/>
      <c r="L146" s="4"/>
      <c r="M146" s="3"/>
      <c r="N146" s="3"/>
      <c r="R146" s="1"/>
      <c r="T146" s="1"/>
    </row>
    <row r="147" spans="3:20" x14ac:dyDescent="0.25">
      <c r="C147" s="6"/>
      <c r="F147" s="1"/>
      <c r="G147" s="2"/>
      <c r="H147" s="2"/>
      <c r="I147" s="2"/>
      <c r="J147" s="4"/>
      <c r="K147" s="4"/>
      <c r="L147" s="4"/>
      <c r="M147" s="3"/>
      <c r="N147" s="3"/>
      <c r="R147" s="1"/>
      <c r="T147" s="1"/>
    </row>
    <row r="148" spans="3:20" x14ac:dyDescent="0.25">
      <c r="C148" s="6"/>
      <c r="F148" s="1"/>
      <c r="G148" s="2"/>
      <c r="H148" s="2"/>
      <c r="I148" s="2"/>
      <c r="J148" s="4"/>
      <c r="K148" s="4"/>
      <c r="L148" s="4"/>
      <c r="M148" s="3"/>
      <c r="N148" s="3"/>
      <c r="R148" s="1"/>
      <c r="T148" s="1"/>
    </row>
    <row r="149" spans="3:20" x14ac:dyDescent="0.25">
      <c r="C149" s="6"/>
      <c r="F149" s="1"/>
      <c r="G149" s="2"/>
      <c r="H149" s="2"/>
      <c r="I149" s="2"/>
      <c r="J149" s="4"/>
      <c r="K149" s="4"/>
      <c r="L149" s="4"/>
      <c r="M149" s="3"/>
      <c r="N149" s="3"/>
      <c r="R149" s="1"/>
      <c r="T149" s="1"/>
    </row>
    <row r="150" spans="3:20" x14ac:dyDescent="0.25">
      <c r="C150" s="6"/>
      <c r="F150" s="1"/>
      <c r="G150" s="2"/>
      <c r="H150" s="2"/>
      <c r="I150" s="2"/>
      <c r="J150" s="4"/>
      <c r="K150" s="4"/>
      <c r="L150" s="4"/>
      <c r="M150" s="3"/>
      <c r="N150" s="3"/>
      <c r="R150" s="1"/>
      <c r="T150" s="1"/>
    </row>
    <row r="151" spans="3:20" x14ac:dyDescent="0.25">
      <c r="C151" s="6"/>
      <c r="F151" s="1"/>
      <c r="G151" s="2"/>
      <c r="H151" s="2"/>
      <c r="I151" s="2"/>
      <c r="J151" s="4"/>
      <c r="K151" s="4"/>
      <c r="L151" s="4"/>
      <c r="M151" s="3"/>
      <c r="N151" s="3"/>
      <c r="R151" s="1"/>
      <c r="T151" s="1"/>
    </row>
    <row r="152" spans="3:20" x14ac:dyDescent="0.25">
      <c r="C152" s="6"/>
      <c r="F152" s="1"/>
      <c r="G152" s="2"/>
      <c r="H152" s="2"/>
      <c r="I152" s="2"/>
      <c r="J152" s="4"/>
      <c r="K152" s="4"/>
      <c r="L152" s="4"/>
      <c r="M152" s="3"/>
      <c r="N152" s="3"/>
      <c r="R152" s="1"/>
      <c r="T152" s="1"/>
    </row>
    <row r="153" spans="3:20" x14ac:dyDescent="0.25">
      <c r="C153" s="6"/>
      <c r="F153" s="1"/>
      <c r="G153" s="2"/>
      <c r="H153" s="2"/>
      <c r="I153" s="2"/>
      <c r="J153" s="4"/>
      <c r="K153" s="4"/>
      <c r="L153" s="4"/>
      <c r="M153" s="3"/>
      <c r="N153" s="3"/>
      <c r="R153" s="1"/>
      <c r="T153" s="1"/>
    </row>
    <row r="154" spans="3:20" x14ac:dyDescent="0.25">
      <c r="C154" s="6"/>
      <c r="F154" s="1"/>
      <c r="G154" s="2"/>
      <c r="H154" s="2"/>
      <c r="I154" s="2"/>
      <c r="J154" s="4"/>
      <c r="K154" s="4"/>
      <c r="L154" s="4"/>
      <c r="M154" s="3"/>
      <c r="N154" s="3"/>
      <c r="R154" s="1"/>
      <c r="T154" s="1"/>
    </row>
    <row r="155" spans="3:20" x14ac:dyDescent="0.25">
      <c r="C155" s="6"/>
      <c r="F155" s="1"/>
      <c r="G155" s="2"/>
      <c r="H155" s="2"/>
      <c r="I155" s="2"/>
      <c r="J155" s="4"/>
      <c r="K155" s="4"/>
      <c r="L155" s="4"/>
      <c r="M155" s="3"/>
      <c r="N155" s="3"/>
      <c r="R155" s="1"/>
      <c r="T155" s="1"/>
    </row>
    <row r="156" spans="3:20" x14ac:dyDescent="0.25">
      <c r="C156" s="6"/>
      <c r="F156" s="1"/>
      <c r="G156" s="2"/>
      <c r="H156" s="2"/>
      <c r="I156" s="2"/>
      <c r="J156" s="4"/>
      <c r="K156" s="4"/>
      <c r="L156" s="4"/>
      <c r="M156" s="3"/>
      <c r="N156" s="3"/>
      <c r="R156" s="1"/>
      <c r="T156" s="1"/>
    </row>
    <row r="157" spans="3:20" x14ac:dyDescent="0.25">
      <c r="C157" s="6"/>
      <c r="F157" s="1"/>
      <c r="G157" s="2"/>
      <c r="H157" s="2"/>
      <c r="I157" s="2"/>
      <c r="J157" s="4"/>
      <c r="K157" s="4"/>
      <c r="L157" s="4"/>
      <c r="M157" s="3"/>
      <c r="N157" s="3"/>
      <c r="R157" s="1"/>
      <c r="T157" s="1"/>
    </row>
    <row r="158" spans="3:20" x14ac:dyDescent="0.25">
      <c r="C158" s="6"/>
      <c r="F158" s="1"/>
      <c r="G158" s="2"/>
      <c r="H158" s="2"/>
      <c r="I158" s="2"/>
      <c r="J158" s="4"/>
      <c r="K158" s="4"/>
      <c r="L158" s="4"/>
      <c r="M158" s="3"/>
      <c r="N158" s="3"/>
      <c r="R158" s="1"/>
      <c r="T158" s="1"/>
    </row>
    <row r="159" spans="3:20" x14ac:dyDescent="0.25">
      <c r="C159" s="6"/>
      <c r="F159" s="1"/>
      <c r="G159" s="2"/>
      <c r="H159" s="2"/>
      <c r="I159" s="2"/>
      <c r="J159" s="4"/>
      <c r="K159" s="4"/>
      <c r="L159" s="4"/>
      <c r="M159" s="3"/>
      <c r="N159" s="3"/>
      <c r="R159" s="1"/>
      <c r="T159" s="1"/>
    </row>
    <row r="160" spans="3:20" x14ac:dyDescent="0.25">
      <c r="C160" s="6"/>
      <c r="F160" s="1"/>
      <c r="G160" s="2"/>
      <c r="H160" s="2"/>
      <c r="I160" s="2"/>
      <c r="J160" s="4"/>
      <c r="K160" s="4"/>
      <c r="L160" s="4"/>
      <c r="M160" s="3"/>
      <c r="N160" s="3"/>
      <c r="R160" s="1"/>
      <c r="T160" s="1"/>
    </row>
    <row r="161" spans="3:20" x14ac:dyDescent="0.25">
      <c r="C161" s="6"/>
      <c r="F161" s="1"/>
      <c r="G161" s="2"/>
      <c r="H161" s="2"/>
      <c r="I161" s="2"/>
      <c r="J161" s="4"/>
      <c r="K161" s="4"/>
      <c r="L161" s="4"/>
      <c r="M161" s="3"/>
      <c r="N161" s="3"/>
      <c r="R161" s="1"/>
      <c r="T161" s="1"/>
    </row>
    <row r="162" spans="3:20" x14ac:dyDescent="0.25">
      <c r="C162" s="6"/>
      <c r="F162" s="1"/>
      <c r="G162" s="2"/>
      <c r="H162" s="2"/>
      <c r="I162" s="2"/>
      <c r="J162" s="4"/>
      <c r="K162" s="4"/>
      <c r="L162" s="4"/>
      <c r="M162" s="3"/>
      <c r="N162" s="3"/>
      <c r="R162" s="1"/>
      <c r="T162" s="1"/>
    </row>
    <row r="163" spans="3:20" x14ac:dyDescent="0.25">
      <c r="C163" s="6"/>
      <c r="F163" s="1"/>
      <c r="G163" s="2"/>
      <c r="H163" s="2"/>
      <c r="I163" s="2"/>
      <c r="J163" s="4"/>
      <c r="K163" s="4"/>
      <c r="L163" s="4"/>
      <c r="M163" s="3"/>
      <c r="N163" s="3"/>
      <c r="R163" s="1"/>
      <c r="T163" s="1"/>
    </row>
    <row r="164" spans="3:20" x14ac:dyDescent="0.25">
      <c r="C164" s="6"/>
      <c r="F164" s="1"/>
      <c r="G164" s="2"/>
      <c r="H164" s="2"/>
      <c r="I164" s="2"/>
      <c r="J164" s="4"/>
      <c r="K164" s="4"/>
      <c r="L164" s="4"/>
      <c r="M164" s="3"/>
      <c r="N164" s="3"/>
      <c r="R164" s="1"/>
      <c r="T164" s="1"/>
    </row>
    <row r="165" spans="3:20" x14ac:dyDescent="0.25">
      <c r="C165" s="6"/>
      <c r="F165" s="1"/>
      <c r="G165" s="2"/>
      <c r="H165" s="2"/>
      <c r="I165" s="2"/>
      <c r="J165" s="4"/>
      <c r="K165" s="4"/>
      <c r="L165" s="4"/>
      <c r="M165" s="3"/>
      <c r="N165" s="3"/>
      <c r="R165" s="1"/>
      <c r="T165" s="1"/>
    </row>
    <row r="166" spans="3:20" x14ac:dyDescent="0.25">
      <c r="C166" s="6"/>
      <c r="F166" s="1"/>
      <c r="G166" s="2"/>
      <c r="H166" s="2"/>
      <c r="I166" s="2"/>
      <c r="J166" s="4"/>
      <c r="K166" s="4"/>
      <c r="L166" s="4"/>
      <c r="M166" s="3"/>
      <c r="N166" s="3"/>
      <c r="R166" s="1"/>
      <c r="T166" s="1"/>
    </row>
    <row r="167" spans="3:20" x14ac:dyDescent="0.25">
      <c r="C167" s="6"/>
      <c r="F167" s="1"/>
      <c r="G167" s="2"/>
      <c r="H167" s="2"/>
      <c r="I167" s="2"/>
      <c r="J167" s="4"/>
      <c r="K167" s="4"/>
      <c r="L167" s="4"/>
      <c r="M167" s="3"/>
      <c r="N167" s="3"/>
      <c r="R167" s="1"/>
      <c r="T167" s="1"/>
    </row>
    <row r="168" spans="3:20" x14ac:dyDescent="0.25">
      <c r="C168" s="6"/>
      <c r="F168" s="1"/>
      <c r="G168" s="2"/>
      <c r="H168" s="2"/>
      <c r="I168" s="2"/>
      <c r="J168" s="4"/>
      <c r="K168" s="4"/>
      <c r="L168" s="4"/>
      <c r="M168" s="3"/>
      <c r="N168" s="3"/>
      <c r="R168" s="1"/>
      <c r="T168" s="1"/>
    </row>
    <row r="169" spans="3:20" x14ac:dyDescent="0.25">
      <c r="C169" s="6"/>
      <c r="F169" s="1"/>
      <c r="G169" s="2"/>
      <c r="H169" s="2"/>
      <c r="I169" s="2"/>
      <c r="J169" s="4"/>
      <c r="K169" s="4"/>
      <c r="L169" s="4"/>
      <c r="M169" s="3"/>
      <c r="N169" s="3"/>
      <c r="R169" s="1"/>
      <c r="T169" s="1"/>
    </row>
    <row r="170" spans="3:20" x14ac:dyDescent="0.25">
      <c r="C170" s="6"/>
      <c r="F170" s="1"/>
      <c r="G170" s="2"/>
      <c r="H170" s="2"/>
      <c r="I170" s="2"/>
      <c r="J170" s="4"/>
      <c r="K170" s="4"/>
      <c r="L170" s="4"/>
      <c r="M170" s="3"/>
      <c r="N170" s="3"/>
      <c r="R170" s="1"/>
      <c r="T170" s="1"/>
    </row>
    <row r="171" spans="3:20" x14ac:dyDescent="0.25">
      <c r="C171" s="6"/>
      <c r="F171" s="1"/>
      <c r="G171" s="2"/>
      <c r="H171" s="2"/>
      <c r="I171" s="2"/>
      <c r="J171" s="4"/>
      <c r="K171" s="4"/>
      <c r="L171" s="4"/>
      <c r="M171" s="3"/>
      <c r="N171" s="3"/>
      <c r="R171" s="1"/>
      <c r="T171" s="1"/>
    </row>
    <row r="172" spans="3:20" x14ac:dyDescent="0.25">
      <c r="C172" s="6"/>
      <c r="F172" s="1"/>
      <c r="G172" s="2"/>
      <c r="H172" s="2"/>
      <c r="I172" s="2"/>
      <c r="J172" s="4"/>
      <c r="K172" s="4"/>
      <c r="L172" s="4"/>
      <c r="M172" s="3"/>
      <c r="N172" s="3"/>
      <c r="R172" s="1"/>
      <c r="T172" s="1"/>
    </row>
    <row r="173" spans="3:20" x14ac:dyDescent="0.25">
      <c r="C173" s="6"/>
      <c r="F173" s="1"/>
      <c r="G173" s="2"/>
      <c r="H173" s="2"/>
      <c r="I173" s="2"/>
      <c r="J173" s="4"/>
      <c r="K173" s="4"/>
      <c r="L173" s="4"/>
      <c r="M173" s="3"/>
      <c r="N173" s="3"/>
      <c r="R173" s="1"/>
      <c r="T173" s="1"/>
    </row>
    <row r="174" spans="3:20" x14ac:dyDescent="0.25">
      <c r="C174" s="6"/>
      <c r="F174" s="1"/>
      <c r="G174" s="2"/>
      <c r="H174" s="2"/>
      <c r="I174" s="2"/>
      <c r="J174" s="4"/>
      <c r="K174" s="4"/>
      <c r="L174" s="4"/>
      <c r="M174" s="3"/>
      <c r="N174" s="3"/>
      <c r="R174" s="1"/>
      <c r="T174" s="1"/>
    </row>
    <row r="175" spans="3:20" x14ac:dyDescent="0.25">
      <c r="C175" s="6"/>
      <c r="F175" s="1"/>
      <c r="G175" s="2"/>
      <c r="H175" s="2"/>
      <c r="I175" s="2"/>
      <c r="J175" s="4"/>
      <c r="K175" s="4"/>
      <c r="L175" s="4"/>
      <c r="M175" s="3"/>
      <c r="N175" s="3"/>
      <c r="R175" s="1"/>
      <c r="T175" s="1"/>
    </row>
    <row r="176" spans="3:20" x14ac:dyDescent="0.25">
      <c r="C176" s="6"/>
      <c r="F176" s="1"/>
      <c r="G176" s="2"/>
      <c r="H176" s="2"/>
      <c r="I176" s="2"/>
      <c r="J176" s="4"/>
      <c r="K176" s="4"/>
      <c r="L176" s="4"/>
      <c r="M176" s="3"/>
      <c r="N176" s="3"/>
      <c r="R176" s="1"/>
      <c r="T176" s="1"/>
    </row>
    <row r="177" spans="3:20" x14ac:dyDescent="0.25">
      <c r="C177" s="6"/>
      <c r="F177" s="1"/>
      <c r="G177" s="2"/>
      <c r="H177" s="2"/>
      <c r="I177" s="2"/>
      <c r="J177" s="4"/>
      <c r="K177" s="4"/>
      <c r="L177" s="4"/>
      <c r="M177" s="3"/>
      <c r="N177" s="3"/>
      <c r="R177" s="1"/>
      <c r="T177" s="1"/>
    </row>
    <row r="178" spans="3:20" x14ac:dyDescent="0.25">
      <c r="C178" s="6"/>
      <c r="F178" s="1"/>
      <c r="G178" s="2"/>
      <c r="H178" s="2"/>
      <c r="I178" s="2"/>
      <c r="J178" s="4"/>
      <c r="K178" s="4"/>
      <c r="L178" s="4"/>
      <c r="M178" s="3"/>
      <c r="N178" s="3"/>
      <c r="R178" s="1"/>
      <c r="T178" s="1"/>
    </row>
    <row r="179" spans="3:20" x14ac:dyDescent="0.25">
      <c r="C179" s="6"/>
      <c r="F179" s="1"/>
      <c r="G179" s="2"/>
      <c r="H179" s="2"/>
      <c r="I179" s="2"/>
      <c r="J179" s="4"/>
      <c r="K179" s="4"/>
      <c r="L179" s="4"/>
      <c r="M179" s="3"/>
      <c r="N179" s="3"/>
      <c r="R179" s="1"/>
      <c r="T179" s="1"/>
    </row>
    <row r="180" spans="3:20" x14ac:dyDescent="0.25">
      <c r="C180" s="6"/>
      <c r="F180" s="1"/>
      <c r="G180" s="2"/>
      <c r="H180" s="2"/>
      <c r="I180" s="2"/>
      <c r="J180" s="4"/>
      <c r="K180" s="4"/>
      <c r="L180" s="4"/>
      <c r="M180" s="3"/>
      <c r="N180" s="3"/>
      <c r="R180" s="1"/>
      <c r="T180" s="1"/>
    </row>
    <row r="181" spans="3:20" x14ac:dyDescent="0.25">
      <c r="C181" s="6"/>
      <c r="F181" s="1"/>
      <c r="G181" s="2"/>
      <c r="H181" s="2"/>
      <c r="I181" s="2"/>
      <c r="J181" s="4"/>
      <c r="K181" s="4"/>
      <c r="L181" s="4"/>
      <c r="M181" s="3"/>
      <c r="N181" s="3"/>
      <c r="R181" s="1"/>
      <c r="T181" s="1"/>
    </row>
    <row r="182" spans="3:20" x14ac:dyDescent="0.25">
      <c r="C182" s="6"/>
      <c r="F182" s="1"/>
      <c r="G182" s="2"/>
      <c r="H182" s="2"/>
      <c r="I182" s="2"/>
      <c r="J182" s="4"/>
      <c r="K182" s="4"/>
      <c r="L182" s="4"/>
      <c r="M182" s="3"/>
      <c r="N182" s="3"/>
      <c r="R182" s="1"/>
      <c r="T182" s="1"/>
    </row>
    <row r="183" spans="3:20" x14ac:dyDescent="0.25">
      <c r="C183" s="6"/>
      <c r="F183" s="1"/>
      <c r="G183" s="2"/>
      <c r="H183" s="2"/>
      <c r="I183" s="2"/>
      <c r="J183" s="4"/>
      <c r="K183" s="4"/>
      <c r="L183" s="4"/>
      <c r="M183" s="3"/>
      <c r="N183" s="3"/>
      <c r="R183" s="1"/>
      <c r="T183" s="1"/>
    </row>
    <row r="184" spans="3:20" x14ac:dyDescent="0.25">
      <c r="C184" s="6"/>
      <c r="F184" s="1"/>
      <c r="G184" s="2"/>
      <c r="H184" s="2"/>
      <c r="I184" s="2"/>
      <c r="J184" s="4"/>
      <c r="K184" s="4"/>
      <c r="L184" s="4"/>
      <c r="M184" s="3"/>
      <c r="N184" s="3"/>
      <c r="R184" s="1"/>
      <c r="T184" s="1"/>
    </row>
    <row r="185" spans="3:20" x14ac:dyDescent="0.25">
      <c r="C185" s="6"/>
      <c r="F185" s="1"/>
      <c r="G185" s="2"/>
      <c r="H185" s="2"/>
      <c r="I185" s="2"/>
      <c r="J185" s="4"/>
      <c r="K185" s="4"/>
      <c r="L185" s="4"/>
      <c r="M185" s="3"/>
      <c r="N185" s="3"/>
      <c r="R185" s="1"/>
      <c r="T185" s="1"/>
    </row>
    <row r="186" spans="3:20" x14ac:dyDescent="0.25">
      <c r="C186" s="6"/>
      <c r="F186" s="1"/>
      <c r="G186" s="2"/>
      <c r="H186" s="2"/>
      <c r="I186" s="2"/>
      <c r="J186" s="4"/>
      <c r="K186" s="4"/>
      <c r="L186" s="4"/>
      <c r="M186" s="3"/>
      <c r="N186" s="3"/>
      <c r="R186" s="1"/>
      <c r="T186" s="1"/>
    </row>
    <row r="187" spans="3:20" x14ac:dyDescent="0.25">
      <c r="C187" s="6"/>
      <c r="F187" s="1"/>
      <c r="G187" s="2"/>
      <c r="H187" s="2"/>
      <c r="I187" s="2"/>
      <c r="J187" s="4"/>
      <c r="K187" s="4"/>
      <c r="L187" s="4"/>
      <c r="M187" s="3"/>
      <c r="N187" s="3"/>
      <c r="R187" s="1"/>
      <c r="T187" s="1"/>
    </row>
    <row r="188" spans="3:20" x14ac:dyDescent="0.25">
      <c r="C188" s="6"/>
      <c r="F188" s="1"/>
      <c r="G188" s="2"/>
      <c r="H188" s="2"/>
      <c r="I188" s="2"/>
      <c r="J188" s="4"/>
      <c r="K188" s="4"/>
      <c r="L188" s="4"/>
      <c r="M188" s="3"/>
      <c r="N188" s="3"/>
      <c r="R188" s="1"/>
      <c r="T188" s="1"/>
    </row>
    <row r="189" spans="3:20" x14ac:dyDescent="0.25">
      <c r="C189" s="6"/>
      <c r="F189" s="1"/>
      <c r="G189" s="2"/>
      <c r="H189" s="2"/>
      <c r="I189" s="2"/>
      <c r="J189" s="4"/>
      <c r="K189" s="4"/>
      <c r="L189" s="4"/>
      <c r="M189" s="3"/>
      <c r="N189" s="3"/>
      <c r="R189" s="1"/>
      <c r="T189" s="1"/>
    </row>
    <row r="190" spans="3:20" x14ac:dyDescent="0.25">
      <c r="C190" s="6"/>
      <c r="F190" s="1"/>
      <c r="G190" s="2"/>
      <c r="H190" s="2"/>
      <c r="I190" s="2"/>
      <c r="J190" s="4"/>
      <c r="K190" s="4"/>
      <c r="L190" s="4"/>
      <c r="M190" s="3"/>
      <c r="N190" s="3"/>
      <c r="R190" s="1"/>
      <c r="T190" s="1"/>
    </row>
    <row r="191" spans="3:20" x14ac:dyDescent="0.25">
      <c r="C191" s="6"/>
      <c r="F191" s="1"/>
      <c r="G191" s="2"/>
      <c r="H191" s="2"/>
      <c r="I191" s="2"/>
      <c r="J191" s="4"/>
      <c r="K191" s="4"/>
      <c r="L191" s="4"/>
      <c r="M191" s="3"/>
      <c r="N191" s="3"/>
      <c r="R191" s="1"/>
      <c r="T191" s="1"/>
    </row>
    <row r="192" spans="3:20" x14ac:dyDescent="0.25">
      <c r="C192" s="6"/>
      <c r="F192" s="1"/>
      <c r="G192" s="2"/>
      <c r="H192" s="2"/>
      <c r="I192" s="2"/>
      <c r="J192" s="4"/>
      <c r="K192" s="4"/>
      <c r="L192" s="4"/>
      <c r="M192" s="3"/>
      <c r="N192" s="3"/>
      <c r="R192" s="1"/>
      <c r="T192" s="1"/>
    </row>
    <row r="193" spans="3:20" x14ac:dyDescent="0.25">
      <c r="C193" s="6"/>
      <c r="F193" s="1"/>
      <c r="G193" s="2"/>
      <c r="H193" s="2"/>
      <c r="I193" s="2"/>
      <c r="J193" s="4"/>
      <c r="K193" s="4"/>
      <c r="L193" s="4"/>
      <c r="M193" s="3"/>
      <c r="N193" s="3"/>
      <c r="R193" s="1"/>
      <c r="T193" s="1"/>
    </row>
    <row r="194" spans="3:20" x14ac:dyDescent="0.25">
      <c r="C194" s="6"/>
      <c r="F194" s="1"/>
      <c r="G194" s="2"/>
      <c r="H194" s="2"/>
      <c r="I194" s="2"/>
      <c r="J194" s="4"/>
      <c r="K194" s="4"/>
      <c r="L194" s="4"/>
      <c r="M194" s="3"/>
      <c r="N194" s="3"/>
      <c r="R194" s="1"/>
      <c r="T194" s="1"/>
    </row>
    <row r="195" spans="3:20" x14ac:dyDescent="0.25">
      <c r="C195" s="6"/>
      <c r="F195" s="1"/>
      <c r="G195" s="2"/>
      <c r="H195" s="2"/>
      <c r="I195" s="2"/>
      <c r="J195" s="4"/>
      <c r="K195" s="4"/>
      <c r="L195" s="4"/>
      <c r="M195" s="3"/>
      <c r="N195" s="3"/>
      <c r="R195" s="1"/>
      <c r="T195" s="1"/>
    </row>
    <row r="196" spans="3:20" x14ac:dyDescent="0.25">
      <c r="C196" s="6"/>
      <c r="F196" s="1"/>
      <c r="G196" s="2"/>
      <c r="H196" s="2"/>
      <c r="I196" s="2"/>
      <c r="J196" s="4"/>
      <c r="K196" s="4"/>
      <c r="L196" s="4"/>
      <c r="M196" s="3"/>
      <c r="N196" s="3"/>
      <c r="R196" s="1"/>
      <c r="T196" s="1"/>
    </row>
    <row r="197" spans="3:20" x14ac:dyDescent="0.25">
      <c r="C197" s="6"/>
      <c r="F197" s="1"/>
      <c r="G197" s="2"/>
      <c r="H197" s="2"/>
      <c r="I197" s="2"/>
      <c r="J197" s="4"/>
      <c r="K197" s="4"/>
      <c r="L197" s="4"/>
      <c r="M197" s="3"/>
      <c r="N197" s="3"/>
      <c r="R197" s="1"/>
      <c r="T197" s="1"/>
    </row>
    <row r="198" spans="3:20" x14ac:dyDescent="0.25">
      <c r="C198" s="6"/>
      <c r="F198" s="1"/>
      <c r="G198" s="2"/>
      <c r="H198" s="2"/>
      <c r="I198" s="2"/>
      <c r="J198" s="4"/>
      <c r="K198" s="4"/>
      <c r="L198" s="4"/>
      <c r="M198" s="3"/>
      <c r="N198" s="3"/>
      <c r="R198" s="1"/>
      <c r="T198" s="1"/>
    </row>
    <row r="199" spans="3:20" x14ac:dyDescent="0.25">
      <c r="C199" s="6"/>
      <c r="F199" s="1"/>
      <c r="G199" s="2"/>
      <c r="H199" s="2"/>
      <c r="I199" s="2"/>
      <c r="J199" s="4"/>
      <c r="K199" s="4"/>
      <c r="L199" s="4"/>
      <c r="M199" s="3"/>
      <c r="N199" s="3"/>
      <c r="R199" s="1"/>
      <c r="T199" s="1"/>
    </row>
    <row r="200" spans="3:20" x14ac:dyDescent="0.25">
      <c r="C200" s="6"/>
      <c r="F200" s="1"/>
      <c r="G200" s="2"/>
      <c r="H200" s="2"/>
      <c r="I200" s="2"/>
      <c r="J200" s="4"/>
      <c r="K200" s="4"/>
      <c r="L200" s="4"/>
      <c r="M200" s="3"/>
      <c r="N200" s="3"/>
      <c r="R200" s="1"/>
      <c r="T200" s="1"/>
    </row>
    <row r="201" spans="3:20" x14ac:dyDescent="0.25">
      <c r="C201" s="6"/>
      <c r="F201" s="1"/>
      <c r="G201" s="2"/>
      <c r="H201" s="2"/>
      <c r="I201" s="2"/>
      <c r="J201" s="4"/>
      <c r="K201" s="4"/>
      <c r="L201" s="4"/>
      <c r="M201" s="3"/>
      <c r="N201" s="3"/>
      <c r="R201" s="1"/>
      <c r="T201" s="1"/>
    </row>
    <row r="202" spans="3:20" x14ac:dyDescent="0.25">
      <c r="C202" s="6"/>
      <c r="F202" s="1"/>
      <c r="G202" s="2"/>
      <c r="H202" s="2"/>
      <c r="I202" s="2"/>
      <c r="J202" s="4"/>
      <c r="K202" s="4"/>
      <c r="L202" s="4"/>
      <c r="M202" s="3"/>
      <c r="N202" s="3"/>
      <c r="R202" s="1"/>
      <c r="T202" s="1"/>
    </row>
    <row r="203" spans="3:20" x14ac:dyDescent="0.25">
      <c r="C203" s="6"/>
      <c r="F203" s="1"/>
      <c r="G203" s="2"/>
      <c r="H203" s="2"/>
      <c r="I203" s="2"/>
      <c r="J203" s="4"/>
      <c r="K203" s="4"/>
      <c r="L203" s="4"/>
      <c r="M203" s="3"/>
      <c r="N203" s="3"/>
      <c r="R203" s="1"/>
      <c r="T203" s="1"/>
    </row>
    <row r="204" spans="3:20" x14ac:dyDescent="0.25">
      <c r="C204" s="6"/>
      <c r="F204" s="1"/>
      <c r="G204" s="2"/>
      <c r="H204" s="2"/>
      <c r="I204" s="2"/>
      <c r="J204" s="4"/>
      <c r="K204" s="4"/>
      <c r="L204" s="4"/>
      <c r="M204" s="3"/>
      <c r="N204" s="3"/>
      <c r="R204" s="1"/>
      <c r="T204" s="1"/>
    </row>
    <row r="205" spans="3:20" x14ac:dyDescent="0.25">
      <c r="C205" s="6"/>
      <c r="F205" s="1"/>
      <c r="G205" s="2"/>
      <c r="H205" s="2"/>
      <c r="I205" s="2"/>
      <c r="J205" s="4"/>
      <c r="K205" s="4"/>
      <c r="L205" s="4"/>
      <c r="M205" s="3"/>
      <c r="N205" s="3"/>
      <c r="R205" s="1"/>
      <c r="T205" s="1"/>
    </row>
    <row r="206" spans="3:20" x14ac:dyDescent="0.25">
      <c r="C206" s="6"/>
      <c r="F206" s="1"/>
      <c r="G206" s="2"/>
      <c r="H206" s="2"/>
      <c r="I206" s="2"/>
      <c r="J206" s="4"/>
      <c r="K206" s="4"/>
      <c r="L206" s="4"/>
      <c r="M206" s="3"/>
      <c r="N206" s="3"/>
      <c r="R206" s="1"/>
      <c r="T206" s="1"/>
    </row>
    <row r="207" spans="3:20" x14ac:dyDescent="0.25">
      <c r="C207" s="6"/>
      <c r="F207" s="1"/>
      <c r="G207" s="2"/>
      <c r="H207" s="2"/>
      <c r="I207" s="2"/>
      <c r="J207" s="4"/>
      <c r="K207" s="4"/>
      <c r="L207" s="4"/>
      <c r="M207" s="3"/>
      <c r="N207" s="3"/>
      <c r="R207" s="1"/>
      <c r="T207" s="1"/>
    </row>
    <row r="208" spans="3:20" x14ac:dyDescent="0.25">
      <c r="C208" s="6"/>
      <c r="F208" s="1"/>
      <c r="G208" s="2"/>
      <c r="H208" s="2"/>
      <c r="I208" s="2"/>
      <c r="J208" s="4"/>
      <c r="K208" s="4"/>
      <c r="L208" s="4"/>
      <c r="M208" s="3"/>
      <c r="N208" s="3"/>
      <c r="R208" s="1"/>
      <c r="T208" s="1"/>
    </row>
    <row r="209" spans="3:20" x14ac:dyDescent="0.25">
      <c r="C209" s="6"/>
      <c r="F209" s="1"/>
      <c r="G209" s="2"/>
      <c r="H209" s="2"/>
      <c r="I209" s="2"/>
      <c r="J209" s="4"/>
      <c r="K209" s="4"/>
      <c r="L209" s="4"/>
      <c r="M209" s="3"/>
      <c r="N209" s="3"/>
      <c r="R209" s="1"/>
      <c r="T209" s="1"/>
    </row>
    <row r="210" spans="3:20" x14ac:dyDescent="0.25">
      <c r="C210" s="6"/>
      <c r="F210" s="1"/>
      <c r="G210" s="2"/>
      <c r="H210" s="2"/>
      <c r="I210" s="2"/>
      <c r="J210" s="4"/>
      <c r="K210" s="4"/>
      <c r="L210" s="4"/>
      <c r="M210" s="3"/>
      <c r="N210" s="3"/>
      <c r="R210" s="1"/>
      <c r="T210" s="1"/>
    </row>
    <row r="211" spans="3:20" x14ac:dyDescent="0.25">
      <c r="C211" s="6"/>
      <c r="F211" s="1"/>
      <c r="G211" s="2"/>
      <c r="H211" s="2"/>
      <c r="I211" s="2"/>
      <c r="J211" s="4"/>
      <c r="K211" s="4"/>
      <c r="L211" s="4"/>
      <c r="M211" s="3"/>
      <c r="N211" s="3"/>
      <c r="R211" s="1"/>
      <c r="T211" s="1"/>
    </row>
    <row r="212" spans="3:20" x14ac:dyDescent="0.25">
      <c r="C212" s="6"/>
      <c r="F212" s="1"/>
      <c r="G212" s="2"/>
      <c r="H212" s="2"/>
      <c r="I212" s="2"/>
      <c r="J212" s="4"/>
      <c r="K212" s="4"/>
      <c r="L212" s="4"/>
      <c r="M212" s="3"/>
      <c r="N212" s="3"/>
      <c r="R212" s="1"/>
      <c r="T212" s="1"/>
    </row>
    <row r="213" spans="3:20" x14ac:dyDescent="0.25">
      <c r="C213" s="6"/>
      <c r="F213" s="1"/>
      <c r="G213" s="2"/>
      <c r="H213" s="2"/>
      <c r="I213" s="2"/>
      <c r="J213" s="4"/>
      <c r="K213" s="4"/>
      <c r="L213" s="4"/>
      <c r="M213" s="3"/>
      <c r="N213" s="3"/>
      <c r="R213" s="1"/>
      <c r="T213" s="1"/>
    </row>
    <row r="214" spans="3:20" x14ac:dyDescent="0.25">
      <c r="C214" s="6"/>
      <c r="F214" s="1"/>
      <c r="G214" s="2"/>
      <c r="H214" s="2"/>
      <c r="I214" s="2"/>
      <c r="J214" s="4"/>
      <c r="K214" s="4"/>
      <c r="L214" s="4"/>
      <c r="M214" s="3"/>
      <c r="N214" s="3"/>
      <c r="R214" s="1"/>
      <c r="T214" s="1"/>
    </row>
    <row r="215" spans="3:20" x14ac:dyDescent="0.25">
      <c r="C215" s="6"/>
      <c r="F215" s="1"/>
      <c r="G215" s="2"/>
      <c r="H215" s="2"/>
      <c r="I215" s="2"/>
      <c r="J215" s="4"/>
      <c r="K215" s="4"/>
      <c r="L215" s="4"/>
      <c r="M215" s="3"/>
      <c r="N215" s="3"/>
      <c r="R215" s="1"/>
      <c r="T215" s="1"/>
    </row>
    <row r="216" spans="3:20" x14ac:dyDescent="0.25">
      <c r="C216" s="6"/>
      <c r="F216" s="1"/>
      <c r="G216" s="2"/>
      <c r="H216" s="2"/>
      <c r="I216" s="2"/>
      <c r="J216" s="4"/>
      <c r="K216" s="4"/>
      <c r="L216" s="4"/>
      <c r="M216" s="3"/>
      <c r="N216" s="3"/>
      <c r="R216" s="1"/>
      <c r="T216" s="1"/>
    </row>
    <row r="217" spans="3:20" x14ac:dyDescent="0.25">
      <c r="C217" s="6"/>
      <c r="F217" s="1"/>
      <c r="G217" s="2"/>
      <c r="H217" s="2"/>
      <c r="I217" s="2"/>
      <c r="J217" s="4"/>
      <c r="K217" s="4"/>
      <c r="L217" s="4"/>
      <c r="M217" s="3"/>
      <c r="N217" s="3"/>
      <c r="R217" s="1"/>
      <c r="T217" s="1"/>
    </row>
    <row r="218" spans="3:20" x14ac:dyDescent="0.25">
      <c r="C218" s="6"/>
      <c r="F218" s="1"/>
      <c r="G218" s="2"/>
      <c r="H218" s="2"/>
      <c r="I218" s="2"/>
      <c r="J218" s="4"/>
      <c r="K218" s="4"/>
      <c r="L218" s="4"/>
      <c r="M218" s="3"/>
      <c r="N218" s="3"/>
      <c r="R218" s="1"/>
      <c r="T218" s="1"/>
    </row>
    <row r="219" spans="3:20" x14ac:dyDescent="0.25">
      <c r="C219" s="6"/>
      <c r="F219" s="1"/>
      <c r="G219" s="2"/>
      <c r="H219" s="2"/>
      <c r="I219" s="2"/>
      <c r="J219" s="4"/>
      <c r="K219" s="4"/>
      <c r="L219" s="4"/>
      <c r="M219" s="3"/>
      <c r="N219" s="3"/>
      <c r="R219" s="1"/>
      <c r="T219" s="1"/>
    </row>
    <row r="220" spans="3:20" x14ac:dyDescent="0.25">
      <c r="C220" s="6"/>
      <c r="F220" s="1"/>
      <c r="G220" s="2"/>
      <c r="H220" s="2"/>
      <c r="I220" s="2"/>
      <c r="J220" s="4"/>
      <c r="K220" s="4"/>
      <c r="L220" s="4"/>
      <c r="M220" s="3"/>
      <c r="N220" s="3"/>
      <c r="R220" s="1"/>
      <c r="T220" s="1"/>
    </row>
    <row r="221" spans="3:20" x14ac:dyDescent="0.25">
      <c r="C221" s="6"/>
      <c r="F221" s="1"/>
      <c r="G221" s="2"/>
      <c r="H221" s="2"/>
      <c r="I221" s="2"/>
      <c r="J221" s="4"/>
      <c r="K221" s="4"/>
      <c r="L221" s="4"/>
      <c r="M221" s="3"/>
      <c r="N221" s="3"/>
      <c r="R221" s="1"/>
      <c r="T221" s="1"/>
    </row>
    <row r="222" spans="3:20" x14ac:dyDescent="0.25">
      <c r="C222" s="6"/>
      <c r="F222" s="1"/>
      <c r="G222" s="2"/>
      <c r="H222" s="2"/>
      <c r="I222" s="2"/>
      <c r="J222" s="4"/>
      <c r="K222" s="4"/>
      <c r="L222" s="4"/>
      <c r="M222" s="3"/>
      <c r="N222" s="3"/>
      <c r="R222" s="1"/>
      <c r="T222" s="1"/>
    </row>
    <row r="223" spans="3:20" x14ac:dyDescent="0.25">
      <c r="C223" s="6"/>
      <c r="F223" s="1"/>
      <c r="G223" s="2"/>
      <c r="H223" s="2"/>
      <c r="I223" s="2"/>
      <c r="J223" s="4"/>
      <c r="K223" s="4"/>
      <c r="L223" s="4"/>
      <c r="M223" s="3"/>
      <c r="N223" s="3"/>
      <c r="R223" s="1"/>
      <c r="T223" s="1"/>
    </row>
    <row r="224" spans="3:20" x14ac:dyDescent="0.25">
      <c r="C224" s="6"/>
      <c r="F224" s="1"/>
      <c r="G224" s="2"/>
      <c r="H224" s="2"/>
      <c r="I224" s="2"/>
      <c r="J224" s="4"/>
      <c r="K224" s="4"/>
      <c r="L224" s="4"/>
      <c r="M224" s="3"/>
      <c r="N224" s="3"/>
      <c r="R224" s="1"/>
      <c r="T224" s="1"/>
    </row>
    <row r="225" spans="3:20" x14ac:dyDescent="0.25">
      <c r="C225" s="6"/>
      <c r="F225" s="1"/>
      <c r="G225" s="2"/>
      <c r="H225" s="2"/>
      <c r="I225" s="2"/>
      <c r="J225" s="4"/>
      <c r="K225" s="4"/>
      <c r="L225" s="4"/>
      <c r="M225" s="3"/>
      <c r="N225" s="3"/>
      <c r="R225" s="1"/>
      <c r="T225" s="1"/>
    </row>
    <row r="226" spans="3:20" x14ac:dyDescent="0.25">
      <c r="C226" s="6"/>
      <c r="F226" s="1"/>
      <c r="G226" s="2"/>
      <c r="H226" s="2"/>
      <c r="I226" s="2"/>
      <c r="J226" s="4"/>
      <c r="K226" s="4"/>
      <c r="L226" s="4"/>
      <c r="M226" s="3"/>
      <c r="N226" s="3"/>
      <c r="R226" s="1"/>
      <c r="T226" s="1"/>
    </row>
    <row r="227" spans="3:20" x14ac:dyDescent="0.25">
      <c r="C227" s="6"/>
      <c r="F227" s="1"/>
      <c r="G227" s="2"/>
      <c r="H227" s="2"/>
      <c r="I227" s="2"/>
      <c r="J227" s="4"/>
      <c r="K227" s="4"/>
      <c r="L227" s="4"/>
      <c r="M227" s="3"/>
      <c r="N227" s="3"/>
      <c r="R227" s="1"/>
      <c r="T227" s="1"/>
    </row>
    <row r="228" spans="3:20" x14ac:dyDescent="0.25">
      <c r="C228" s="6"/>
      <c r="F228" s="1"/>
      <c r="G228" s="2"/>
      <c r="H228" s="2"/>
      <c r="I228" s="2"/>
      <c r="J228" s="4"/>
      <c r="K228" s="4"/>
      <c r="L228" s="4"/>
      <c r="M228" s="3"/>
      <c r="N228" s="3"/>
      <c r="R228" s="1"/>
      <c r="T228" s="1"/>
    </row>
    <row r="229" spans="3:20" x14ac:dyDescent="0.25">
      <c r="C229" s="6"/>
      <c r="F229" s="1"/>
      <c r="G229" s="2"/>
      <c r="H229" s="2"/>
      <c r="I229" s="2"/>
      <c r="J229" s="4"/>
      <c r="K229" s="4"/>
      <c r="L229" s="4"/>
      <c r="M229" s="3"/>
      <c r="N229" s="3"/>
      <c r="R229" s="1"/>
      <c r="T229" s="1"/>
    </row>
    <row r="230" spans="3:20" x14ac:dyDescent="0.25">
      <c r="C230" s="6"/>
      <c r="F230" s="1"/>
      <c r="G230" s="2"/>
      <c r="H230" s="2"/>
      <c r="I230" s="2"/>
      <c r="J230" s="4"/>
      <c r="K230" s="4"/>
      <c r="L230" s="4"/>
      <c r="M230" s="3"/>
      <c r="N230" s="3"/>
      <c r="R230" s="1"/>
      <c r="T230" s="1"/>
    </row>
    <row r="231" spans="3:20" x14ac:dyDescent="0.25">
      <c r="C231" s="6"/>
      <c r="F231" s="1"/>
      <c r="G231" s="2"/>
      <c r="H231" s="2"/>
      <c r="I231" s="2"/>
      <c r="J231" s="4"/>
      <c r="K231" s="4"/>
      <c r="L231" s="4"/>
      <c r="M231" s="3"/>
      <c r="N231" s="3"/>
      <c r="R231" s="1"/>
      <c r="T231" s="1"/>
    </row>
    <row r="232" spans="3:20" x14ac:dyDescent="0.25">
      <c r="C232" s="6"/>
      <c r="F232" s="1"/>
      <c r="G232" s="2"/>
      <c r="H232" s="2"/>
      <c r="I232" s="2"/>
      <c r="J232" s="4"/>
      <c r="K232" s="4"/>
      <c r="L232" s="4"/>
      <c r="M232" s="3"/>
      <c r="N232" s="3"/>
      <c r="R232" s="1"/>
      <c r="T232" s="1"/>
    </row>
    <row r="233" spans="3:20" x14ac:dyDescent="0.25">
      <c r="C233" s="6"/>
      <c r="F233" s="1"/>
      <c r="G233" s="2"/>
      <c r="H233" s="2"/>
      <c r="I233" s="2"/>
      <c r="J233" s="4"/>
      <c r="K233" s="4"/>
      <c r="L233" s="4"/>
      <c r="M233" s="3"/>
      <c r="N233" s="3"/>
      <c r="R233" s="1"/>
      <c r="T233" s="1"/>
    </row>
    <row r="234" spans="3:20" x14ac:dyDescent="0.25">
      <c r="C234" s="6"/>
      <c r="F234" s="1"/>
      <c r="G234" s="2"/>
      <c r="H234" s="2"/>
      <c r="I234" s="2"/>
      <c r="J234" s="4"/>
      <c r="K234" s="4"/>
      <c r="L234" s="4"/>
      <c r="M234" s="3"/>
      <c r="N234" s="3"/>
      <c r="R234" s="1"/>
      <c r="T234" s="1"/>
    </row>
    <row r="235" spans="3:20" x14ac:dyDescent="0.25">
      <c r="C235" s="6"/>
      <c r="F235" s="1"/>
      <c r="G235" s="2"/>
      <c r="H235" s="2"/>
      <c r="I235" s="2"/>
      <c r="J235" s="4"/>
      <c r="K235" s="4"/>
      <c r="L235" s="4"/>
      <c r="M235" s="3"/>
      <c r="N235" s="3"/>
      <c r="R235" s="1"/>
      <c r="T235" s="1"/>
    </row>
    <row r="236" spans="3:20" x14ac:dyDescent="0.25">
      <c r="C236" s="6"/>
      <c r="F236" s="1"/>
      <c r="G236" s="2"/>
      <c r="H236" s="2"/>
      <c r="I236" s="2"/>
      <c r="J236" s="4"/>
      <c r="K236" s="4"/>
      <c r="L236" s="4"/>
      <c r="M236" s="3"/>
      <c r="N236" s="3"/>
      <c r="R236" s="1"/>
      <c r="T236" s="1"/>
    </row>
    <row r="237" spans="3:20" x14ac:dyDescent="0.25">
      <c r="C237" s="6"/>
      <c r="F237" s="1"/>
      <c r="G237" s="2"/>
      <c r="H237" s="2"/>
      <c r="I237" s="2"/>
      <c r="J237" s="4"/>
      <c r="K237" s="4"/>
      <c r="L237" s="4"/>
      <c r="M237" s="3"/>
      <c r="N237" s="3"/>
      <c r="R237" s="1"/>
      <c r="T237" s="1"/>
    </row>
    <row r="238" spans="3:20" x14ac:dyDescent="0.25">
      <c r="C238" s="6"/>
      <c r="F238" s="1"/>
      <c r="G238" s="2"/>
      <c r="H238" s="2"/>
      <c r="I238" s="2"/>
      <c r="J238" s="4"/>
      <c r="K238" s="4"/>
      <c r="L238" s="4"/>
      <c r="M238" s="3"/>
      <c r="N238" s="3"/>
      <c r="R238" s="1"/>
      <c r="T238" s="1"/>
    </row>
    <row r="239" spans="3:20" x14ac:dyDescent="0.25">
      <c r="C239" s="6"/>
      <c r="F239" s="1"/>
      <c r="G239" s="2"/>
      <c r="H239" s="2"/>
      <c r="I239" s="2"/>
      <c r="J239" s="4"/>
      <c r="K239" s="4"/>
      <c r="L239" s="4"/>
      <c r="M239" s="3"/>
      <c r="N239" s="3"/>
      <c r="R239" s="1"/>
      <c r="T239" s="1"/>
    </row>
    <row r="240" spans="3:20" x14ac:dyDescent="0.25">
      <c r="C240" s="6"/>
      <c r="F240" s="1"/>
      <c r="G240" s="2"/>
      <c r="H240" s="2"/>
      <c r="I240" s="2"/>
      <c r="J240" s="4"/>
      <c r="K240" s="4"/>
      <c r="L240" s="4"/>
      <c r="M240" s="3"/>
      <c r="N240" s="3"/>
      <c r="R240" s="1"/>
      <c r="T240" s="1"/>
    </row>
    <row r="241" spans="3:20" x14ac:dyDescent="0.25">
      <c r="C241" s="6"/>
      <c r="F241" s="1"/>
      <c r="G241" s="2"/>
      <c r="H241" s="2"/>
      <c r="I241" s="2"/>
      <c r="J241" s="4"/>
      <c r="K241" s="4"/>
      <c r="L241" s="4"/>
      <c r="M241" s="3"/>
      <c r="N241" s="3"/>
      <c r="R241" s="1"/>
      <c r="T241" s="1"/>
    </row>
    <row r="242" spans="3:20" x14ac:dyDescent="0.25">
      <c r="C242" s="6"/>
      <c r="F242" s="1"/>
      <c r="G242" s="2"/>
      <c r="H242" s="2"/>
      <c r="I242" s="2"/>
      <c r="J242" s="4"/>
      <c r="K242" s="4"/>
      <c r="L242" s="4"/>
      <c r="M242" s="3"/>
      <c r="N242" s="3"/>
      <c r="R242" s="1"/>
      <c r="T242" s="1"/>
    </row>
    <row r="243" spans="3:20" x14ac:dyDescent="0.25">
      <c r="C243" s="6"/>
      <c r="F243" s="1"/>
      <c r="G243" s="2"/>
      <c r="H243" s="2"/>
      <c r="I243" s="2"/>
      <c r="J243" s="4"/>
      <c r="K243" s="4"/>
      <c r="L243" s="4"/>
      <c r="M243" s="3"/>
      <c r="N243" s="3"/>
      <c r="R243" s="1"/>
      <c r="T243" s="1"/>
    </row>
    <row r="244" spans="3:20" x14ac:dyDescent="0.25">
      <c r="C244" s="6"/>
      <c r="F244" s="1"/>
      <c r="G244" s="2"/>
      <c r="H244" s="2"/>
      <c r="I244" s="2"/>
      <c r="J244" s="4"/>
      <c r="K244" s="4"/>
      <c r="L244" s="4"/>
      <c r="M244" s="3"/>
      <c r="N244" s="3"/>
      <c r="R244" s="1"/>
      <c r="T244" s="1"/>
    </row>
    <row r="245" spans="3:20" x14ac:dyDescent="0.25">
      <c r="C245" s="6"/>
      <c r="F245" s="1"/>
      <c r="G245" s="2"/>
      <c r="H245" s="2"/>
      <c r="I245" s="2"/>
      <c r="J245" s="4"/>
      <c r="K245" s="4"/>
      <c r="L245" s="4"/>
      <c r="M245" s="3"/>
      <c r="N245" s="3"/>
      <c r="R245" s="1"/>
      <c r="T245" s="1"/>
    </row>
    <row r="246" spans="3:20" x14ac:dyDescent="0.25">
      <c r="C246" s="6"/>
      <c r="F246" s="1"/>
      <c r="G246" s="2"/>
      <c r="H246" s="2"/>
      <c r="I246" s="2"/>
      <c r="J246" s="4"/>
      <c r="K246" s="4"/>
      <c r="L246" s="4"/>
      <c r="M246" s="3"/>
      <c r="N246" s="3"/>
      <c r="R246" s="1"/>
      <c r="T246" s="1"/>
    </row>
    <row r="247" spans="3:20" x14ac:dyDescent="0.25">
      <c r="C247" s="6"/>
      <c r="F247" s="1"/>
      <c r="G247" s="2"/>
      <c r="H247" s="2"/>
      <c r="I247" s="2"/>
      <c r="J247" s="4"/>
      <c r="K247" s="4"/>
      <c r="L247" s="4"/>
      <c r="M247" s="3"/>
      <c r="N247" s="3"/>
      <c r="R247" s="1"/>
      <c r="T247" s="1"/>
    </row>
    <row r="248" spans="3:20" x14ac:dyDescent="0.25">
      <c r="C248" s="6"/>
      <c r="F248" s="1"/>
      <c r="G248" s="2"/>
      <c r="H248" s="2"/>
      <c r="I248" s="2"/>
      <c r="J248" s="4"/>
      <c r="K248" s="4"/>
      <c r="L248" s="4"/>
      <c r="M248" s="3"/>
      <c r="N248" s="3"/>
      <c r="R248" s="1"/>
      <c r="T248" s="1"/>
    </row>
    <row r="249" spans="3:20" x14ac:dyDescent="0.25">
      <c r="C249" s="6"/>
      <c r="F249" s="1"/>
      <c r="G249" s="2"/>
      <c r="H249" s="2"/>
      <c r="I249" s="2"/>
      <c r="J249" s="4"/>
      <c r="K249" s="4"/>
      <c r="L249" s="4"/>
      <c r="M249" s="3"/>
      <c r="N249" s="3"/>
      <c r="R249" s="1"/>
      <c r="T249" s="1"/>
    </row>
    <row r="250" spans="3:20" x14ac:dyDescent="0.25">
      <c r="C250" s="6"/>
      <c r="F250" s="1"/>
      <c r="G250" s="2"/>
      <c r="H250" s="2"/>
      <c r="I250" s="2"/>
      <c r="J250" s="4"/>
      <c r="K250" s="4"/>
      <c r="L250" s="4"/>
      <c r="M250" s="3"/>
      <c r="N250" s="3"/>
      <c r="R250" s="1"/>
      <c r="T250" s="1"/>
    </row>
    <row r="251" spans="3:20" x14ac:dyDescent="0.25">
      <c r="C251" s="6"/>
      <c r="F251" s="1"/>
      <c r="G251" s="2"/>
      <c r="H251" s="2"/>
      <c r="I251" s="2"/>
      <c r="J251" s="4"/>
      <c r="K251" s="4"/>
      <c r="L251" s="4"/>
      <c r="M251" s="3"/>
      <c r="N251" s="3"/>
      <c r="R251" s="1"/>
      <c r="T251" s="1"/>
    </row>
    <row r="252" spans="3:20" x14ac:dyDescent="0.25">
      <c r="C252" s="6"/>
      <c r="F252" s="1"/>
      <c r="G252" s="2"/>
      <c r="H252" s="2"/>
      <c r="I252" s="2"/>
      <c r="J252" s="4"/>
      <c r="K252" s="4"/>
      <c r="L252" s="4"/>
      <c r="M252" s="3"/>
      <c r="N252" s="3"/>
      <c r="R252" s="1"/>
      <c r="T252" s="1"/>
    </row>
    <row r="253" spans="3:20" x14ac:dyDescent="0.25">
      <c r="C253" s="6"/>
      <c r="F253" s="1"/>
      <c r="G253" s="2"/>
      <c r="H253" s="2"/>
      <c r="I253" s="2"/>
      <c r="J253" s="4"/>
      <c r="K253" s="4"/>
      <c r="L253" s="4"/>
      <c r="M253" s="3"/>
      <c r="N253" s="3"/>
      <c r="R253" s="1"/>
      <c r="T253" s="1"/>
    </row>
    <row r="254" spans="3:20" x14ac:dyDescent="0.25">
      <c r="C254" s="6"/>
      <c r="F254" s="1"/>
      <c r="G254" s="2"/>
      <c r="H254" s="2"/>
      <c r="I254" s="2"/>
      <c r="J254" s="4"/>
      <c r="K254" s="4"/>
      <c r="L254" s="4"/>
      <c r="M254" s="3"/>
      <c r="N254" s="3"/>
      <c r="R254" s="1"/>
      <c r="T254" s="1"/>
    </row>
    <row r="255" spans="3:20" x14ac:dyDescent="0.25">
      <c r="C255" s="6"/>
      <c r="F255" s="1"/>
      <c r="G255" s="2"/>
      <c r="H255" s="2"/>
      <c r="I255" s="2"/>
      <c r="J255" s="4"/>
      <c r="K255" s="4"/>
      <c r="L255" s="4"/>
      <c r="M255" s="3"/>
      <c r="N255" s="3"/>
      <c r="R255" s="1"/>
      <c r="T255" s="1"/>
    </row>
    <row r="256" spans="3:20" x14ac:dyDescent="0.25">
      <c r="C256" s="6"/>
      <c r="F256" s="1"/>
      <c r="G256" s="2"/>
      <c r="H256" s="2"/>
      <c r="I256" s="2"/>
      <c r="J256" s="4"/>
      <c r="K256" s="4"/>
      <c r="L256" s="4"/>
      <c r="M256" s="3"/>
      <c r="N256" s="3"/>
      <c r="R256" s="1"/>
      <c r="T256" s="1"/>
    </row>
    <row r="257" spans="3:20" x14ac:dyDescent="0.25">
      <c r="C257" s="6"/>
      <c r="F257" s="1"/>
      <c r="G257" s="2"/>
      <c r="H257" s="2"/>
      <c r="I257" s="2"/>
      <c r="J257" s="4"/>
      <c r="K257" s="4"/>
      <c r="L257" s="4"/>
      <c r="M257" s="3"/>
      <c r="N257" s="3"/>
      <c r="R257" s="1"/>
      <c r="T257" s="1"/>
    </row>
    <row r="258" spans="3:20" x14ac:dyDescent="0.25">
      <c r="C258" s="6"/>
      <c r="F258" s="1"/>
      <c r="G258" s="2"/>
      <c r="H258" s="2"/>
      <c r="I258" s="2"/>
      <c r="J258" s="4"/>
      <c r="K258" s="4"/>
      <c r="L258" s="4"/>
      <c r="M258" s="3"/>
      <c r="N258" s="3"/>
      <c r="R258" s="1"/>
      <c r="T258" s="1"/>
    </row>
    <row r="259" spans="3:20" x14ac:dyDescent="0.25">
      <c r="C259" s="6"/>
      <c r="F259" s="1"/>
      <c r="G259" s="2"/>
      <c r="H259" s="2"/>
      <c r="I259" s="2"/>
      <c r="J259" s="4"/>
      <c r="K259" s="4"/>
      <c r="L259" s="4"/>
      <c r="M259" s="3"/>
      <c r="N259" s="3"/>
      <c r="R259" s="1"/>
      <c r="T259" s="1"/>
    </row>
    <row r="260" spans="3:20" x14ac:dyDescent="0.25">
      <c r="C260" s="6"/>
      <c r="F260" s="1"/>
      <c r="G260" s="2"/>
      <c r="H260" s="2"/>
      <c r="I260" s="2"/>
      <c r="J260" s="4"/>
      <c r="K260" s="4"/>
      <c r="L260" s="4"/>
      <c r="M260" s="3"/>
      <c r="N260" s="3"/>
      <c r="R260" s="1"/>
      <c r="T260" s="1"/>
    </row>
    <row r="261" spans="3:20" x14ac:dyDescent="0.25">
      <c r="C261" s="6"/>
      <c r="F261" s="1"/>
      <c r="G261" s="2"/>
      <c r="H261" s="2"/>
      <c r="I261" s="2"/>
      <c r="J261" s="4"/>
      <c r="K261" s="4"/>
      <c r="L261" s="4"/>
      <c r="M261" s="3"/>
      <c r="N261" s="3"/>
      <c r="R261" s="1"/>
      <c r="T261" s="1"/>
    </row>
    <row r="262" spans="3:20" x14ac:dyDescent="0.25">
      <c r="C262" s="6"/>
      <c r="F262" s="1"/>
      <c r="G262" s="2"/>
      <c r="H262" s="2"/>
      <c r="I262" s="2"/>
      <c r="J262" s="4"/>
      <c r="K262" s="4"/>
      <c r="L262" s="4"/>
      <c r="M262" s="3"/>
      <c r="N262" s="3"/>
      <c r="R262" s="1"/>
      <c r="T262" s="1"/>
    </row>
    <row r="263" spans="3:20" x14ac:dyDescent="0.25">
      <c r="C263" s="6"/>
      <c r="F263" s="1"/>
      <c r="G263" s="2"/>
      <c r="H263" s="2"/>
      <c r="I263" s="2"/>
      <c r="J263" s="4"/>
      <c r="K263" s="4"/>
      <c r="L263" s="4"/>
      <c r="M263" s="3"/>
      <c r="N263" s="3"/>
      <c r="R263" s="1"/>
      <c r="T263" s="1"/>
    </row>
    <row r="264" spans="3:20" x14ac:dyDescent="0.25">
      <c r="C264" s="6"/>
      <c r="F264" s="1"/>
      <c r="G264" s="2"/>
      <c r="H264" s="2"/>
      <c r="I264" s="2"/>
      <c r="J264" s="4"/>
      <c r="K264" s="4"/>
      <c r="L264" s="4"/>
      <c r="M264" s="3"/>
      <c r="N264" s="3"/>
      <c r="R264" s="1"/>
      <c r="T264" s="1"/>
    </row>
    <row r="265" spans="3:20" x14ac:dyDescent="0.25">
      <c r="C265" s="6"/>
      <c r="F265" s="1"/>
      <c r="G265" s="2"/>
      <c r="H265" s="2"/>
      <c r="I265" s="2"/>
      <c r="J265" s="4"/>
      <c r="K265" s="4"/>
      <c r="L265" s="4"/>
      <c r="M265" s="3"/>
      <c r="N265" s="3"/>
      <c r="R265" s="1"/>
      <c r="T265" s="1"/>
    </row>
    <row r="266" spans="3:20" x14ac:dyDescent="0.25">
      <c r="C266" s="6"/>
      <c r="F266" s="1"/>
      <c r="G266" s="2"/>
      <c r="H266" s="2"/>
      <c r="I266" s="2"/>
      <c r="J266" s="4"/>
      <c r="K266" s="4"/>
      <c r="L266" s="4"/>
      <c r="M266" s="3"/>
      <c r="N266" s="3"/>
      <c r="R266" s="1"/>
      <c r="T266" s="1"/>
    </row>
    <row r="267" spans="3:20" x14ac:dyDescent="0.25">
      <c r="C267" s="6"/>
      <c r="F267" s="1"/>
      <c r="G267" s="2"/>
      <c r="H267" s="2"/>
      <c r="I267" s="2"/>
      <c r="J267" s="4"/>
      <c r="K267" s="4"/>
      <c r="L267" s="4"/>
      <c r="M267" s="3"/>
      <c r="N267" s="3"/>
      <c r="R267" s="1"/>
      <c r="T267" s="1"/>
    </row>
    <row r="268" spans="3:20" x14ac:dyDescent="0.25">
      <c r="C268" s="6"/>
      <c r="F268" s="1"/>
      <c r="G268" s="2"/>
      <c r="H268" s="2"/>
      <c r="I268" s="2"/>
      <c r="J268" s="4"/>
      <c r="K268" s="4"/>
      <c r="L268" s="4"/>
      <c r="M268" s="3"/>
      <c r="N268" s="3"/>
      <c r="R268" s="1"/>
      <c r="T268" s="1"/>
    </row>
    <row r="269" spans="3:20" x14ac:dyDescent="0.25">
      <c r="C269" s="6"/>
      <c r="F269" s="1"/>
      <c r="G269" s="2"/>
      <c r="H269" s="2"/>
      <c r="I269" s="2"/>
      <c r="J269" s="4"/>
      <c r="K269" s="4"/>
      <c r="L269" s="4"/>
      <c r="M269" s="3"/>
      <c r="N269" s="3"/>
      <c r="R269" s="1"/>
      <c r="T269" s="1"/>
    </row>
    <row r="270" spans="3:20" x14ac:dyDescent="0.25">
      <c r="C270" s="6"/>
      <c r="F270" s="1"/>
      <c r="G270" s="2"/>
      <c r="H270" s="2"/>
      <c r="I270" s="2"/>
      <c r="J270" s="4"/>
      <c r="K270" s="4"/>
      <c r="L270" s="4"/>
      <c r="M270" s="3"/>
      <c r="N270" s="3"/>
      <c r="R270" s="1"/>
      <c r="T270" s="1"/>
    </row>
    <row r="271" spans="3:20" x14ac:dyDescent="0.25">
      <c r="C271" s="6"/>
      <c r="F271" s="1"/>
      <c r="G271" s="2"/>
      <c r="H271" s="2"/>
      <c r="I271" s="2"/>
      <c r="J271" s="4"/>
      <c r="K271" s="4"/>
      <c r="L271" s="4"/>
      <c r="M271" s="3"/>
      <c r="N271" s="3"/>
      <c r="R271" s="1"/>
      <c r="T271" s="1"/>
    </row>
    <row r="272" spans="3:20" x14ac:dyDescent="0.25">
      <c r="C272" s="6"/>
      <c r="F272" s="1"/>
      <c r="G272" s="2"/>
      <c r="H272" s="2"/>
      <c r="I272" s="2"/>
      <c r="J272" s="4"/>
      <c r="K272" s="4"/>
      <c r="L272" s="4"/>
      <c r="M272" s="3"/>
      <c r="N272" s="3"/>
      <c r="R272" s="1"/>
      <c r="T272" s="1"/>
    </row>
    <row r="273" spans="3:20" x14ac:dyDescent="0.25">
      <c r="C273" s="6"/>
      <c r="F273" s="1"/>
      <c r="G273" s="2"/>
      <c r="H273" s="2"/>
      <c r="I273" s="2"/>
      <c r="J273" s="4"/>
      <c r="K273" s="4"/>
      <c r="L273" s="4"/>
      <c r="M273" s="3"/>
      <c r="N273" s="3"/>
      <c r="R273" s="1"/>
      <c r="T273" s="1"/>
    </row>
    <row r="274" spans="3:20" x14ac:dyDescent="0.25">
      <c r="C274" s="6"/>
      <c r="F274" s="1"/>
      <c r="G274" s="2"/>
      <c r="H274" s="2"/>
      <c r="I274" s="2"/>
      <c r="J274" s="4"/>
      <c r="K274" s="4"/>
      <c r="L274" s="4"/>
      <c r="M274" s="3"/>
      <c r="N274" s="3"/>
      <c r="R274" s="1"/>
      <c r="T274" s="1"/>
    </row>
    <row r="275" spans="3:20" x14ac:dyDescent="0.25">
      <c r="C275" s="6"/>
      <c r="F275" s="1"/>
      <c r="G275" s="2"/>
      <c r="H275" s="2"/>
      <c r="I275" s="2"/>
      <c r="J275" s="4"/>
      <c r="K275" s="4"/>
      <c r="L275" s="4"/>
      <c r="M275" s="3"/>
      <c r="N275" s="3"/>
      <c r="R275" s="1"/>
      <c r="T275" s="1"/>
    </row>
    <row r="276" spans="3:20" x14ac:dyDescent="0.25">
      <c r="C276" s="6"/>
      <c r="F276" s="1"/>
      <c r="G276" s="2"/>
      <c r="H276" s="2"/>
      <c r="I276" s="2"/>
      <c r="J276" s="4"/>
      <c r="K276" s="4"/>
      <c r="L276" s="4"/>
      <c r="M276" s="3"/>
      <c r="N276" s="3"/>
      <c r="R276" s="1"/>
      <c r="T276" s="1"/>
    </row>
    <row r="277" spans="3:20" x14ac:dyDescent="0.25">
      <c r="C277" s="6"/>
      <c r="F277" s="1"/>
      <c r="G277" s="2"/>
      <c r="H277" s="2"/>
      <c r="I277" s="2"/>
      <c r="J277" s="4"/>
      <c r="K277" s="4"/>
      <c r="L277" s="4"/>
      <c r="M277" s="3"/>
      <c r="N277" s="3"/>
      <c r="R277" s="1"/>
      <c r="T277" s="1"/>
    </row>
    <row r="278" spans="3:20" x14ac:dyDescent="0.25">
      <c r="C278" s="6"/>
      <c r="F278" s="1"/>
      <c r="G278" s="2"/>
      <c r="H278" s="2"/>
      <c r="I278" s="2"/>
      <c r="J278" s="4"/>
      <c r="K278" s="4"/>
      <c r="L278" s="4"/>
      <c r="M278" s="3"/>
      <c r="N278" s="3"/>
      <c r="R278" s="1"/>
      <c r="T278" s="1"/>
    </row>
    <row r="279" spans="3:20" x14ac:dyDescent="0.25">
      <c r="C279" s="6"/>
      <c r="F279" s="1"/>
      <c r="G279" s="2"/>
      <c r="H279" s="2"/>
      <c r="I279" s="2"/>
      <c r="J279" s="4"/>
      <c r="K279" s="4"/>
      <c r="L279" s="4"/>
      <c r="M279" s="3"/>
      <c r="N279" s="3"/>
      <c r="R279" s="1"/>
      <c r="T279" s="1"/>
    </row>
    <row r="280" spans="3:20" x14ac:dyDescent="0.25">
      <c r="C280" s="6"/>
      <c r="F280" s="1"/>
      <c r="G280" s="2"/>
      <c r="H280" s="2"/>
      <c r="I280" s="2"/>
      <c r="J280" s="4"/>
      <c r="K280" s="4"/>
      <c r="L280" s="4"/>
      <c r="M280" s="3"/>
      <c r="N280" s="3"/>
      <c r="R280" s="1"/>
      <c r="T280" s="1"/>
    </row>
    <row r="281" spans="3:20" x14ac:dyDescent="0.25">
      <c r="C281" s="6"/>
      <c r="F281" s="1"/>
      <c r="G281" s="2"/>
      <c r="H281" s="2"/>
      <c r="I281" s="2"/>
      <c r="J281" s="4"/>
      <c r="K281" s="4"/>
      <c r="L281" s="4"/>
      <c r="M281" s="3"/>
      <c r="N281" s="3"/>
      <c r="R281" s="1"/>
      <c r="T281" s="1"/>
    </row>
    <row r="282" spans="3:20" x14ac:dyDescent="0.25">
      <c r="C282" s="6"/>
      <c r="F282" s="1"/>
      <c r="G282" s="2"/>
      <c r="H282" s="2"/>
      <c r="I282" s="2"/>
      <c r="J282" s="4"/>
      <c r="K282" s="4"/>
      <c r="L282" s="4"/>
      <c r="M282" s="3"/>
      <c r="N282" s="3"/>
      <c r="R282" s="1"/>
      <c r="T282" s="1"/>
    </row>
    <row r="283" spans="3:20" x14ac:dyDescent="0.25">
      <c r="C283" s="6"/>
      <c r="F283" s="1"/>
      <c r="G283" s="2"/>
      <c r="H283" s="2"/>
      <c r="I283" s="2"/>
      <c r="J283" s="4"/>
      <c r="K283" s="4"/>
      <c r="L283" s="4"/>
      <c r="M283" s="3"/>
      <c r="N283" s="3"/>
      <c r="R283" s="1"/>
      <c r="T283" s="1"/>
    </row>
    <row r="284" spans="3:20" x14ac:dyDescent="0.25">
      <c r="C284" s="6"/>
      <c r="F284" s="1"/>
      <c r="G284" s="2"/>
      <c r="H284" s="2"/>
      <c r="I284" s="2"/>
      <c r="J284" s="4"/>
      <c r="K284" s="4"/>
      <c r="L284" s="4"/>
      <c r="M284" s="3"/>
      <c r="N284" s="3"/>
      <c r="R284" s="1"/>
      <c r="T284" s="1"/>
    </row>
    <row r="285" spans="3:20" x14ac:dyDescent="0.25">
      <c r="C285" s="6"/>
      <c r="F285" s="1"/>
      <c r="G285" s="2"/>
      <c r="H285" s="2"/>
      <c r="I285" s="2"/>
      <c r="J285" s="4"/>
      <c r="K285" s="4"/>
      <c r="L285" s="4"/>
      <c r="M285" s="3"/>
      <c r="N285" s="3"/>
      <c r="R285" s="1"/>
      <c r="T285" s="1"/>
    </row>
    <row r="286" spans="3:20" x14ac:dyDescent="0.25">
      <c r="C286" s="6"/>
      <c r="F286" s="1"/>
      <c r="G286" s="2"/>
      <c r="H286" s="2"/>
      <c r="I286" s="2"/>
      <c r="J286" s="4"/>
      <c r="K286" s="4"/>
      <c r="L286" s="4"/>
      <c r="M286" s="3"/>
      <c r="N286" s="3"/>
      <c r="R286" s="1"/>
      <c r="T286" s="1"/>
    </row>
    <row r="287" spans="3:20" x14ac:dyDescent="0.25">
      <c r="C287" s="6"/>
      <c r="F287" s="1"/>
      <c r="G287" s="2"/>
      <c r="H287" s="2"/>
      <c r="I287" s="2"/>
      <c r="J287" s="4"/>
      <c r="K287" s="4"/>
      <c r="L287" s="4"/>
      <c r="M287" s="3"/>
      <c r="N287" s="3"/>
      <c r="R287" s="1"/>
      <c r="T287" s="1"/>
    </row>
    <row r="288" spans="3:20" x14ac:dyDescent="0.25">
      <c r="C288" s="6"/>
      <c r="F288" s="1"/>
      <c r="G288" s="2"/>
      <c r="H288" s="2"/>
      <c r="I288" s="2"/>
      <c r="J288" s="4"/>
      <c r="K288" s="4"/>
      <c r="L288" s="4"/>
      <c r="M288" s="3"/>
      <c r="N288" s="3"/>
      <c r="R288" s="1"/>
      <c r="T288" s="1"/>
    </row>
    <row r="289" spans="3:20" x14ac:dyDescent="0.25">
      <c r="C289" s="6"/>
      <c r="F289" s="1"/>
      <c r="G289" s="2"/>
      <c r="H289" s="2"/>
      <c r="I289" s="2"/>
      <c r="J289" s="4"/>
      <c r="K289" s="4"/>
      <c r="L289" s="4"/>
      <c r="M289" s="3"/>
      <c r="N289" s="3"/>
      <c r="R289" s="1"/>
      <c r="T289" s="1"/>
    </row>
    <row r="290" spans="3:20" x14ac:dyDescent="0.25">
      <c r="C290" s="6"/>
      <c r="F290" s="1"/>
      <c r="G290" s="2"/>
      <c r="H290" s="2"/>
      <c r="I290" s="2"/>
      <c r="J290" s="4"/>
      <c r="K290" s="4"/>
      <c r="L290" s="4"/>
      <c r="M290" s="3"/>
      <c r="N290" s="3"/>
      <c r="R290" s="1"/>
      <c r="T290" s="1"/>
    </row>
    <row r="291" spans="3:20" x14ac:dyDescent="0.25">
      <c r="C291" s="6"/>
      <c r="F291" s="1"/>
      <c r="G291" s="2"/>
      <c r="H291" s="2"/>
      <c r="I291" s="2"/>
      <c r="J291" s="4"/>
      <c r="K291" s="4"/>
      <c r="L291" s="4"/>
      <c r="M291" s="3"/>
      <c r="N291" s="3"/>
      <c r="R291" s="1"/>
      <c r="T291" s="1"/>
    </row>
    <row r="292" spans="3:20" x14ac:dyDescent="0.25">
      <c r="C292" s="6"/>
      <c r="F292" s="1"/>
      <c r="G292" s="2"/>
      <c r="H292" s="2"/>
      <c r="I292" s="2"/>
      <c r="J292" s="4"/>
      <c r="K292" s="4"/>
      <c r="L292" s="4"/>
      <c r="M292" s="3"/>
      <c r="N292" s="3"/>
      <c r="R292" s="1"/>
      <c r="T292" s="1"/>
    </row>
    <row r="293" spans="3:20" x14ac:dyDescent="0.25">
      <c r="C293" s="6"/>
      <c r="F293" s="1"/>
      <c r="G293" s="2"/>
      <c r="H293" s="2"/>
      <c r="I293" s="2"/>
      <c r="J293" s="4"/>
      <c r="K293" s="4"/>
      <c r="L293" s="4"/>
      <c r="M293" s="3"/>
      <c r="N293" s="3"/>
      <c r="R293" s="1"/>
      <c r="T293" s="1"/>
    </row>
    <row r="294" spans="3:20" x14ac:dyDescent="0.25">
      <c r="C294" s="6"/>
      <c r="F294" s="1"/>
      <c r="G294" s="2"/>
      <c r="H294" s="2"/>
      <c r="I294" s="2"/>
      <c r="J294" s="4"/>
      <c r="K294" s="4"/>
      <c r="L294" s="4"/>
      <c r="M294" s="3"/>
      <c r="N294" s="3"/>
      <c r="R294" s="1"/>
      <c r="T294" s="1"/>
    </row>
    <row r="295" spans="3:20" x14ac:dyDescent="0.25">
      <c r="C295" s="6"/>
      <c r="F295" s="1"/>
      <c r="G295" s="2"/>
      <c r="H295" s="2"/>
      <c r="I295" s="2"/>
      <c r="J295" s="4"/>
      <c r="K295" s="4"/>
      <c r="L295" s="4"/>
      <c r="M295" s="3"/>
      <c r="N295" s="3"/>
      <c r="R295" s="1"/>
      <c r="T295" s="1"/>
    </row>
    <row r="296" spans="3:20" x14ac:dyDescent="0.25">
      <c r="C296" s="6"/>
      <c r="F296" s="1"/>
      <c r="G296" s="2"/>
      <c r="H296" s="2"/>
      <c r="I296" s="2"/>
      <c r="J296" s="4"/>
      <c r="K296" s="4"/>
      <c r="L296" s="4"/>
      <c r="M296" s="3"/>
      <c r="N296" s="3"/>
      <c r="R296" s="1"/>
      <c r="T296" s="1"/>
    </row>
    <row r="297" spans="3:20" x14ac:dyDescent="0.25">
      <c r="C297" s="6"/>
      <c r="F297" s="1"/>
      <c r="G297" s="2"/>
      <c r="H297" s="2"/>
      <c r="I297" s="2"/>
      <c r="J297" s="4"/>
      <c r="K297" s="4"/>
      <c r="L297" s="4"/>
      <c r="M297" s="3"/>
      <c r="N297" s="3"/>
      <c r="R297" s="1"/>
      <c r="T297" s="1"/>
    </row>
    <row r="298" spans="3:20" x14ac:dyDescent="0.25">
      <c r="C298" s="6"/>
      <c r="F298" s="1"/>
      <c r="G298" s="2"/>
      <c r="H298" s="2"/>
      <c r="I298" s="2"/>
      <c r="J298" s="4"/>
      <c r="K298" s="4"/>
      <c r="L298" s="4"/>
      <c r="M298" s="3"/>
      <c r="N298" s="3"/>
      <c r="R298" s="1"/>
      <c r="T298" s="1"/>
    </row>
    <row r="299" spans="3:20" x14ac:dyDescent="0.25">
      <c r="C299" s="6"/>
      <c r="F299" s="1"/>
      <c r="G299" s="2"/>
      <c r="H299" s="2"/>
      <c r="I299" s="2"/>
      <c r="J299" s="4"/>
      <c r="K299" s="4"/>
      <c r="L299" s="4"/>
      <c r="M299" s="3"/>
      <c r="N299" s="3"/>
      <c r="R299" s="1"/>
      <c r="T299" s="1"/>
    </row>
    <row r="300" spans="3:20" x14ac:dyDescent="0.25">
      <c r="C300" s="6"/>
      <c r="F300" s="1"/>
      <c r="G300" s="2"/>
      <c r="H300" s="2"/>
      <c r="I300" s="2"/>
      <c r="J300" s="4"/>
      <c r="K300" s="4"/>
      <c r="L300" s="4"/>
      <c r="M300" s="3"/>
      <c r="N300" s="3"/>
      <c r="R300" s="1"/>
      <c r="T300" s="1"/>
    </row>
    <row r="301" spans="3:20" x14ac:dyDescent="0.25">
      <c r="C301" s="6"/>
      <c r="F301" s="1"/>
      <c r="G301" s="2"/>
      <c r="H301" s="2"/>
      <c r="I301" s="2"/>
      <c r="J301" s="4"/>
      <c r="K301" s="4"/>
      <c r="L301" s="4"/>
      <c r="M301" s="3"/>
      <c r="N301" s="3"/>
      <c r="R301" s="1"/>
      <c r="T301" s="1"/>
    </row>
    <row r="302" spans="3:20" x14ac:dyDescent="0.25">
      <c r="C302" s="6"/>
      <c r="F302" s="1"/>
      <c r="G302" s="2"/>
      <c r="H302" s="2"/>
      <c r="I302" s="2"/>
      <c r="J302" s="4"/>
      <c r="K302" s="4"/>
      <c r="L302" s="4"/>
      <c r="M302" s="3"/>
      <c r="N302" s="3"/>
      <c r="R302" s="1"/>
      <c r="T302" s="1"/>
    </row>
    <row r="303" spans="3:20" x14ac:dyDescent="0.25">
      <c r="C303" s="6"/>
      <c r="F303" s="1"/>
      <c r="G303" s="2"/>
      <c r="H303" s="2"/>
      <c r="I303" s="2"/>
      <c r="J303" s="4"/>
      <c r="K303" s="4"/>
      <c r="L303" s="4"/>
      <c r="M303" s="3"/>
      <c r="N303" s="3"/>
      <c r="R303" s="1"/>
      <c r="T303" s="1"/>
    </row>
    <row r="304" spans="3:20" x14ac:dyDescent="0.25">
      <c r="C304" s="6"/>
      <c r="F304" s="1"/>
      <c r="G304" s="2"/>
      <c r="H304" s="2"/>
      <c r="I304" s="2"/>
      <c r="J304" s="4"/>
      <c r="K304" s="4"/>
      <c r="L304" s="4"/>
      <c r="M304" s="3"/>
      <c r="N304" s="3"/>
      <c r="R304" s="1"/>
      <c r="T304" s="1"/>
    </row>
    <row r="305" spans="3:20" x14ac:dyDescent="0.25">
      <c r="C305" s="6"/>
      <c r="F305" s="1"/>
      <c r="G305" s="2"/>
      <c r="H305" s="2"/>
      <c r="I305" s="2"/>
      <c r="J305" s="4"/>
      <c r="K305" s="4"/>
      <c r="L305" s="4"/>
      <c r="M305" s="3"/>
      <c r="N305" s="3"/>
      <c r="R305" s="1"/>
      <c r="T305" s="1"/>
    </row>
    <row r="306" spans="3:20" x14ac:dyDescent="0.25">
      <c r="C306" s="6"/>
      <c r="F306" s="1"/>
      <c r="G306" s="2"/>
      <c r="H306" s="2"/>
      <c r="I306" s="2"/>
      <c r="J306" s="4"/>
      <c r="K306" s="4"/>
      <c r="L306" s="4"/>
      <c r="M306" s="3"/>
      <c r="N306" s="3"/>
      <c r="R306" s="1"/>
      <c r="T306" s="1"/>
    </row>
    <row r="307" spans="3:20" x14ac:dyDescent="0.25">
      <c r="C307" s="6"/>
      <c r="F307" s="1"/>
      <c r="G307" s="2"/>
      <c r="H307" s="2"/>
      <c r="I307" s="2"/>
      <c r="J307" s="4"/>
      <c r="K307" s="4"/>
      <c r="L307" s="4"/>
      <c r="M307" s="3"/>
      <c r="N307" s="3"/>
      <c r="R307" s="1"/>
      <c r="T307" s="1"/>
    </row>
    <row r="308" spans="3:20" x14ac:dyDescent="0.25">
      <c r="C308" s="6"/>
      <c r="F308" s="1"/>
      <c r="G308" s="2"/>
      <c r="H308" s="2"/>
      <c r="I308" s="2"/>
      <c r="J308" s="4"/>
      <c r="K308" s="4"/>
      <c r="L308" s="4"/>
      <c r="M308" s="3"/>
      <c r="N308" s="3"/>
      <c r="R308" s="1"/>
      <c r="T308" s="1"/>
    </row>
    <row r="309" spans="3:20" x14ac:dyDescent="0.25">
      <c r="C309" s="6"/>
      <c r="F309" s="1"/>
      <c r="G309" s="2"/>
      <c r="H309" s="2"/>
      <c r="I309" s="2"/>
      <c r="J309" s="4"/>
      <c r="K309" s="4"/>
      <c r="L309" s="4"/>
      <c r="M309" s="3"/>
      <c r="N309" s="3"/>
      <c r="R309" s="1"/>
      <c r="T309" s="1"/>
    </row>
    <row r="310" spans="3:20" x14ac:dyDescent="0.25">
      <c r="C310" s="6"/>
      <c r="F310" s="1"/>
      <c r="G310" s="2"/>
      <c r="H310" s="2"/>
      <c r="I310" s="2"/>
      <c r="J310" s="4"/>
      <c r="K310" s="4"/>
      <c r="L310" s="4"/>
      <c r="M310" s="3"/>
      <c r="N310" s="3"/>
      <c r="R310" s="1"/>
      <c r="T310" s="1"/>
    </row>
    <row r="311" spans="3:20" x14ac:dyDescent="0.25">
      <c r="C311" s="6"/>
      <c r="F311" s="1"/>
      <c r="G311" s="2"/>
      <c r="H311" s="2"/>
      <c r="I311" s="2"/>
      <c r="J311" s="4"/>
      <c r="K311" s="4"/>
      <c r="L311" s="4"/>
      <c r="M311" s="3"/>
      <c r="N311" s="3"/>
      <c r="R311" s="1"/>
      <c r="T311" s="1"/>
    </row>
    <row r="312" spans="3:20" x14ac:dyDescent="0.25">
      <c r="C312" s="6"/>
      <c r="F312" s="1"/>
      <c r="G312" s="2"/>
      <c r="H312" s="2"/>
      <c r="I312" s="2"/>
      <c r="J312" s="4"/>
      <c r="K312" s="4"/>
      <c r="L312" s="4"/>
      <c r="M312" s="3"/>
      <c r="N312" s="3"/>
      <c r="R312" s="1"/>
      <c r="T312" s="1"/>
    </row>
    <row r="313" spans="3:20" x14ac:dyDescent="0.25">
      <c r="C313" s="6"/>
      <c r="F313" s="1"/>
      <c r="G313" s="2"/>
      <c r="H313" s="2"/>
      <c r="I313" s="2"/>
      <c r="J313" s="4"/>
      <c r="K313" s="4"/>
      <c r="L313" s="4"/>
      <c r="M313" s="3"/>
      <c r="N313" s="3"/>
      <c r="R313" s="1"/>
      <c r="T313" s="1"/>
    </row>
    <row r="314" spans="3:20" x14ac:dyDescent="0.25">
      <c r="C314" s="6"/>
      <c r="F314" s="1"/>
      <c r="G314" s="2"/>
      <c r="H314" s="2"/>
      <c r="I314" s="2"/>
      <c r="J314" s="4"/>
      <c r="K314" s="4"/>
      <c r="L314" s="4"/>
      <c r="M314" s="3"/>
      <c r="N314" s="3"/>
      <c r="R314" s="1"/>
      <c r="T314" s="1"/>
    </row>
    <row r="315" spans="3:20" x14ac:dyDescent="0.25">
      <c r="C315" s="6"/>
      <c r="F315" s="1"/>
      <c r="G315" s="2"/>
      <c r="H315" s="2"/>
      <c r="I315" s="2"/>
      <c r="J315" s="4"/>
      <c r="K315" s="4"/>
      <c r="L315" s="4"/>
      <c r="M315" s="3"/>
      <c r="N315" s="3"/>
      <c r="R315" s="1"/>
      <c r="T315" s="1"/>
    </row>
    <row r="316" spans="3:20" x14ac:dyDescent="0.25">
      <c r="C316" s="6"/>
      <c r="F316" s="1"/>
      <c r="G316" s="2"/>
      <c r="H316" s="2"/>
      <c r="I316" s="2"/>
      <c r="J316" s="4"/>
      <c r="K316" s="4"/>
      <c r="L316" s="4"/>
      <c r="M316" s="3"/>
      <c r="N316" s="3"/>
      <c r="R316" s="1"/>
      <c r="T316" s="1"/>
    </row>
    <row r="317" spans="3:20" x14ac:dyDescent="0.25">
      <c r="C317" s="6"/>
      <c r="F317" s="1"/>
      <c r="G317" s="2"/>
      <c r="H317" s="2"/>
      <c r="I317" s="2"/>
      <c r="J317" s="4"/>
      <c r="K317" s="4"/>
      <c r="L317" s="4"/>
      <c r="M317" s="3"/>
      <c r="N317" s="3"/>
      <c r="R317" s="1"/>
      <c r="T317" s="1"/>
    </row>
    <row r="318" spans="3:20" x14ac:dyDescent="0.25">
      <c r="C318" s="6"/>
      <c r="F318" s="1"/>
      <c r="G318" s="2"/>
      <c r="H318" s="2"/>
      <c r="I318" s="2"/>
      <c r="J318" s="4"/>
      <c r="K318" s="4"/>
      <c r="L318" s="4"/>
      <c r="M318" s="3"/>
      <c r="N318" s="3"/>
      <c r="R318" s="1"/>
      <c r="T318" s="1"/>
    </row>
    <row r="319" spans="3:20" x14ac:dyDescent="0.25">
      <c r="C319" s="6"/>
      <c r="F319" s="1"/>
      <c r="G319" s="2"/>
      <c r="H319" s="2"/>
      <c r="I319" s="2"/>
      <c r="J319" s="4"/>
      <c r="K319" s="4"/>
      <c r="L319" s="4"/>
      <c r="M319" s="3"/>
      <c r="N319" s="3"/>
      <c r="R319" s="1"/>
      <c r="T319" s="1"/>
    </row>
    <row r="320" spans="3:20" x14ac:dyDescent="0.25">
      <c r="C320" s="6"/>
      <c r="F320" s="1"/>
      <c r="G320" s="2"/>
      <c r="H320" s="2"/>
      <c r="I320" s="2"/>
      <c r="J320" s="4"/>
      <c r="K320" s="4"/>
      <c r="L320" s="4"/>
      <c r="M320" s="3"/>
      <c r="N320" s="3"/>
      <c r="R320" s="1"/>
      <c r="T320" s="1"/>
    </row>
    <row r="321" spans="3:20" x14ac:dyDescent="0.25">
      <c r="C321" s="6"/>
      <c r="F321" s="1"/>
      <c r="G321" s="2"/>
      <c r="H321" s="2"/>
      <c r="I321" s="2"/>
      <c r="J321" s="4"/>
      <c r="K321" s="4"/>
      <c r="L321" s="4"/>
      <c r="M321" s="3"/>
      <c r="N321" s="3"/>
      <c r="R321" s="1"/>
      <c r="T321" s="1"/>
    </row>
    <row r="322" spans="3:20" x14ac:dyDescent="0.25">
      <c r="C322" s="6"/>
      <c r="F322" s="1"/>
      <c r="G322" s="2"/>
      <c r="H322" s="2"/>
      <c r="I322" s="2"/>
      <c r="J322" s="4"/>
      <c r="K322" s="4"/>
      <c r="L322" s="4"/>
      <c r="M322" s="3"/>
      <c r="N322" s="3"/>
      <c r="R322" s="1"/>
      <c r="T322" s="1"/>
    </row>
    <row r="323" spans="3:20" x14ac:dyDescent="0.25">
      <c r="C323" s="6"/>
      <c r="F323" s="1"/>
      <c r="G323" s="2"/>
      <c r="H323" s="2"/>
      <c r="I323" s="2"/>
      <c r="J323" s="4"/>
      <c r="K323" s="4"/>
      <c r="L323" s="4"/>
      <c r="M323" s="3"/>
      <c r="N323" s="3"/>
      <c r="R323" s="1"/>
      <c r="T323" s="1"/>
    </row>
    <row r="324" spans="3:20" x14ac:dyDescent="0.25">
      <c r="C324" s="6"/>
      <c r="F324" s="1"/>
      <c r="G324" s="2"/>
      <c r="H324" s="2"/>
      <c r="I324" s="2"/>
      <c r="J324" s="4"/>
      <c r="K324" s="4"/>
      <c r="L324" s="4"/>
      <c r="M324" s="3"/>
      <c r="N324" s="3"/>
      <c r="R324" s="1"/>
      <c r="T324" s="1"/>
    </row>
    <row r="325" spans="3:20" x14ac:dyDescent="0.25">
      <c r="C325" s="6"/>
      <c r="F325" s="1"/>
      <c r="G325" s="2"/>
      <c r="H325" s="2"/>
      <c r="I325" s="2"/>
      <c r="J325" s="4"/>
      <c r="K325" s="4"/>
      <c r="L325" s="4"/>
      <c r="M325" s="3"/>
      <c r="N325" s="3"/>
      <c r="R325" s="1"/>
      <c r="T325" s="1"/>
    </row>
    <row r="326" spans="3:20" x14ac:dyDescent="0.25">
      <c r="C326" s="6"/>
      <c r="F326" s="1"/>
      <c r="G326" s="2"/>
      <c r="H326" s="2"/>
      <c r="I326" s="2"/>
      <c r="J326" s="4"/>
      <c r="K326" s="4"/>
      <c r="L326" s="4"/>
      <c r="M326" s="3"/>
      <c r="N326" s="3"/>
      <c r="R326" s="1"/>
      <c r="T326" s="1"/>
    </row>
    <row r="327" spans="3:20" x14ac:dyDescent="0.25">
      <c r="C327" s="6"/>
      <c r="F327" s="1"/>
      <c r="G327" s="2"/>
      <c r="H327" s="2"/>
      <c r="I327" s="2"/>
      <c r="J327" s="4"/>
      <c r="K327" s="4"/>
      <c r="L327" s="4"/>
      <c r="M327" s="3"/>
      <c r="N327" s="3"/>
      <c r="R327" s="1"/>
      <c r="T327" s="1"/>
    </row>
    <row r="328" spans="3:20" x14ac:dyDescent="0.25">
      <c r="C328" s="6"/>
      <c r="F328" s="1"/>
      <c r="G328" s="2"/>
      <c r="H328" s="2"/>
      <c r="I328" s="2"/>
      <c r="J328" s="4"/>
      <c r="K328" s="4"/>
      <c r="L328" s="4"/>
      <c r="M328" s="3"/>
      <c r="N328" s="3"/>
      <c r="R328" s="1"/>
      <c r="T328" s="1"/>
    </row>
    <row r="329" spans="3:20" x14ac:dyDescent="0.25">
      <c r="C329" s="6"/>
      <c r="F329" s="1"/>
      <c r="G329" s="2"/>
      <c r="H329" s="2"/>
      <c r="I329" s="2"/>
      <c r="J329" s="4"/>
      <c r="K329" s="4"/>
      <c r="L329" s="4"/>
      <c r="M329" s="3"/>
      <c r="N329" s="3"/>
      <c r="R329" s="1"/>
      <c r="T329" s="1"/>
    </row>
    <row r="330" spans="3:20" x14ac:dyDescent="0.25">
      <c r="C330" s="6"/>
      <c r="F330" s="1"/>
      <c r="G330" s="2"/>
      <c r="H330" s="2"/>
      <c r="I330" s="2"/>
      <c r="J330" s="4"/>
      <c r="K330" s="4"/>
      <c r="L330" s="4"/>
      <c r="M330" s="3"/>
      <c r="N330" s="3"/>
      <c r="R330" s="1"/>
      <c r="T330" s="1"/>
    </row>
    <row r="331" spans="3:20" x14ac:dyDescent="0.25">
      <c r="C331" s="6"/>
      <c r="F331" s="1"/>
      <c r="G331" s="2"/>
      <c r="H331" s="2"/>
      <c r="I331" s="2"/>
      <c r="J331" s="4"/>
      <c r="K331" s="4"/>
      <c r="L331" s="4"/>
      <c r="M331" s="3"/>
      <c r="N331" s="3"/>
      <c r="R331" s="1"/>
      <c r="T331" s="1"/>
    </row>
    <row r="332" spans="3:20" x14ac:dyDescent="0.25">
      <c r="C332" s="6"/>
      <c r="F332" s="1"/>
      <c r="G332" s="2"/>
      <c r="H332" s="2"/>
      <c r="I332" s="2"/>
      <c r="J332" s="4"/>
      <c r="K332" s="4"/>
      <c r="L332" s="4"/>
      <c r="M332" s="3"/>
      <c r="N332" s="3"/>
      <c r="R332" s="1"/>
      <c r="T332" s="1"/>
    </row>
    <row r="333" spans="3:20" x14ac:dyDescent="0.25">
      <c r="C333" s="6"/>
      <c r="F333" s="1"/>
      <c r="G333" s="2"/>
      <c r="H333" s="2"/>
      <c r="I333" s="2"/>
      <c r="J333" s="4"/>
      <c r="K333" s="4"/>
      <c r="L333" s="4"/>
      <c r="M333" s="3"/>
      <c r="N333" s="3"/>
      <c r="R333" s="1"/>
      <c r="T333" s="1"/>
    </row>
    <row r="334" spans="3:20" x14ac:dyDescent="0.25">
      <c r="C334" s="6"/>
      <c r="F334" s="1"/>
      <c r="G334" s="2"/>
      <c r="H334" s="2"/>
      <c r="I334" s="2"/>
      <c r="J334" s="4"/>
      <c r="K334" s="4"/>
      <c r="L334" s="4"/>
      <c r="M334" s="3"/>
      <c r="N334" s="3"/>
      <c r="R334" s="1"/>
      <c r="T334" s="1"/>
    </row>
    <row r="335" spans="3:20" x14ac:dyDescent="0.25">
      <c r="C335" s="6"/>
      <c r="F335" s="1"/>
      <c r="G335" s="2"/>
      <c r="H335" s="2"/>
      <c r="I335" s="2"/>
      <c r="J335" s="4"/>
      <c r="K335" s="4"/>
      <c r="L335" s="4"/>
      <c r="M335" s="3"/>
      <c r="N335" s="3"/>
      <c r="R335" s="1"/>
      <c r="T335" s="1"/>
    </row>
    <row r="336" spans="3:20" x14ac:dyDescent="0.25">
      <c r="C336" s="6"/>
      <c r="F336" s="1"/>
      <c r="G336" s="2"/>
      <c r="H336" s="2"/>
      <c r="I336" s="2"/>
      <c r="J336" s="4"/>
      <c r="K336" s="4"/>
      <c r="L336" s="4"/>
      <c r="M336" s="3"/>
      <c r="N336" s="3"/>
      <c r="R336" s="1"/>
      <c r="T336" s="1"/>
    </row>
    <row r="337" spans="3:20" x14ac:dyDescent="0.25">
      <c r="C337" s="6"/>
      <c r="F337" s="1"/>
      <c r="G337" s="2"/>
      <c r="H337" s="2"/>
      <c r="I337" s="2"/>
      <c r="J337" s="4"/>
      <c r="K337" s="4"/>
      <c r="L337" s="4"/>
      <c r="M337" s="3"/>
      <c r="N337" s="3"/>
      <c r="R337" s="1"/>
      <c r="T337" s="1"/>
    </row>
    <row r="338" spans="3:20" x14ac:dyDescent="0.25">
      <c r="C338" s="6"/>
      <c r="F338" s="1"/>
      <c r="G338" s="2"/>
      <c r="H338" s="2"/>
      <c r="I338" s="2"/>
      <c r="J338" s="4"/>
      <c r="K338" s="4"/>
      <c r="L338" s="4"/>
      <c r="M338" s="3"/>
      <c r="N338" s="3"/>
      <c r="R338" s="1"/>
      <c r="T338" s="1"/>
    </row>
    <row r="339" spans="3:20" x14ac:dyDescent="0.25">
      <c r="C339" s="6"/>
      <c r="F339" s="1"/>
      <c r="G339" s="2"/>
      <c r="H339" s="2"/>
      <c r="I339" s="2"/>
      <c r="J339" s="4"/>
      <c r="K339" s="4"/>
      <c r="L339" s="4"/>
      <c r="M339" s="3"/>
      <c r="N339" s="3"/>
      <c r="R339" s="1"/>
      <c r="T339" s="1"/>
    </row>
    <row r="340" spans="3:20" x14ac:dyDescent="0.25">
      <c r="C340" s="6"/>
      <c r="F340" s="1"/>
      <c r="G340" s="2"/>
      <c r="H340" s="2"/>
      <c r="I340" s="2"/>
      <c r="J340" s="4"/>
      <c r="K340" s="4"/>
      <c r="L340" s="4"/>
      <c r="M340" s="3"/>
      <c r="N340" s="3"/>
      <c r="R340" s="1"/>
      <c r="T340" s="1"/>
    </row>
    <row r="341" spans="3:20" x14ac:dyDescent="0.25">
      <c r="C341" s="6"/>
      <c r="F341" s="1"/>
      <c r="G341" s="2"/>
      <c r="H341" s="2"/>
      <c r="I341" s="2"/>
      <c r="J341" s="4"/>
      <c r="K341" s="4"/>
      <c r="L341" s="4"/>
      <c r="M341" s="3"/>
      <c r="N341" s="3"/>
      <c r="R341" s="1"/>
      <c r="T341" s="1"/>
    </row>
    <row r="342" spans="3:20" x14ac:dyDescent="0.25">
      <c r="C342" s="6"/>
      <c r="F342" s="1"/>
      <c r="G342" s="2"/>
      <c r="H342" s="2"/>
      <c r="I342" s="2"/>
      <c r="J342" s="4"/>
      <c r="K342" s="4"/>
      <c r="L342" s="4"/>
      <c r="M342" s="3"/>
      <c r="N342" s="3"/>
      <c r="R342" s="1"/>
      <c r="T342" s="1"/>
    </row>
    <row r="343" spans="3:20" x14ac:dyDescent="0.25">
      <c r="C343" s="6"/>
      <c r="F343" s="1"/>
      <c r="G343" s="2"/>
      <c r="H343" s="2"/>
      <c r="I343" s="2"/>
      <c r="J343" s="4"/>
      <c r="K343" s="4"/>
      <c r="L343" s="4"/>
      <c r="M343" s="3"/>
      <c r="N343" s="3"/>
      <c r="R343" s="1"/>
      <c r="T343" s="1"/>
    </row>
    <row r="344" spans="3:20" x14ac:dyDescent="0.25">
      <c r="C344" s="6"/>
      <c r="F344" s="1"/>
      <c r="G344" s="2"/>
      <c r="H344" s="2"/>
      <c r="I344" s="2"/>
      <c r="J344" s="4"/>
      <c r="K344" s="4"/>
      <c r="L344" s="4"/>
      <c r="M344" s="3"/>
      <c r="N344" s="3"/>
      <c r="R344" s="1"/>
      <c r="T344" s="1"/>
    </row>
    <row r="345" spans="3:20" x14ac:dyDescent="0.25">
      <c r="C345" s="6"/>
      <c r="F345" s="1"/>
      <c r="G345" s="2"/>
      <c r="H345" s="2"/>
      <c r="I345" s="2"/>
      <c r="J345" s="4"/>
      <c r="K345" s="4"/>
      <c r="L345" s="4"/>
      <c r="M345" s="3"/>
      <c r="N345" s="3"/>
      <c r="R345" s="1"/>
      <c r="T345" s="1"/>
    </row>
    <row r="346" spans="3:20" x14ac:dyDescent="0.25">
      <c r="C346" s="6"/>
      <c r="F346" s="1"/>
      <c r="G346" s="2"/>
      <c r="H346" s="2"/>
      <c r="I346" s="2"/>
      <c r="J346" s="4"/>
      <c r="K346" s="4"/>
      <c r="L346" s="4"/>
      <c r="M346" s="3"/>
      <c r="N346" s="3"/>
      <c r="R346" s="1"/>
      <c r="T346" s="1"/>
    </row>
    <row r="347" spans="3:20" x14ac:dyDescent="0.25">
      <c r="C347" s="6"/>
      <c r="F347" s="1"/>
      <c r="G347" s="2"/>
      <c r="H347" s="2"/>
      <c r="I347" s="2"/>
      <c r="J347" s="4"/>
      <c r="K347" s="4"/>
      <c r="L347" s="4"/>
      <c r="M347" s="3"/>
      <c r="N347" s="3"/>
      <c r="R347" s="1"/>
      <c r="T347" s="1"/>
    </row>
    <row r="348" spans="3:20" x14ac:dyDescent="0.25">
      <c r="C348" s="6"/>
      <c r="F348" s="1"/>
      <c r="G348" s="2"/>
      <c r="H348" s="2"/>
      <c r="I348" s="2"/>
      <c r="J348" s="4"/>
      <c r="K348" s="4"/>
      <c r="L348" s="4"/>
      <c r="M348" s="3"/>
      <c r="N348" s="3"/>
      <c r="R348" s="1"/>
      <c r="T348" s="1"/>
    </row>
    <row r="349" spans="3:20" x14ac:dyDescent="0.25">
      <c r="C349" s="6"/>
      <c r="F349" s="1"/>
      <c r="G349" s="2"/>
      <c r="H349" s="2"/>
      <c r="I349" s="2"/>
      <c r="J349" s="4"/>
      <c r="K349" s="4"/>
      <c r="L349" s="4"/>
      <c r="M349" s="3"/>
      <c r="N349" s="3"/>
      <c r="R349" s="1"/>
      <c r="T349" s="1"/>
    </row>
    <row r="350" spans="3:20" x14ac:dyDescent="0.25">
      <c r="C350" s="6"/>
      <c r="F350" s="1"/>
      <c r="G350" s="2"/>
      <c r="H350" s="2"/>
      <c r="I350" s="2"/>
      <c r="J350" s="4"/>
      <c r="K350" s="4"/>
      <c r="L350" s="4"/>
      <c r="M350" s="3"/>
      <c r="N350" s="3"/>
      <c r="R350" s="1"/>
      <c r="T350" s="1"/>
    </row>
    <row r="351" spans="3:20" x14ac:dyDescent="0.25">
      <c r="C351" s="6"/>
      <c r="F351" s="1"/>
      <c r="G351" s="2"/>
      <c r="H351" s="2"/>
      <c r="I351" s="2"/>
      <c r="J351" s="4"/>
      <c r="K351" s="4"/>
      <c r="L351" s="4"/>
      <c r="M351" s="3"/>
      <c r="N351" s="3"/>
      <c r="R351" s="1"/>
      <c r="T351" s="1"/>
    </row>
    <row r="352" spans="3:20" x14ac:dyDescent="0.25">
      <c r="C352" s="6"/>
      <c r="F352" s="1"/>
      <c r="G352" s="2"/>
      <c r="H352" s="2"/>
      <c r="I352" s="2"/>
      <c r="J352" s="4"/>
      <c r="K352" s="4"/>
      <c r="L352" s="4"/>
      <c r="M352" s="3"/>
      <c r="N352" s="3"/>
      <c r="R352" s="1"/>
      <c r="T352" s="1"/>
    </row>
    <row r="353" spans="3:20" x14ac:dyDescent="0.25">
      <c r="C353" s="6"/>
      <c r="F353" s="1"/>
      <c r="G353" s="2"/>
      <c r="H353" s="2"/>
      <c r="I353" s="2"/>
      <c r="J353" s="4"/>
      <c r="K353" s="4"/>
      <c r="L353" s="4"/>
      <c r="M353" s="3"/>
      <c r="N353" s="3"/>
      <c r="R353" s="1"/>
      <c r="T353" s="1"/>
    </row>
    <row r="354" spans="3:20" x14ac:dyDescent="0.25">
      <c r="C354" s="6"/>
      <c r="F354" s="1"/>
      <c r="G354" s="2"/>
      <c r="H354" s="2"/>
      <c r="I354" s="2"/>
      <c r="J354" s="4"/>
      <c r="K354" s="4"/>
      <c r="L354" s="4"/>
      <c r="M354" s="3"/>
      <c r="N354" s="3"/>
      <c r="R354" s="1"/>
      <c r="T354" s="1"/>
    </row>
    <row r="355" spans="3:20" x14ac:dyDescent="0.25">
      <c r="C355" s="6"/>
      <c r="F355" s="1"/>
      <c r="G355" s="2"/>
      <c r="H355" s="2"/>
      <c r="I355" s="2"/>
      <c r="J355" s="4"/>
      <c r="K355" s="4"/>
      <c r="L355" s="4"/>
      <c r="M355" s="3"/>
      <c r="N355" s="3"/>
      <c r="R355" s="1"/>
      <c r="T355" s="1"/>
    </row>
    <row r="356" spans="3:20" x14ac:dyDescent="0.25">
      <c r="C356" s="6"/>
      <c r="F356" s="1"/>
      <c r="G356" s="2"/>
      <c r="H356" s="2"/>
      <c r="I356" s="2"/>
      <c r="J356" s="4"/>
      <c r="K356" s="4"/>
      <c r="L356" s="4"/>
      <c r="M356" s="3"/>
      <c r="N356" s="3"/>
      <c r="R356" s="1"/>
      <c r="T356" s="1"/>
    </row>
  </sheetData>
  <mergeCells count="3">
    <mergeCell ref="A6:C6"/>
    <mergeCell ref="D6:G6"/>
    <mergeCell ref="A8:C8"/>
  </mergeCells>
  <conditionalFormatting sqref="M16">
    <cfRule type="expression" dxfId="810" priority="796" stopIfTrue="1">
      <formula>$A16="Pipe"</formula>
    </cfRule>
  </conditionalFormatting>
  <conditionalFormatting sqref="M135 O134:O139 A134:A139 U134:U139 J134:J139 M137:M139 S134:S139 Q134:Q139 Q147:Q149 S147:S149 M147 J147:J149 U147:U149 A147:A149 O147:O149 M149 M160 O160 A160 U160 J160 S160 Q160 Q162 S162 J162 U162 A162 O162 M162 M164:M167 O164:O167 A164:A167 U164:U167 J164:J167 S164:S167 Q164:Q167 Q141 S141 M141 J141 U141 A141 O141 Q177:Q356 S177:S356 J177:J356 U177:U356 A177:A356 O177:O356 M177:M356 J115:J129 U115:U129 A115:A129 O115:O129 S115:S129 Q115:Q129 M115:M129">
    <cfRule type="expression" dxfId="809" priority="793">
      <formula>OR($A115="Pipe",$A115="Component",$A115="Volume")</formula>
    </cfRule>
  </conditionalFormatting>
  <conditionalFormatting sqref="N135 V134:V139 P134:P139 L134:L139 I134:I139 E134:E139 N137:N139 R134:R139 T134:T139 T147:T149 R147:R149 N147 E147:E149 I147 L147:L149 P147:P149 V147:V149 N149 I149 I160 N160 V160 P160 L160 E160 R160 T160 T162 R162 E162 L162 P162 V162 N162 I162 I164:I167 N164:N167 V164:V167 P164:P167 L164:L167 E164:E167 R164:R167 T164:T167 T141 R141 N141 E141 I141 L141 P141 V141 T177:T356 R177:R356 E177:E356 L177:L356 P177:P356 V177:V356 N177:N356 I177:I356 E115:E129 I115:I129 L115:L129 P115:P129 V115:V129 R115:R129 T115:T129 N115:N129">
    <cfRule type="expression" dxfId="808" priority="794">
      <formula>OR($A115="Pipe",$A115="Component",$A115="Volume")</formula>
    </cfRule>
  </conditionalFormatting>
  <conditionalFormatting sqref="B134:D139 K134:K139 G135:H139 H134 G147:H147 K147:K149 B147:D149 G149:H149 G160:H160 B160:D160 K160 K162 B162:D162 G162:H162 G164:H167 B164:D167 K164:K167 G141:H141 K141 B141:D141 K177:K356 B177:D356 G177:H356 G115:H129 K115:K129 B115:D129">
    <cfRule type="expression" dxfId="807" priority="792">
      <formula>OR($A115="Pipe",$A115="Component",$A115="Volume")</formula>
    </cfRule>
  </conditionalFormatting>
  <conditionalFormatting sqref="A135:P135 U134:V139 A134:F134 H134:L134 O134:P134 A137:P139 A136:L136 O136:P136 A147:P147 U147:V149 A149:P149 A148:F148 O148:P148 J148:L148 A160:P160 U160:V160 U162:V162 A162:P162 A164:P167 U164:V167 A141:P141 U141:V141 U177:V356 A177:P356 U115:V129 A115:P129">
    <cfRule type="expression" dxfId="806" priority="791">
      <formula>$A115="Pipe"</formula>
    </cfRule>
  </conditionalFormatting>
  <conditionalFormatting sqref="Q134:T139 Q147:T149 Q160:T160 Q162:T162 Q164:T167 Q141:T141 Q177:T356 Q115:T129">
    <cfRule type="expression" dxfId="805" priority="790">
      <formula>OR($A115="Volume",$A115="Pipe")</formula>
    </cfRule>
  </conditionalFormatting>
  <conditionalFormatting sqref="A135:V135 A134:F134 H134:L134 O134:V134 A137:V139 A136:L136 O136:V136 A147:V147 A149:V149 A148:F148 O148:V148 J148:L148 A160:V160 A162:V162 A164:V167 A141:V141 A177:V356 A115:V129">
    <cfRule type="expression" dxfId="804" priority="789">
      <formula>$A115="Component"</formula>
    </cfRule>
  </conditionalFormatting>
  <conditionalFormatting sqref="A135:P135 U134:V139 A134:F134 H134:L134 O134:P134 A137:P139 A136:L136 O136:P136 A147:P147 U147:V149 A149:P149 A148:F148 O148:P148 J148:L148 A160:P160 U160:V160 U162:V162 A162:P162 A164:P167 U164:V167 A141:P141 U141:V141 U177:V356 A177:P356 U115:V129 A115:P129">
    <cfRule type="expression" dxfId="803" priority="788">
      <formula>$A115="Volume"</formula>
    </cfRule>
  </conditionalFormatting>
  <conditionalFormatting sqref="J134:L139 J147:L149 J160:L160 J162:L162 J164:L167 J141:L141 J177:L356 J115:L129">
    <cfRule type="cellIs" dxfId="802" priority="786" operator="notEqual">
      <formula>0</formula>
    </cfRule>
  </conditionalFormatting>
  <conditionalFormatting sqref="F134:F139 F147:F149 F160 F162 F164:F167 F141 F177:F356 F115:F129">
    <cfRule type="expression" dxfId="801" priority="795">
      <formula>OR($A115="Pipe",$A115="Component",$A115="Volume")</formula>
    </cfRule>
  </conditionalFormatting>
  <conditionalFormatting sqref="Q131 S131 O131 A131 U131 J131">
    <cfRule type="expression" dxfId="800" priority="780">
      <formula>OR($A131="Pipe",$A131="Component",$A131="Volume")</formula>
    </cfRule>
  </conditionalFormatting>
  <conditionalFormatting sqref="T131 R131 V131 P131 L131 I131 E131">
    <cfRule type="expression" dxfId="799" priority="781">
      <formula>OR($A131="Pipe",$A131="Component",$A131="Volume")</formula>
    </cfRule>
  </conditionalFormatting>
  <conditionalFormatting sqref="B131:D131 K131 G131:H131">
    <cfRule type="expression" dxfId="798" priority="779">
      <formula>OR($A131="Pipe",$A131="Component",$A131="Volume")</formula>
    </cfRule>
  </conditionalFormatting>
  <conditionalFormatting sqref="A131:L131 U131:V131 O131:P131">
    <cfRule type="expression" dxfId="797" priority="778">
      <formula>$A131="Pipe"</formula>
    </cfRule>
  </conditionalFormatting>
  <conditionalFormatting sqref="Q131:T131">
    <cfRule type="expression" dxfId="796" priority="777">
      <formula>OR($A131="Volume",$A131="Pipe")</formula>
    </cfRule>
  </conditionalFormatting>
  <conditionalFormatting sqref="A131:L131 O131:V131">
    <cfRule type="expression" dxfId="795" priority="776">
      <formula>$A131="Component"</formula>
    </cfRule>
  </conditionalFormatting>
  <conditionalFormatting sqref="A131:L131 U131:V131 O131:P131">
    <cfRule type="expression" dxfId="794" priority="775">
      <formula>$A131="Volume"</formula>
    </cfRule>
  </conditionalFormatting>
  <conditionalFormatting sqref="J131:L131">
    <cfRule type="cellIs" dxfId="793" priority="774" operator="notEqual">
      <formula>0</formula>
    </cfRule>
  </conditionalFormatting>
  <conditionalFormatting sqref="F131">
    <cfRule type="expression" dxfId="792" priority="782">
      <formula>OR($A131="Pipe",$A131="Component",$A131="Volume")</formula>
    </cfRule>
  </conditionalFormatting>
  <conditionalFormatting sqref="G134">
    <cfRule type="expression" dxfId="791" priority="773">
      <formula>OR($A134="Pipe",$A134="Component",$A134="Volume")</formula>
    </cfRule>
  </conditionalFormatting>
  <conditionalFormatting sqref="G134">
    <cfRule type="expression" dxfId="790" priority="772">
      <formula>$A134="Pipe"</formula>
    </cfRule>
  </conditionalFormatting>
  <conditionalFormatting sqref="G134">
    <cfRule type="expression" dxfId="789" priority="771">
      <formula>$A134="Component"</formula>
    </cfRule>
  </conditionalFormatting>
  <conditionalFormatting sqref="G134">
    <cfRule type="expression" dxfId="788" priority="770">
      <formula>$A134="Volume"</formula>
    </cfRule>
  </conditionalFormatting>
  <conditionalFormatting sqref="Q132 S132 O132 A132 U132 J132">
    <cfRule type="expression" dxfId="787" priority="767">
      <formula>OR($A132="Pipe",$A132="Component",$A132="Volume")</formula>
    </cfRule>
  </conditionalFormatting>
  <conditionalFormatting sqref="T132 R132 V132 P132 L132 I132 E132">
    <cfRule type="expression" dxfId="786" priority="768">
      <formula>OR($A132="Pipe",$A132="Component",$A132="Volume")</formula>
    </cfRule>
  </conditionalFormatting>
  <conditionalFormatting sqref="B132:D132 K132 H132">
    <cfRule type="expression" dxfId="785" priority="766">
      <formula>OR($A132="Pipe",$A132="Component",$A132="Volume")</formula>
    </cfRule>
  </conditionalFormatting>
  <conditionalFormatting sqref="U132:V132 A132:F132 H132:L132 O132:P132">
    <cfRule type="expression" dxfId="784" priority="765">
      <formula>$A132="Pipe"</formula>
    </cfRule>
  </conditionalFormatting>
  <conditionalFormatting sqref="Q132:T132">
    <cfRule type="expression" dxfId="783" priority="764">
      <formula>OR($A132="Volume",$A132="Pipe")</formula>
    </cfRule>
  </conditionalFormatting>
  <conditionalFormatting sqref="A132:F132 H132:L132 O132:V132">
    <cfRule type="expression" dxfId="782" priority="763">
      <formula>$A132="Component"</formula>
    </cfRule>
  </conditionalFormatting>
  <conditionalFormatting sqref="U132:V132 A132:F132 H132:L132 O132:P132">
    <cfRule type="expression" dxfId="781" priority="762">
      <formula>$A132="Volume"</formula>
    </cfRule>
  </conditionalFormatting>
  <conditionalFormatting sqref="J132:L132">
    <cfRule type="cellIs" dxfId="780" priority="761" operator="notEqual">
      <formula>0</formula>
    </cfRule>
  </conditionalFormatting>
  <conditionalFormatting sqref="F132">
    <cfRule type="expression" dxfId="779" priority="769">
      <formula>OR($A132="Pipe",$A132="Component",$A132="Volume")</formula>
    </cfRule>
  </conditionalFormatting>
  <conditionalFormatting sqref="G132">
    <cfRule type="expression" dxfId="778" priority="760">
      <formula>OR($A132="Pipe",$A132="Component",$A132="Volume")</formula>
    </cfRule>
  </conditionalFormatting>
  <conditionalFormatting sqref="G132">
    <cfRule type="expression" dxfId="777" priority="759">
      <formula>$A132="Pipe"</formula>
    </cfRule>
  </conditionalFormatting>
  <conditionalFormatting sqref="G132">
    <cfRule type="expression" dxfId="776" priority="758">
      <formula>$A132="Component"</formula>
    </cfRule>
  </conditionalFormatting>
  <conditionalFormatting sqref="G132">
    <cfRule type="expression" dxfId="775" priority="757">
      <formula>$A132="Volume"</formula>
    </cfRule>
  </conditionalFormatting>
  <conditionalFormatting sqref="Q133 S133 O133 A133 U133 J133">
    <cfRule type="expression" dxfId="774" priority="754">
      <formula>OR($A133="Pipe",$A133="Component",$A133="Volume")</formula>
    </cfRule>
  </conditionalFormatting>
  <conditionalFormatting sqref="T133 R133 V133 P133 L133 I133 E133">
    <cfRule type="expression" dxfId="773" priority="755">
      <formula>OR($A133="Pipe",$A133="Component",$A133="Volume")</formula>
    </cfRule>
  </conditionalFormatting>
  <conditionalFormatting sqref="B133:D133 K133 H133">
    <cfRule type="expression" dxfId="772" priority="753">
      <formula>OR($A133="Pipe",$A133="Component",$A133="Volume")</formula>
    </cfRule>
  </conditionalFormatting>
  <conditionalFormatting sqref="U133:V133 A133:F133 H133:L133 O133:P133">
    <cfRule type="expression" dxfId="771" priority="752">
      <formula>$A133="Pipe"</formula>
    </cfRule>
  </conditionalFormatting>
  <conditionalFormatting sqref="Q133:T133">
    <cfRule type="expression" dxfId="770" priority="751">
      <formula>OR($A133="Volume",$A133="Pipe")</formula>
    </cfRule>
  </conditionalFormatting>
  <conditionalFormatting sqref="A133:F133 H133:L133 O133:V133">
    <cfRule type="expression" dxfId="769" priority="750">
      <formula>$A133="Component"</formula>
    </cfRule>
  </conditionalFormatting>
  <conditionalFormatting sqref="U133:V133 A133:F133 H133:L133 O133:P133">
    <cfRule type="expression" dxfId="768" priority="749">
      <formula>$A133="Volume"</formula>
    </cfRule>
  </conditionalFormatting>
  <conditionalFormatting sqref="J133:L133">
    <cfRule type="cellIs" dxfId="767" priority="748" operator="notEqual">
      <formula>0</formula>
    </cfRule>
  </conditionalFormatting>
  <conditionalFormatting sqref="F133">
    <cfRule type="expression" dxfId="766" priority="756">
      <formula>OR($A133="Pipe",$A133="Component",$A133="Volume")</formula>
    </cfRule>
  </conditionalFormatting>
  <conditionalFormatting sqref="G133">
    <cfRule type="expression" dxfId="765" priority="747">
      <formula>OR($A133="Pipe",$A133="Component",$A133="Volume")</formula>
    </cfRule>
  </conditionalFormatting>
  <conditionalFormatting sqref="G133">
    <cfRule type="expression" dxfId="764" priority="746">
      <formula>$A133="Pipe"</formula>
    </cfRule>
  </conditionalFormatting>
  <conditionalFormatting sqref="G133">
    <cfRule type="expression" dxfId="763" priority="745">
      <formula>$A133="Component"</formula>
    </cfRule>
  </conditionalFormatting>
  <conditionalFormatting sqref="G133">
    <cfRule type="expression" dxfId="762" priority="744">
      <formula>$A133="Volume"</formula>
    </cfRule>
  </conditionalFormatting>
  <conditionalFormatting sqref="M130 Q130 S130 O130 A130 U130 J130">
    <cfRule type="expression" dxfId="761" priority="741">
      <formula>OR($A130="Pipe",$A130="Component",$A130="Volume")</formula>
    </cfRule>
  </conditionalFormatting>
  <conditionalFormatting sqref="N130 T130 R130 V130 P130 L130 I130 E130">
    <cfRule type="expression" dxfId="760" priority="742">
      <formula>OR($A130="Pipe",$A130="Component",$A130="Volume")</formula>
    </cfRule>
  </conditionalFormatting>
  <conditionalFormatting sqref="B130:D130 K130 G130:H130">
    <cfRule type="expression" dxfId="759" priority="740">
      <formula>OR($A130="Pipe",$A130="Component",$A130="Volume")</formula>
    </cfRule>
  </conditionalFormatting>
  <conditionalFormatting sqref="A130:P130 U130:V130">
    <cfRule type="expression" dxfId="758" priority="739">
      <formula>$A130="Pipe"</formula>
    </cfRule>
  </conditionalFormatting>
  <conditionalFormatting sqref="Q130:T130">
    <cfRule type="expression" dxfId="757" priority="738">
      <formula>OR($A130="Volume",$A130="Pipe")</formula>
    </cfRule>
  </conditionalFormatting>
  <conditionalFormatting sqref="A130:V130">
    <cfRule type="expression" dxfId="756" priority="737">
      <formula>$A130="Component"</formula>
    </cfRule>
  </conditionalFormatting>
  <conditionalFormatting sqref="A130:P130 U130:V130">
    <cfRule type="expression" dxfId="755" priority="736">
      <formula>$A130="Volume"</formula>
    </cfRule>
  </conditionalFormatting>
  <conditionalFormatting sqref="J130:L130">
    <cfRule type="cellIs" dxfId="754" priority="735" operator="notEqual">
      <formula>0</formula>
    </cfRule>
  </conditionalFormatting>
  <conditionalFormatting sqref="F130">
    <cfRule type="expression" dxfId="753" priority="743">
      <formula>OR($A130="Pipe",$A130="Component",$A130="Volume")</formula>
    </cfRule>
  </conditionalFormatting>
  <conditionalFormatting sqref="M131:M134">
    <cfRule type="expression" dxfId="752" priority="733">
      <formula>OR($A131="Pipe",$A131="Component",$A131="Volume")</formula>
    </cfRule>
  </conditionalFormatting>
  <conditionalFormatting sqref="N131:N134">
    <cfRule type="expression" dxfId="751" priority="734">
      <formula>OR($A131="Pipe",$A131="Component",$A131="Volume")</formula>
    </cfRule>
  </conditionalFormatting>
  <conditionalFormatting sqref="M131:N134">
    <cfRule type="expression" dxfId="750" priority="732">
      <formula>$A131="Pipe"</formula>
    </cfRule>
  </conditionalFormatting>
  <conditionalFormatting sqref="M131:N134">
    <cfRule type="expression" dxfId="749" priority="731">
      <formula>$A131="Component"</formula>
    </cfRule>
  </conditionalFormatting>
  <conditionalFormatting sqref="M131:N134">
    <cfRule type="expression" dxfId="748" priority="730">
      <formula>$A131="Volume"</formula>
    </cfRule>
  </conditionalFormatting>
  <conditionalFormatting sqref="M136">
    <cfRule type="expression" dxfId="747" priority="728">
      <formula>OR($A136="Pipe",$A136="Component",$A136="Volume")</formula>
    </cfRule>
  </conditionalFormatting>
  <conditionalFormatting sqref="N136">
    <cfRule type="expression" dxfId="746" priority="729">
      <formula>OR($A136="Pipe",$A136="Component",$A136="Volume")</formula>
    </cfRule>
  </conditionalFormatting>
  <conditionalFormatting sqref="M136:N136">
    <cfRule type="expression" dxfId="745" priority="727">
      <formula>$A136="Pipe"</formula>
    </cfRule>
  </conditionalFormatting>
  <conditionalFormatting sqref="M136:N136">
    <cfRule type="expression" dxfId="744" priority="726">
      <formula>$A136="Component"</formula>
    </cfRule>
  </conditionalFormatting>
  <conditionalFormatting sqref="M136:N136">
    <cfRule type="expression" dxfId="743" priority="725">
      <formula>$A136="Volume"</formula>
    </cfRule>
  </conditionalFormatting>
  <conditionalFormatting sqref="O142 A142 U142 J142 S142 Q142">
    <cfRule type="expression" dxfId="742" priority="722">
      <formula>OR($A142="Pipe",$A142="Component",$A142="Volume")</formula>
    </cfRule>
  </conditionalFormatting>
  <conditionalFormatting sqref="V142 P142 L142 I142 E142 R142 T142">
    <cfRule type="expression" dxfId="741" priority="723">
      <formula>OR($A142="Pipe",$A142="Component",$A142="Volume")</formula>
    </cfRule>
  </conditionalFormatting>
  <conditionalFormatting sqref="B142:D142 K142 H142">
    <cfRule type="expression" dxfId="740" priority="721">
      <formula>OR($A142="Pipe",$A142="Component",$A142="Volume")</formula>
    </cfRule>
  </conditionalFormatting>
  <conditionalFormatting sqref="U142:V142 A142:F142 H142:L142 O142:P142">
    <cfRule type="expression" dxfId="739" priority="720">
      <formula>$A142="Pipe"</formula>
    </cfRule>
  </conditionalFormatting>
  <conditionalFormatting sqref="Q142:T142">
    <cfRule type="expression" dxfId="738" priority="719">
      <formula>OR($A142="Volume",$A142="Pipe")</formula>
    </cfRule>
  </conditionalFormatting>
  <conditionalFormatting sqref="A142:F142 H142:L142 O142:V142">
    <cfRule type="expression" dxfId="737" priority="718">
      <formula>$A142="Component"</formula>
    </cfRule>
  </conditionalFormatting>
  <conditionalFormatting sqref="U142:V142 A142:F142 H142:L142 O142:P142">
    <cfRule type="expression" dxfId="736" priority="717">
      <formula>$A142="Volume"</formula>
    </cfRule>
  </conditionalFormatting>
  <conditionalFormatting sqref="J142:L142">
    <cfRule type="cellIs" dxfId="735" priority="716" operator="notEqual">
      <formula>0</formula>
    </cfRule>
  </conditionalFormatting>
  <conditionalFormatting sqref="F142">
    <cfRule type="expression" dxfId="734" priority="724">
      <formula>OR($A142="Pipe",$A142="Component",$A142="Volume")</formula>
    </cfRule>
  </conditionalFormatting>
  <conditionalFormatting sqref="G142">
    <cfRule type="expression" dxfId="733" priority="715">
      <formula>OR($A142="Pipe",$A142="Component",$A142="Volume")</formula>
    </cfRule>
  </conditionalFormatting>
  <conditionalFormatting sqref="G142">
    <cfRule type="expression" dxfId="732" priority="714">
      <formula>$A142="Pipe"</formula>
    </cfRule>
  </conditionalFormatting>
  <conditionalFormatting sqref="G142">
    <cfRule type="expression" dxfId="731" priority="713">
      <formula>$A142="Component"</formula>
    </cfRule>
  </conditionalFormatting>
  <conditionalFormatting sqref="G142">
    <cfRule type="expression" dxfId="730" priority="712">
      <formula>$A142="Volume"</formula>
    </cfRule>
  </conditionalFormatting>
  <conditionalFormatting sqref="M142">
    <cfRule type="expression" dxfId="729" priority="710">
      <formula>OR($A142="Pipe",$A142="Component",$A142="Volume")</formula>
    </cfRule>
  </conditionalFormatting>
  <conditionalFormatting sqref="N142">
    <cfRule type="expression" dxfId="728" priority="711">
      <formula>OR($A142="Pipe",$A142="Component",$A142="Volume")</formula>
    </cfRule>
  </conditionalFormatting>
  <conditionalFormatting sqref="M142:N142">
    <cfRule type="expression" dxfId="727" priority="709">
      <formula>$A142="Pipe"</formula>
    </cfRule>
  </conditionalFormatting>
  <conditionalFormatting sqref="M142:N142">
    <cfRule type="expression" dxfId="726" priority="708">
      <formula>$A142="Component"</formula>
    </cfRule>
  </conditionalFormatting>
  <conditionalFormatting sqref="M142:N142">
    <cfRule type="expression" dxfId="725" priority="707">
      <formula>$A142="Volume"</formula>
    </cfRule>
  </conditionalFormatting>
  <conditionalFormatting sqref="O143 A143 U143 J143 S143 Q143">
    <cfRule type="expression" dxfId="724" priority="704">
      <formula>OR($A143="Pipe",$A143="Component",$A143="Volume")</formula>
    </cfRule>
  </conditionalFormatting>
  <conditionalFormatting sqref="V143 P143 L143 I143 E143 R143 T143">
    <cfRule type="expression" dxfId="723" priority="705">
      <formula>OR($A143="Pipe",$A143="Component",$A143="Volume")</formula>
    </cfRule>
  </conditionalFormatting>
  <conditionalFormatting sqref="B143:D143 K143 H143">
    <cfRule type="expression" dxfId="722" priority="703">
      <formula>OR($A143="Pipe",$A143="Component",$A143="Volume")</formula>
    </cfRule>
  </conditionalFormatting>
  <conditionalFormatting sqref="U143:V143 A143:F143 H143:L143 O143:P143">
    <cfRule type="expression" dxfId="721" priority="702">
      <formula>$A143="Pipe"</formula>
    </cfRule>
  </conditionalFormatting>
  <conditionalFormatting sqref="Q143:T143">
    <cfRule type="expression" dxfId="720" priority="701">
      <formula>OR($A143="Volume",$A143="Pipe")</formula>
    </cfRule>
  </conditionalFormatting>
  <conditionalFormatting sqref="A143:F143 H143:L143 O143:V143">
    <cfRule type="expression" dxfId="719" priority="700">
      <formula>$A143="Component"</formula>
    </cfRule>
  </conditionalFormatting>
  <conditionalFormatting sqref="U143:V143 A143:F143 H143:L143 O143:P143">
    <cfRule type="expression" dxfId="718" priority="699">
      <formula>$A143="Volume"</formula>
    </cfRule>
  </conditionalFormatting>
  <conditionalFormatting sqref="J143:L143">
    <cfRule type="cellIs" dxfId="717" priority="698" operator="notEqual">
      <formula>0</formula>
    </cfRule>
  </conditionalFormatting>
  <conditionalFormatting sqref="F143">
    <cfRule type="expression" dxfId="716" priority="706">
      <formula>OR($A143="Pipe",$A143="Component",$A143="Volume")</formula>
    </cfRule>
  </conditionalFormatting>
  <conditionalFormatting sqref="G143">
    <cfRule type="expression" dxfId="715" priority="697">
      <formula>OR($A143="Pipe",$A143="Component",$A143="Volume")</formula>
    </cfRule>
  </conditionalFormatting>
  <conditionalFormatting sqref="G143">
    <cfRule type="expression" dxfId="714" priority="696">
      <formula>$A143="Pipe"</formula>
    </cfRule>
  </conditionalFormatting>
  <conditionalFormatting sqref="G143">
    <cfRule type="expression" dxfId="713" priority="695">
      <formula>$A143="Component"</formula>
    </cfRule>
  </conditionalFormatting>
  <conditionalFormatting sqref="G143">
    <cfRule type="expression" dxfId="712" priority="694">
      <formula>$A143="Volume"</formula>
    </cfRule>
  </conditionalFormatting>
  <conditionalFormatting sqref="M143">
    <cfRule type="expression" dxfId="711" priority="692">
      <formula>OR($A143="Pipe",$A143="Component",$A143="Volume")</formula>
    </cfRule>
  </conditionalFormatting>
  <conditionalFormatting sqref="N143">
    <cfRule type="expression" dxfId="710" priority="693">
      <formula>OR($A143="Pipe",$A143="Component",$A143="Volume")</formula>
    </cfRule>
  </conditionalFormatting>
  <conditionalFormatting sqref="M143:N143">
    <cfRule type="expression" dxfId="709" priority="691">
      <formula>$A143="Pipe"</formula>
    </cfRule>
  </conditionalFormatting>
  <conditionalFormatting sqref="M143:N143">
    <cfRule type="expression" dxfId="708" priority="690">
      <formula>$A143="Component"</formula>
    </cfRule>
  </conditionalFormatting>
  <conditionalFormatting sqref="M143:N143">
    <cfRule type="expression" dxfId="707" priority="689">
      <formula>$A143="Volume"</formula>
    </cfRule>
  </conditionalFormatting>
  <conditionalFormatting sqref="O144 A144 U144 J144 S144 Q144">
    <cfRule type="expression" dxfId="706" priority="686">
      <formula>OR($A144="Pipe",$A144="Component",$A144="Volume")</formula>
    </cfRule>
  </conditionalFormatting>
  <conditionalFormatting sqref="V144 P144 L144 I144 E144 R144 T144">
    <cfRule type="expression" dxfId="705" priority="687">
      <formula>OR($A144="Pipe",$A144="Component",$A144="Volume")</formula>
    </cfRule>
  </conditionalFormatting>
  <conditionalFormatting sqref="B144:D144 K144 H144">
    <cfRule type="expression" dxfId="704" priority="685">
      <formula>OR($A144="Pipe",$A144="Component",$A144="Volume")</formula>
    </cfRule>
  </conditionalFormatting>
  <conditionalFormatting sqref="U144:V144 A144:F144 H144:L144 O144:P144">
    <cfRule type="expression" dxfId="703" priority="684">
      <formula>$A144="Pipe"</formula>
    </cfRule>
  </conditionalFormatting>
  <conditionalFormatting sqref="Q144:T144">
    <cfRule type="expression" dxfId="702" priority="683">
      <formula>OR($A144="Volume",$A144="Pipe")</formula>
    </cfRule>
  </conditionalFormatting>
  <conditionalFormatting sqref="A144:F144 H144:L144 O144:V144">
    <cfRule type="expression" dxfId="701" priority="682">
      <formula>$A144="Component"</formula>
    </cfRule>
  </conditionalFormatting>
  <conditionalFormatting sqref="U144:V144 A144:F144 H144:L144 O144:P144">
    <cfRule type="expression" dxfId="700" priority="681">
      <formula>$A144="Volume"</formula>
    </cfRule>
  </conditionalFormatting>
  <conditionalFormatting sqref="J144:L144">
    <cfRule type="cellIs" dxfId="699" priority="680" operator="notEqual">
      <formula>0</formula>
    </cfRule>
  </conditionalFormatting>
  <conditionalFormatting sqref="F144">
    <cfRule type="expression" dxfId="698" priority="688">
      <formula>OR($A144="Pipe",$A144="Component",$A144="Volume")</formula>
    </cfRule>
  </conditionalFormatting>
  <conditionalFormatting sqref="G144">
    <cfRule type="expression" dxfId="697" priority="679">
      <formula>OR($A144="Pipe",$A144="Component",$A144="Volume")</formula>
    </cfRule>
  </conditionalFormatting>
  <conditionalFormatting sqref="G144">
    <cfRule type="expression" dxfId="696" priority="678">
      <formula>$A144="Pipe"</formula>
    </cfRule>
  </conditionalFormatting>
  <conditionalFormatting sqref="G144">
    <cfRule type="expression" dxfId="695" priority="677">
      <formula>$A144="Component"</formula>
    </cfRule>
  </conditionalFormatting>
  <conditionalFormatting sqref="G144">
    <cfRule type="expression" dxfId="694" priority="676">
      <formula>$A144="Volume"</formula>
    </cfRule>
  </conditionalFormatting>
  <conditionalFormatting sqref="M144">
    <cfRule type="expression" dxfId="693" priority="674">
      <formula>OR($A144="Pipe",$A144="Component",$A144="Volume")</formula>
    </cfRule>
  </conditionalFormatting>
  <conditionalFormatting sqref="N144">
    <cfRule type="expression" dxfId="692" priority="675">
      <formula>OR($A144="Pipe",$A144="Component",$A144="Volume")</formula>
    </cfRule>
  </conditionalFormatting>
  <conditionalFormatting sqref="M144:N144">
    <cfRule type="expression" dxfId="691" priority="673">
      <formula>$A144="Pipe"</formula>
    </cfRule>
  </conditionalFormatting>
  <conditionalFormatting sqref="M144:N144">
    <cfRule type="expression" dxfId="690" priority="672">
      <formula>$A144="Component"</formula>
    </cfRule>
  </conditionalFormatting>
  <conditionalFormatting sqref="M144:N144">
    <cfRule type="expression" dxfId="689" priority="671">
      <formula>$A144="Volume"</formula>
    </cfRule>
  </conditionalFormatting>
  <conditionalFormatting sqref="O145 A145 U145 J145 S145 Q145">
    <cfRule type="expression" dxfId="688" priority="668">
      <formula>OR($A145="Pipe",$A145="Component",$A145="Volume")</formula>
    </cfRule>
  </conditionalFormatting>
  <conditionalFormatting sqref="V145 P145 L145 I145 E145 R145 T145">
    <cfRule type="expression" dxfId="687" priority="669">
      <formula>OR($A145="Pipe",$A145="Component",$A145="Volume")</formula>
    </cfRule>
  </conditionalFormatting>
  <conditionalFormatting sqref="B145:D145 K145 H145">
    <cfRule type="expression" dxfId="686" priority="667">
      <formula>OR($A145="Pipe",$A145="Component",$A145="Volume")</formula>
    </cfRule>
  </conditionalFormatting>
  <conditionalFormatting sqref="U145:V145 A145:F145 H145:L145 O145:P145">
    <cfRule type="expression" dxfId="685" priority="666">
      <formula>$A145="Pipe"</formula>
    </cfRule>
  </conditionalFormatting>
  <conditionalFormatting sqref="Q145:T145">
    <cfRule type="expression" dxfId="684" priority="665">
      <formula>OR($A145="Volume",$A145="Pipe")</formula>
    </cfRule>
  </conditionalFormatting>
  <conditionalFormatting sqref="A145:F145 H145:L145 O145:V145">
    <cfRule type="expression" dxfId="683" priority="664">
      <formula>$A145="Component"</formula>
    </cfRule>
  </conditionalFormatting>
  <conditionalFormatting sqref="U145:V145 A145:F145 H145:L145 O145:P145">
    <cfRule type="expression" dxfId="682" priority="663">
      <formula>$A145="Volume"</formula>
    </cfRule>
  </conditionalFormatting>
  <conditionalFormatting sqref="J145:L145">
    <cfRule type="cellIs" dxfId="681" priority="662" operator="notEqual">
      <formula>0</formula>
    </cfRule>
  </conditionalFormatting>
  <conditionalFormatting sqref="F145">
    <cfRule type="expression" dxfId="680" priority="670">
      <formula>OR($A145="Pipe",$A145="Component",$A145="Volume")</formula>
    </cfRule>
  </conditionalFormatting>
  <conditionalFormatting sqref="G145">
    <cfRule type="expression" dxfId="679" priority="661">
      <formula>OR($A145="Pipe",$A145="Component",$A145="Volume")</formula>
    </cfRule>
  </conditionalFormatting>
  <conditionalFormatting sqref="G145">
    <cfRule type="expression" dxfId="678" priority="660">
      <formula>$A145="Pipe"</formula>
    </cfRule>
  </conditionalFormatting>
  <conditionalFormatting sqref="G145">
    <cfRule type="expression" dxfId="677" priority="659">
      <formula>$A145="Component"</formula>
    </cfRule>
  </conditionalFormatting>
  <conditionalFormatting sqref="G145">
    <cfRule type="expression" dxfId="676" priority="658">
      <formula>$A145="Volume"</formula>
    </cfRule>
  </conditionalFormatting>
  <conditionalFormatting sqref="M145">
    <cfRule type="expression" dxfId="675" priority="656">
      <formula>OR($A145="Pipe",$A145="Component",$A145="Volume")</formula>
    </cfRule>
  </conditionalFormatting>
  <conditionalFormatting sqref="N145">
    <cfRule type="expression" dxfId="674" priority="657">
      <formula>OR($A145="Pipe",$A145="Component",$A145="Volume")</formula>
    </cfRule>
  </conditionalFormatting>
  <conditionalFormatting sqref="M145:N145">
    <cfRule type="expression" dxfId="673" priority="655">
      <formula>$A145="Pipe"</formula>
    </cfRule>
  </conditionalFormatting>
  <conditionalFormatting sqref="M145:N145">
    <cfRule type="expression" dxfId="672" priority="654">
      <formula>$A145="Component"</formula>
    </cfRule>
  </conditionalFormatting>
  <conditionalFormatting sqref="M145:N145">
    <cfRule type="expression" dxfId="671" priority="653">
      <formula>$A145="Volume"</formula>
    </cfRule>
  </conditionalFormatting>
  <conditionalFormatting sqref="O146 A146 U146 J146 S146 Q146">
    <cfRule type="expression" dxfId="670" priority="650">
      <formula>OR($A146="Pipe",$A146="Component",$A146="Volume")</formula>
    </cfRule>
  </conditionalFormatting>
  <conditionalFormatting sqref="V146 P146 L146 I146 E146 R146 T146">
    <cfRule type="expression" dxfId="669" priority="651">
      <formula>OR($A146="Pipe",$A146="Component",$A146="Volume")</formula>
    </cfRule>
  </conditionalFormatting>
  <conditionalFormatting sqref="B146:D146 K146 H146">
    <cfRule type="expression" dxfId="668" priority="649">
      <formula>OR($A146="Pipe",$A146="Component",$A146="Volume")</formula>
    </cfRule>
  </conditionalFormatting>
  <conditionalFormatting sqref="U146:V146 A146:F146 H146:L146 O146:P146">
    <cfRule type="expression" dxfId="667" priority="648">
      <formula>$A146="Pipe"</formula>
    </cfRule>
  </conditionalFormatting>
  <conditionalFormatting sqref="Q146:T146">
    <cfRule type="expression" dxfId="666" priority="647">
      <formula>OR($A146="Volume",$A146="Pipe")</formula>
    </cfRule>
  </conditionalFormatting>
  <conditionalFormatting sqref="A146:F146 H146:L146 O146:V146">
    <cfRule type="expression" dxfId="665" priority="646">
      <formula>$A146="Component"</formula>
    </cfRule>
  </conditionalFormatting>
  <conditionalFormatting sqref="U146:V146 A146:F146 H146:L146 O146:P146">
    <cfRule type="expression" dxfId="664" priority="645">
      <formula>$A146="Volume"</formula>
    </cfRule>
  </conditionalFormatting>
  <conditionalFormatting sqref="J146:L146">
    <cfRule type="cellIs" dxfId="663" priority="644" operator="notEqual">
      <formula>0</formula>
    </cfRule>
  </conditionalFormatting>
  <conditionalFormatting sqref="F146">
    <cfRule type="expression" dxfId="662" priority="652">
      <formula>OR($A146="Pipe",$A146="Component",$A146="Volume")</formula>
    </cfRule>
  </conditionalFormatting>
  <conditionalFormatting sqref="G146">
    <cfRule type="expression" dxfId="661" priority="643">
      <formula>OR($A146="Pipe",$A146="Component",$A146="Volume")</formula>
    </cfRule>
  </conditionalFormatting>
  <conditionalFormatting sqref="G146">
    <cfRule type="expression" dxfId="660" priority="642">
      <formula>$A146="Pipe"</formula>
    </cfRule>
  </conditionalFormatting>
  <conditionalFormatting sqref="G146">
    <cfRule type="expression" dxfId="659" priority="641">
      <formula>$A146="Component"</formula>
    </cfRule>
  </conditionalFormatting>
  <conditionalFormatting sqref="G146">
    <cfRule type="expression" dxfId="658" priority="640">
      <formula>$A146="Volume"</formula>
    </cfRule>
  </conditionalFormatting>
  <conditionalFormatting sqref="M146">
    <cfRule type="expression" dxfId="657" priority="638">
      <formula>OR($A146="Pipe",$A146="Component",$A146="Volume")</formula>
    </cfRule>
  </conditionalFormatting>
  <conditionalFormatting sqref="N146">
    <cfRule type="expression" dxfId="656" priority="639">
      <formula>OR($A146="Pipe",$A146="Component",$A146="Volume")</formula>
    </cfRule>
  </conditionalFormatting>
  <conditionalFormatting sqref="M146:N146">
    <cfRule type="expression" dxfId="655" priority="637">
      <formula>$A146="Pipe"</formula>
    </cfRule>
  </conditionalFormatting>
  <conditionalFormatting sqref="M146:N146">
    <cfRule type="expression" dxfId="654" priority="636">
      <formula>$A146="Component"</formula>
    </cfRule>
  </conditionalFormatting>
  <conditionalFormatting sqref="M146:N146">
    <cfRule type="expression" dxfId="653" priority="635">
      <formula>$A146="Volume"</formula>
    </cfRule>
  </conditionalFormatting>
  <conditionalFormatting sqref="M148">
    <cfRule type="expression" dxfId="652" priority="633">
      <formula>OR($A148="Pipe",$A148="Component",$A148="Volume")</formula>
    </cfRule>
  </conditionalFormatting>
  <conditionalFormatting sqref="N148">
    <cfRule type="expression" dxfId="651" priority="634">
      <formula>OR($A148="Pipe",$A148="Component",$A148="Volume")</formula>
    </cfRule>
  </conditionalFormatting>
  <conditionalFormatting sqref="M148:N148">
    <cfRule type="expression" dxfId="650" priority="632">
      <formula>$A148="Pipe"</formula>
    </cfRule>
  </conditionalFormatting>
  <conditionalFormatting sqref="M148:N148">
    <cfRule type="expression" dxfId="649" priority="631">
      <formula>$A148="Component"</formula>
    </cfRule>
  </conditionalFormatting>
  <conditionalFormatting sqref="M148:N148">
    <cfRule type="expression" dxfId="648" priority="630">
      <formula>$A148="Volume"</formula>
    </cfRule>
  </conditionalFormatting>
  <conditionalFormatting sqref="I148">
    <cfRule type="expression" dxfId="647" priority="629">
      <formula>OR($A148="Pipe",$A148="Component",$A148="Volume")</formula>
    </cfRule>
  </conditionalFormatting>
  <conditionalFormatting sqref="H148">
    <cfRule type="expression" dxfId="646" priority="628">
      <formula>OR($A148="Pipe",$A148="Component",$A148="Volume")</formula>
    </cfRule>
  </conditionalFormatting>
  <conditionalFormatting sqref="H148:I148">
    <cfRule type="expression" dxfId="645" priority="627">
      <formula>$A148="Pipe"</formula>
    </cfRule>
  </conditionalFormatting>
  <conditionalFormatting sqref="H148:I148">
    <cfRule type="expression" dxfId="644" priority="626">
      <formula>$A148="Component"</formula>
    </cfRule>
  </conditionalFormatting>
  <conditionalFormatting sqref="H148:I148">
    <cfRule type="expression" dxfId="643" priority="625">
      <formula>$A148="Volume"</formula>
    </cfRule>
  </conditionalFormatting>
  <conditionalFormatting sqref="G148">
    <cfRule type="expression" dxfId="642" priority="624">
      <formula>OR($A148="Pipe",$A148="Component",$A148="Volume")</formula>
    </cfRule>
  </conditionalFormatting>
  <conditionalFormatting sqref="G148">
    <cfRule type="expression" dxfId="641" priority="623">
      <formula>$A148="Pipe"</formula>
    </cfRule>
  </conditionalFormatting>
  <conditionalFormatting sqref="G148">
    <cfRule type="expression" dxfId="640" priority="622">
      <formula>$A148="Component"</formula>
    </cfRule>
  </conditionalFormatting>
  <conditionalFormatting sqref="G148">
    <cfRule type="expression" dxfId="639" priority="621">
      <formula>$A148="Volume"</formula>
    </cfRule>
  </conditionalFormatting>
  <conditionalFormatting sqref="O150 A150 U150 J150 S150 Q150">
    <cfRule type="expression" dxfId="638" priority="618">
      <formula>OR($A150="Pipe",$A150="Component",$A150="Volume")</formula>
    </cfRule>
  </conditionalFormatting>
  <conditionalFormatting sqref="V150 P150 L150 I150 E150 R150 T150">
    <cfRule type="expression" dxfId="637" priority="619">
      <formula>OR($A150="Pipe",$A150="Component",$A150="Volume")</formula>
    </cfRule>
  </conditionalFormatting>
  <conditionalFormatting sqref="B150:D150 K150 H150">
    <cfRule type="expression" dxfId="636" priority="617">
      <formula>OR($A150="Pipe",$A150="Component",$A150="Volume")</formula>
    </cfRule>
  </conditionalFormatting>
  <conditionalFormatting sqref="U150:V150 A150:F150 H150:L150 O150:P150">
    <cfRule type="expression" dxfId="635" priority="616">
      <formula>$A150="Pipe"</formula>
    </cfRule>
  </conditionalFormatting>
  <conditionalFormatting sqref="Q150:T150">
    <cfRule type="expression" dxfId="634" priority="615">
      <formula>OR($A150="Volume",$A150="Pipe")</formula>
    </cfRule>
  </conditionalFormatting>
  <conditionalFormatting sqref="A150:F150 H150:L150 O150:V150">
    <cfRule type="expression" dxfId="633" priority="614">
      <formula>$A150="Component"</formula>
    </cfRule>
  </conditionalFormatting>
  <conditionalFormatting sqref="U150:V150 A150:F150 H150:L150 O150:P150">
    <cfRule type="expression" dxfId="632" priority="613">
      <formula>$A150="Volume"</formula>
    </cfRule>
  </conditionalFormatting>
  <conditionalFormatting sqref="J150:L150">
    <cfRule type="cellIs" dxfId="631" priority="612" operator="notEqual">
      <formula>0</formula>
    </cfRule>
  </conditionalFormatting>
  <conditionalFormatting sqref="F150">
    <cfRule type="expression" dxfId="630" priority="620">
      <formula>OR($A150="Pipe",$A150="Component",$A150="Volume")</formula>
    </cfRule>
  </conditionalFormatting>
  <conditionalFormatting sqref="G150">
    <cfRule type="expression" dxfId="629" priority="611">
      <formula>OR($A150="Pipe",$A150="Component",$A150="Volume")</formula>
    </cfRule>
  </conditionalFormatting>
  <conditionalFormatting sqref="G150">
    <cfRule type="expression" dxfId="628" priority="610">
      <formula>$A150="Pipe"</formula>
    </cfRule>
  </conditionalFormatting>
  <conditionalFormatting sqref="G150">
    <cfRule type="expression" dxfId="627" priority="609">
      <formula>$A150="Component"</formula>
    </cfRule>
  </conditionalFormatting>
  <conditionalFormatting sqref="G150">
    <cfRule type="expression" dxfId="626" priority="608">
      <formula>$A150="Volume"</formula>
    </cfRule>
  </conditionalFormatting>
  <conditionalFormatting sqref="M150">
    <cfRule type="expression" dxfId="625" priority="606">
      <formula>OR($A150="Pipe",$A150="Component",$A150="Volume")</formula>
    </cfRule>
  </conditionalFormatting>
  <conditionalFormatting sqref="N150">
    <cfRule type="expression" dxfId="624" priority="607">
      <formula>OR($A150="Pipe",$A150="Component",$A150="Volume")</formula>
    </cfRule>
  </conditionalFormatting>
  <conditionalFormatting sqref="M150:N150">
    <cfRule type="expression" dxfId="623" priority="605">
      <formula>$A150="Pipe"</formula>
    </cfRule>
  </conditionalFormatting>
  <conditionalFormatting sqref="M150:N150">
    <cfRule type="expression" dxfId="622" priority="604">
      <formula>$A150="Component"</formula>
    </cfRule>
  </conditionalFormatting>
  <conditionalFormatting sqref="M150:N150">
    <cfRule type="expression" dxfId="621" priority="603">
      <formula>$A150="Volume"</formula>
    </cfRule>
  </conditionalFormatting>
  <conditionalFormatting sqref="O152 A152 U152 J152 S152 Q152">
    <cfRule type="expression" dxfId="620" priority="600">
      <formula>OR($A152="Pipe",$A152="Component",$A152="Volume")</formula>
    </cfRule>
  </conditionalFormatting>
  <conditionalFormatting sqref="V152 P152 L152 I152 E152 R152 T152">
    <cfRule type="expression" dxfId="619" priority="601">
      <formula>OR($A152="Pipe",$A152="Component",$A152="Volume")</formula>
    </cfRule>
  </conditionalFormatting>
  <conditionalFormatting sqref="B152:D152 K152 H152">
    <cfRule type="expression" dxfId="618" priority="599">
      <formula>OR($A152="Pipe",$A152="Component",$A152="Volume")</formula>
    </cfRule>
  </conditionalFormatting>
  <conditionalFormatting sqref="U152:V152 A152:F152 H152:L152 O152:P152">
    <cfRule type="expression" dxfId="617" priority="598">
      <formula>$A152="Pipe"</formula>
    </cfRule>
  </conditionalFormatting>
  <conditionalFormatting sqref="Q152:T152">
    <cfRule type="expression" dxfId="616" priority="597">
      <formula>OR($A152="Volume",$A152="Pipe")</formula>
    </cfRule>
  </conditionalFormatting>
  <conditionalFormatting sqref="A152:F152 H152:L152 O152:V152">
    <cfRule type="expression" dxfId="615" priority="596">
      <formula>$A152="Component"</formula>
    </cfRule>
  </conditionalFormatting>
  <conditionalFormatting sqref="U152:V152 A152:F152 H152:L152 O152:P152">
    <cfRule type="expression" dxfId="614" priority="595">
      <formula>$A152="Volume"</formula>
    </cfRule>
  </conditionalFormatting>
  <conditionalFormatting sqref="J152:L152">
    <cfRule type="cellIs" dxfId="613" priority="594" operator="notEqual">
      <formula>0</formula>
    </cfRule>
  </conditionalFormatting>
  <conditionalFormatting sqref="F152">
    <cfRule type="expression" dxfId="612" priority="602">
      <formula>OR($A152="Pipe",$A152="Component",$A152="Volume")</formula>
    </cfRule>
  </conditionalFormatting>
  <conditionalFormatting sqref="G152">
    <cfRule type="expression" dxfId="611" priority="593">
      <formula>OR($A152="Pipe",$A152="Component",$A152="Volume")</formula>
    </cfRule>
  </conditionalFormatting>
  <conditionalFormatting sqref="G152">
    <cfRule type="expression" dxfId="610" priority="592">
      <formula>$A152="Pipe"</formula>
    </cfRule>
  </conditionalFormatting>
  <conditionalFormatting sqref="G152">
    <cfRule type="expression" dxfId="609" priority="591">
      <formula>$A152="Component"</formula>
    </cfRule>
  </conditionalFormatting>
  <conditionalFormatting sqref="G152">
    <cfRule type="expression" dxfId="608" priority="590">
      <formula>$A152="Volume"</formula>
    </cfRule>
  </conditionalFormatting>
  <conditionalFormatting sqref="M152">
    <cfRule type="expression" dxfId="607" priority="588">
      <formula>OR($A152="Pipe",$A152="Component",$A152="Volume")</formula>
    </cfRule>
  </conditionalFormatting>
  <conditionalFormatting sqref="N152">
    <cfRule type="expression" dxfId="606" priority="589">
      <formula>OR($A152="Pipe",$A152="Component",$A152="Volume")</formula>
    </cfRule>
  </conditionalFormatting>
  <conditionalFormatting sqref="M152:N152">
    <cfRule type="expression" dxfId="605" priority="587">
      <formula>$A152="Pipe"</formula>
    </cfRule>
  </conditionalFormatting>
  <conditionalFormatting sqref="M152:N152">
    <cfRule type="expression" dxfId="604" priority="586">
      <formula>$A152="Component"</formula>
    </cfRule>
  </conditionalFormatting>
  <conditionalFormatting sqref="M152:N152">
    <cfRule type="expression" dxfId="603" priority="585">
      <formula>$A152="Volume"</formula>
    </cfRule>
  </conditionalFormatting>
  <conditionalFormatting sqref="O151 A151 U151 J151 S151 Q151">
    <cfRule type="expression" dxfId="602" priority="582">
      <formula>OR($A151="Pipe",$A151="Component",$A151="Volume")</formula>
    </cfRule>
  </conditionalFormatting>
  <conditionalFormatting sqref="V151 P151 L151 I151 E151 R151 T151">
    <cfRule type="expression" dxfId="601" priority="583">
      <formula>OR($A151="Pipe",$A151="Component",$A151="Volume")</formula>
    </cfRule>
  </conditionalFormatting>
  <conditionalFormatting sqref="B151:D151 K151 H151">
    <cfRule type="expression" dxfId="600" priority="581">
      <formula>OR($A151="Pipe",$A151="Component",$A151="Volume")</formula>
    </cfRule>
  </conditionalFormatting>
  <conditionalFormatting sqref="U151:V151 A151:F151 H151:L151 O151:P151">
    <cfRule type="expression" dxfId="599" priority="580">
      <formula>$A151="Pipe"</formula>
    </cfRule>
  </conditionalFormatting>
  <conditionalFormatting sqref="Q151:T151">
    <cfRule type="expression" dxfId="598" priority="579">
      <formula>OR($A151="Volume",$A151="Pipe")</formula>
    </cfRule>
  </conditionalFormatting>
  <conditionalFormatting sqref="A151:F151 H151:L151 O151:V151">
    <cfRule type="expression" dxfId="597" priority="578">
      <formula>$A151="Component"</formula>
    </cfRule>
  </conditionalFormatting>
  <conditionalFormatting sqref="U151:V151 A151:F151 H151:L151 O151:P151">
    <cfRule type="expression" dxfId="596" priority="577">
      <formula>$A151="Volume"</formula>
    </cfRule>
  </conditionalFormatting>
  <conditionalFormatting sqref="J151:L151">
    <cfRule type="cellIs" dxfId="595" priority="576" operator="notEqual">
      <formula>0</formula>
    </cfRule>
  </conditionalFormatting>
  <conditionalFormatting sqref="F151">
    <cfRule type="expression" dxfId="594" priority="584">
      <formula>OR($A151="Pipe",$A151="Component",$A151="Volume")</formula>
    </cfRule>
  </conditionalFormatting>
  <conditionalFormatting sqref="G151">
    <cfRule type="expression" dxfId="593" priority="575">
      <formula>OR($A151="Pipe",$A151="Component",$A151="Volume")</formula>
    </cfRule>
  </conditionalFormatting>
  <conditionalFormatting sqref="G151">
    <cfRule type="expression" dxfId="592" priority="574">
      <formula>$A151="Pipe"</formula>
    </cfRule>
  </conditionalFormatting>
  <conditionalFormatting sqref="G151">
    <cfRule type="expression" dxfId="591" priority="573">
      <formula>$A151="Component"</formula>
    </cfRule>
  </conditionalFormatting>
  <conditionalFormatting sqref="G151">
    <cfRule type="expression" dxfId="590" priority="572">
      <formula>$A151="Volume"</formula>
    </cfRule>
  </conditionalFormatting>
  <conditionalFormatting sqref="M151">
    <cfRule type="expression" dxfId="589" priority="570">
      <formula>OR($A151="Pipe",$A151="Component",$A151="Volume")</formula>
    </cfRule>
  </conditionalFormatting>
  <conditionalFormatting sqref="N151">
    <cfRule type="expression" dxfId="588" priority="571">
      <formula>OR($A151="Pipe",$A151="Component",$A151="Volume")</formula>
    </cfRule>
  </conditionalFormatting>
  <conditionalFormatting sqref="M151:N151">
    <cfRule type="expression" dxfId="587" priority="569">
      <formula>$A151="Pipe"</formula>
    </cfRule>
  </conditionalFormatting>
  <conditionalFormatting sqref="M151:N151">
    <cfRule type="expression" dxfId="586" priority="568">
      <formula>$A151="Component"</formula>
    </cfRule>
  </conditionalFormatting>
  <conditionalFormatting sqref="M151:N151">
    <cfRule type="expression" dxfId="585" priority="567">
      <formula>$A151="Volume"</formula>
    </cfRule>
  </conditionalFormatting>
  <conditionalFormatting sqref="O155 A155 U155 J155 S155 Q155">
    <cfRule type="expression" dxfId="584" priority="564">
      <formula>OR($A155="Pipe",$A155="Component",$A155="Volume")</formula>
    </cfRule>
  </conditionalFormatting>
  <conditionalFormatting sqref="V155 P155 L155 I155 E155 R155 T155">
    <cfRule type="expression" dxfId="583" priority="565">
      <formula>OR($A155="Pipe",$A155="Component",$A155="Volume")</formula>
    </cfRule>
  </conditionalFormatting>
  <conditionalFormatting sqref="B155:D155 K155 H155">
    <cfRule type="expression" dxfId="582" priority="563">
      <formula>OR($A155="Pipe",$A155="Component",$A155="Volume")</formula>
    </cfRule>
  </conditionalFormatting>
  <conditionalFormatting sqref="U155:V155 A155:F155 H155:L155 O155:P155">
    <cfRule type="expression" dxfId="581" priority="562">
      <formula>$A155="Pipe"</formula>
    </cfRule>
  </conditionalFormatting>
  <conditionalFormatting sqref="Q155:T155">
    <cfRule type="expression" dxfId="580" priority="561">
      <formula>OR($A155="Volume",$A155="Pipe")</formula>
    </cfRule>
  </conditionalFormatting>
  <conditionalFormatting sqref="A155:F155 H155:L155 O155:V155">
    <cfRule type="expression" dxfId="579" priority="560">
      <formula>$A155="Component"</formula>
    </cfRule>
  </conditionalFormatting>
  <conditionalFormatting sqref="U155:V155 A155:F155 H155:L155 O155:P155">
    <cfRule type="expression" dxfId="578" priority="559">
      <formula>$A155="Volume"</formula>
    </cfRule>
  </conditionalFormatting>
  <conditionalFormatting sqref="J155:L155">
    <cfRule type="cellIs" dxfId="577" priority="558" operator="notEqual">
      <formula>0</formula>
    </cfRule>
  </conditionalFormatting>
  <conditionalFormatting sqref="F155">
    <cfRule type="expression" dxfId="576" priority="566">
      <formula>OR($A155="Pipe",$A155="Component",$A155="Volume")</formula>
    </cfRule>
  </conditionalFormatting>
  <conditionalFormatting sqref="M155">
    <cfRule type="expression" dxfId="575" priority="556">
      <formula>OR($A155="Pipe",$A155="Component",$A155="Volume")</formula>
    </cfRule>
  </conditionalFormatting>
  <conditionalFormatting sqref="N155">
    <cfRule type="expression" dxfId="574" priority="557">
      <formula>OR($A155="Pipe",$A155="Component",$A155="Volume")</formula>
    </cfRule>
  </conditionalFormatting>
  <conditionalFormatting sqref="M155:N155">
    <cfRule type="expression" dxfId="573" priority="555">
      <formula>$A155="Pipe"</formula>
    </cfRule>
  </conditionalFormatting>
  <conditionalFormatting sqref="M155:N155">
    <cfRule type="expression" dxfId="572" priority="554">
      <formula>$A155="Component"</formula>
    </cfRule>
  </conditionalFormatting>
  <conditionalFormatting sqref="M155:N155">
    <cfRule type="expression" dxfId="571" priority="553">
      <formula>$A155="Volume"</formula>
    </cfRule>
  </conditionalFormatting>
  <conditionalFormatting sqref="G155">
    <cfRule type="expression" dxfId="570" priority="516">
      <formula>OR($A155="Pipe",$A155="Component",$A155="Volume")</formula>
    </cfRule>
  </conditionalFormatting>
  <conditionalFormatting sqref="G155">
    <cfRule type="expression" dxfId="569" priority="515">
      <formula>$A155="Pipe"</formula>
    </cfRule>
  </conditionalFormatting>
  <conditionalFormatting sqref="G155">
    <cfRule type="expression" dxfId="568" priority="514">
      <formula>$A155="Component"</formula>
    </cfRule>
  </conditionalFormatting>
  <conditionalFormatting sqref="G155">
    <cfRule type="expression" dxfId="567" priority="513">
      <formula>$A155="Volume"</formula>
    </cfRule>
  </conditionalFormatting>
  <conditionalFormatting sqref="O153 A153 U153 J153 S153 Q153">
    <cfRule type="expression" dxfId="566" priority="550">
      <formula>OR($A153="Pipe",$A153="Component",$A153="Volume")</formula>
    </cfRule>
  </conditionalFormatting>
  <conditionalFormatting sqref="V153 P153 L153 I153 E153 R153 T153">
    <cfRule type="expression" dxfId="565" priority="551">
      <formula>OR($A153="Pipe",$A153="Component",$A153="Volume")</formula>
    </cfRule>
  </conditionalFormatting>
  <conditionalFormatting sqref="B153:D153 K153 H153">
    <cfRule type="expression" dxfId="564" priority="549">
      <formula>OR($A153="Pipe",$A153="Component",$A153="Volume")</formula>
    </cfRule>
  </conditionalFormatting>
  <conditionalFormatting sqref="U153:V153 A153:F153 H153:L153 O153:P153">
    <cfRule type="expression" dxfId="563" priority="548">
      <formula>$A153="Pipe"</formula>
    </cfRule>
  </conditionalFormatting>
  <conditionalFormatting sqref="Q153:T153">
    <cfRule type="expression" dxfId="562" priority="547">
      <formula>OR($A153="Volume",$A153="Pipe")</formula>
    </cfRule>
  </conditionalFormatting>
  <conditionalFormatting sqref="A153:F153 H153:L153 O153:V153">
    <cfRule type="expression" dxfId="561" priority="546">
      <formula>$A153="Component"</formula>
    </cfRule>
  </conditionalFormatting>
  <conditionalFormatting sqref="U153:V153 A153:F153 H153:L153 O153:P153">
    <cfRule type="expression" dxfId="560" priority="545">
      <formula>$A153="Volume"</formula>
    </cfRule>
  </conditionalFormatting>
  <conditionalFormatting sqref="J153:L153">
    <cfRule type="cellIs" dxfId="559" priority="544" operator="notEqual">
      <formula>0</formula>
    </cfRule>
  </conditionalFormatting>
  <conditionalFormatting sqref="F153">
    <cfRule type="expression" dxfId="558" priority="552">
      <formula>OR($A153="Pipe",$A153="Component",$A153="Volume")</formula>
    </cfRule>
  </conditionalFormatting>
  <conditionalFormatting sqref="M153">
    <cfRule type="expression" dxfId="557" priority="542">
      <formula>OR($A153="Pipe",$A153="Component",$A153="Volume")</formula>
    </cfRule>
  </conditionalFormatting>
  <conditionalFormatting sqref="N153">
    <cfRule type="expression" dxfId="556" priority="543">
      <formula>OR($A153="Pipe",$A153="Component",$A153="Volume")</formula>
    </cfRule>
  </conditionalFormatting>
  <conditionalFormatting sqref="M153:N153">
    <cfRule type="expression" dxfId="555" priority="541">
      <formula>$A153="Pipe"</formula>
    </cfRule>
  </conditionalFormatting>
  <conditionalFormatting sqref="M153:N153">
    <cfRule type="expression" dxfId="554" priority="540">
      <formula>$A153="Component"</formula>
    </cfRule>
  </conditionalFormatting>
  <conditionalFormatting sqref="M153:N153">
    <cfRule type="expression" dxfId="553" priority="539">
      <formula>$A153="Volume"</formula>
    </cfRule>
  </conditionalFormatting>
  <conditionalFormatting sqref="G153">
    <cfRule type="expression" dxfId="552" priority="538">
      <formula>OR($A153="Pipe",$A153="Component",$A153="Volume")</formula>
    </cfRule>
  </conditionalFormatting>
  <conditionalFormatting sqref="G153">
    <cfRule type="expression" dxfId="551" priority="537">
      <formula>$A153="Pipe"</formula>
    </cfRule>
  </conditionalFormatting>
  <conditionalFormatting sqref="G153">
    <cfRule type="expression" dxfId="550" priority="536">
      <formula>$A153="Component"</formula>
    </cfRule>
  </conditionalFormatting>
  <conditionalFormatting sqref="G153">
    <cfRule type="expression" dxfId="549" priority="535">
      <formula>$A153="Volume"</formula>
    </cfRule>
  </conditionalFormatting>
  <conditionalFormatting sqref="O154 A154 U154 J154 S154 Q154">
    <cfRule type="expression" dxfId="548" priority="532">
      <formula>OR($A154="Pipe",$A154="Component",$A154="Volume")</formula>
    </cfRule>
  </conditionalFormatting>
  <conditionalFormatting sqref="V154 P154 L154 I154 E154 R154 T154">
    <cfRule type="expression" dxfId="547" priority="533">
      <formula>OR($A154="Pipe",$A154="Component",$A154="Volume")</formula>
    </cfRule>
  </conditionalFormatting>
  <conditionalFormatting sqref="B154:D154 K154 H154">
    <cfRule type="expression" dxfId="546" priority="531">
      <formula>OR($A154="Pipe",$A154="Component",$A154="Volume")</formula>
    </cfRule>
  </conditionalFormatting>
  <conditionalFormatting sqref="U154:V154 A154:F154 H154:L154 O154:P154">
    <cfRule type="expression" dxfId="545" priority="530">
      <formula>$A154="Pipe"</formula>
    </cfRule>
  </conditionalFormatting>
  <conditionalFormatting sqref="Q154:T154">
    <cfRule type="expression" dxfId="544" priority="529">
      <formula>OR($A154="Volume",$A154="Pipe")</formula>
    </cfRule>
  </conditionalFormatting>
  <conditionalFormatting sqref="A154:F154 H154:L154 O154:V154">
    <cfRule type="expression" dxfId="543" priority="528">
      <formula>$A154="Component"</formula>
    </cfRule>
  </conditionalFormatting>
  <conditionalFormatting sqref="U154:V154 A154:F154 H154:L154 O154:P154">
    <cfRule type="expression" dxfId="542" priority="527">
      <formula>$A154="Volume"</formula>
    </cfRule>
  </conditionalFormatting>
  <conditionalFormatting sqref="J154:L154">
    <cfRule type="cellIs" dxfId="541" priority="526" operator="notEqual">
      <formula>0</formula>
    </cfRule>
  </conditionalFormatting>
  <conditionalFormatting sqref="F154">
    <cfRule type="expression" dxfId="540" priority="534">
      <formula>OR($A154="Pipe",$A154="Component",$A154="Volume")</formula>
    </cfRule>
  </conditionalFormatting>
  <conditionalFormatting sqref="M154">
    <cfRule type="expression" dxfId="539" priority="524">
      <formula>OR($A154="Pipe",$A154="Component",$A154="Volume")</formula>
    </cfRule>
  </conditionalFormatting>
  <conditionalFormatting sqref="N154">
    <cfRule type="expression" dxfId="538" priority="525">
      <formula>OR($A154="Pipe",$A154="Component",$A154="Volume")</formula>
    </cfRule>
  </conditionalFormatting>
  <conditionalFormatting sqref="M154:N154">
    <cfRule type="expression" dxfId="537" priority="523">
      <formula>$A154="Pipe"</formula>
    </cfRule>
  </conditionalFormatting>
  <conditionalFormatting sqref="M154:N154">
    <cfRule type="expression" dxfId="536" priority="522">
      <formula>$A154="Component"</formula>
    </cfRule>
  </conditionalFormatting>
  <conditionalFormatting sqref="M154:N154">
    <cfRule type="expression" dxfId="535" priority="521">
      <formula>$A154="Volume"</formula>
    </cfRule>
  </conditionalFormatting>
  <conditionalFormatting sqref="G154">
    <cfRule type="expression" dxfId="534" priority="520">
      <formula>OR($A154="Pipe",$A154="Component",$A154="Volume")</formula>
    </cfRule>
  </conditionalFormatting>
  <conditionalFormatting sqref="G154">
    <cfRule type="expression" dxfId="533" priority="519">
      <formula>$A154="Pipe"</formula>
    </cfRule>
  </conditionalFormatting>
  <conditionalFormatting sqref="G154">
    <cfRule type="expression" dxfId="532" priority="518">
      <formula>$A154="Component"</formula>
    </cfRule>
  </conditionalFormatting>
  <conditionalFormatting sqref="G154">
    <cfRule type="expression" dxfId="531" priority="517">
      <formula>$A154="Volume"</formula>
    </cfRule>
  </conditionalFormatting>
  <conditionalFormatting sqref="O156 A156 U156 J156 S156 Q156">
    <cfRule type="expression" dxfId="530" priority="510">
      <formula>OR($A156="Pipe",$A156="Component",$A156="Volume")</formula>
    </cfRule>
  </conditionalFormatting>
  <conditionalFormatting sqref="V156 P156 L156 I156 E156 R156 T156">
    <cfRule type="expression" dxfId="529" priority="511">
      <formula>OR($A156="Pipe",$A156="Component",$A156="Volume")</formula>
    </cfRule>
  </conditionalFormatting>
  <conditionalFormatting sqref="B156:D156 K156 H156">
    <cfRule type="expression" dxfId="528" priority="509">
      <formula>OR($A156="Pipe",$A156="Component",$A156="Volume")</formula>
    </cfRule>
  </conditionalFormatting>
  <conditionalFormatting sqref="U156:V156 A156:F156 H156:L156 O156:P156">
    <cfRule type="expression" dxfId="527" priority="508">
      <formula>$A156="Pipe"</formula>
    </cfRule>
  </conditionalFormatting>
  <conditionalFormatting sqref="Q156:T156">
    <cfRule type="expression" dxfId="526" priority="507">
      <formula>OR($A156="Volume",$A156="Pipe")</formula>
    </cfRule>
  </conditionalFormatting>
  <conditionalFormatting sqref="A156:F156 H156:L156 O156:V156">
    <cfRule type="expression" dxfId="525" priority="506">
      <formula>$A156="Component"</formula>
    </cfRule>
  </conditionalFormatting>
  <conditionalFormatting sqref="U156:V156 A156:F156 H156:L156 O156:P156">
    <cfRule type="expression" dxfId="524" priority="505">
      <formula>$A156="Volume"</formula>
    </cfRule>
  </conditionalFormatting>
  <conditionalFormatting sqref="J156:L156">
    <cfRule type="cellIs" dxfId="523" priority="504" operator="notEqual">
      <formula>0</formula>
    </cfRule>
  </conditionalFormatting>
  <conditionalFormatting sqref="F156">
    <cfRule type="expression" dxfId="522" priority="512">
      <formula>OR($A156="Pipe",$A156="Component",$A156="Volume")</formula>
    </cfRule>
  </conditionalFormatting>
  <conditionalFormatting sqref="M156">
    <cfRule type="expression" dxfId="521" priority="502">
      <formula>OR($A156="Pipe",$A156="Component",$A156="Volume")</formula>
    </cfRule>
  </conditionalFormatting>
  <conditionalFormatting sqref="N156">
    <cfRule type="expression" dxfId="520" priority="503">
      <formula>OR($A156="Pipe",$A156="Component",$A156="Volume")</formula>
    </cfRule>
  </conditionalFormatting>
  <conditionalFormatting sqref="M156:N156">
    <cfRule type="expression" dxfId="519" priority="501">
      <formula>$A156="Pipe"</formula>
    </cfRule>
  </conditionalFormatting>
  <conditionalFormatting sqref="M156:N156">
    <cfRule type="expression" dxfId="518" priority="500">
      <formula>$A156="Component"</formula>
    </cfRule>
  </conditionalFormatting>
  <conditionalFormatting sqref="M156:N156">
    <cfRule type="expression" dxfId="517" priority="499">
      <formula>$A156="Volume"</formula>
    </cfRule>
  </conditionalFormatting>
  <conditionalFormatting sqref="G156">
    <cfRule type="expression" dxfId="516" priority="498">
      <formula>OR($A156="Pipe",$A156="Component",$A156="Volume")</formula>
    </cfRule>
  </conditionalFormatting>
  <conditionalFormatting sqref="G156">
    <cfRule type="expression" dxfId="515" priority="497">
      <formula>$A156="Pipe"</formula>
    </cfRule>
  </conditionalFormatting>
  <conditionalFormatting sqref="G156">
    <cfRule type="expression" dxfId="514" priority="496">
      <formula>$A156="Component"</formula>
    </cfRule>
  </conditionalFormatting>
  <conditionalFormatting sqref="G156">
    <cfRule type="expression" dxfId="513" priority="495">
      <formula>$A156="Volume"</formula>
    </cfRule>
  </conditionalFormatting>
  <conditionalFormatting sqref="O158 A158 U158 J158 S158 Q158">
    <cfRule type="expression" dxfId="512" priority="492">
      <formula>OR($A158="Pipe",$A158="Component",$A158="Volume")</formula>
    </cfRule>
  </conditionalFormatting>
  <conditionalFormatting sqref="V158 P158 L158 I158 E158 R158 T158">
    <cfRule type="expression" dxfId="511" priority="493">
      <formula>OR($A158="Pipe",$A158="Component",$A158="Volume")</formula>
    </cfRule>
  </conditionalFormatting>
  <conditionalFormatting sqref="B158:D158 K158 H158">
    <cfRule type="expression" dxfId="510" priority="491">
      <formula>OR($A158="Pipe",$A158="Component",$A158="Volume")</formula>
    </cfRule>
  </conditionalFormatting>
  <conditionalFormatting sqref="U158:V158 A158:F158 H158:L158 O158:P158">
    <cfRule type="expression" dxfId="509" priority="490">
      <formula>$A158="Pipe"</formula>
    </cfRule>
  </conditionalFormatting>
  <conditionalFormatting sqref="Q158:T158">
    <cfRule type="expression" dxfId="508" priority="489">
      <formula>OR($A158="Volume",$A158="Pipe")</formula>
    </cfRule>
  </conditionalFormatting>
  <conditionalFormatting sqref="A158:F158 H158:L158 O158:V158">
    <cfRule type="expression" dxfId="507" priority="488">
      <formula>$A158="Component"</formula>
    </cfRule>
  </conditionalFormatting>
  <conditionalFormatting sqref="U158:V158 A158:F158 H158:L158 O158:P158">
    <cfRule type="expression" dxfId="506" priority="487">
      <formula>$A158="Volume"</formula>
    </cfRule>
  </conditionalFormatting>
  <conditionalFormatting sqref="J158:L158">
    <cfRule type="cellIs" dxfId="505" priority="486" operator="notEqual">
      <formula>0</formula>
    </cfRule>
  </conditionalFormatting>
  <conditionalFormatting sqref="F158">
    <cfRule type="expression" dxfId="504" priority="494">
      <formula>OR($A158="Pipe",$A158="Component",$A158="Volume")</formula>
    </cfRule>
  </conditionalFormatting>
  <conditionalFormatting sqref="M158">
    <cfRule type="expression" dxfId="503" priority="484">
      <formula>OR($A158="Pipe",$A158="Component",$A158="Volume")</formula>
    </cfRule>
  </conditionalFormatting>
  <conditionalFormatting sqref="N158">
    <cfRule type="expression" dxfId="502" priority="485">
      <formula>OR($A158="Pipe",$A158="Component",$A158="Volume")</formula>
    </cfRule>
  </conditionalFormatting>
  <conditionalFormatting sqref="M158:N158">
    <cfRule type="expression" dxfId="501" priority="483">
      <formula>$A158="Pipe"</formula>
    </cfRule>
  </conditionalFormatting>
  <conditionalFormatting sqref="M158:N158">
    <cfRule type="expression" dxfId="500" priority="482">
      <formula>$A158="Component"</formula>
    </cfRule>
  </conditionalFormatting>
  <conditionalFormatting sqref="M158:N158">
    <cfRule type="expression" dxfId="499" priority="481">
      <formula>$A158="Volume"</formula>
    </cfRule>
  </conditionalFormatting>
  <conditionalFormatting sqref="G158">
    <cfRule type="expression" dxfId="498" priority="480">
      <formula>OR($A158="Pipe",$A158="Component",$A158="Volume")</formula>
    </cfRule>
  </conditionalFormatting>
  <conditionalFormatting sqref="G158">
    <cfRule type="expression" dxfId="497" priority="479">
      <formula>$A158="Pipe"</formula>
    </cfRule>
  </conditionalFormatting>
  <conditionalFormatting sqref="G158">
    <cfRule type="expression" dxfId="496" priority="478">
      <formula>$A158="Component"</formula>
    </cfRule>
  </conditionalFormatting>
  <conditionalFormatting sqref="G158">
    <cfRule type="expression" dxfId="495" priority="477">
      <formula>$A158="Volume"</formula>
    </cfRule>
  </conditionalFormatting>
  <conditionalFormatting sqref="O157 A157 U157 J157 S157 Q157">
    <cfRule type="expression" dxfId="494" priority="474">
      <formula>OR($A157="Pipe",$A157="Component",$A157="Volume")</formula>
    </cfRule>
  </conditionalFormatting>
  <conditionalFormatting sqref="V157 P157 L157 I157 E157 R157 T157">
    <cfRule type="expression" dxfId="493" priority="475">
      <formula>OR($A157="Pipe",$A157="Component",$A157="Volume")</formula>
    </cfRule>
  </conditionalFormatting>
  <conditionalFormatting sqref="B157:D157 K157 H157">
    <cfRule type="expression" dxfId="492" priority="473">
      <formula>OR($A157="Pipe",$A157="Component",$A157="Volume")</formula>
    </cfRule>
  </conditionalFormatting>
  <conditionalFormatting sqref="U157:V157 A157:F157 H157:L157 O157:P157">
    <cfRule type="expression" dxfId="491" priority="472">
      <formula>$A157="Pipe"</formula>
    </cfRule>
  </conditionalFormatting>
  <conditionalFormatting sqref="Q157:T157">
    <cfRule type="expression" dxfId="490" priority="471">
      <formula>OR($A157="Volume",$A157="Pipe")</formula>
    </cfRule>
  </conditionalFormatting>
  <conditionalFormatting sqref="A157:F157 H157:L157 O157:V157">
    <cfRule type="expression" dxfId="489" priority="470">
      <formula>$A157="Component"</formula>
    </cfRule>
  </conditionalFormatting>
  <conditionalFormatting sqref="U157:V157 A157:F157 H157:L157 O157:P157">
    <cfRule type="expression" dxfId="488" priority="469">
      <formula>$A157="Volume"</formula>
    </cfRule>
  </conditionalFormatting>
  <conditionalFormatting sqref="J157:L157">
    <cfRule type="cellIs" dxfId="487" priority="468" operator="notEqual">
      <formula>0</formula>
    </cfRule>
  </conditionalFormatting>
  <conditionalFormatting sqref="F157">
    <cfRule type="expression" dxfId="486" priority="476">
      <formula>OR($A157="Pipe",$A157="Component",$A157="Volume")</formula>
    </cfRule>
  </conditionalFormatting>
  <conditionalFormatting sqref="M157">
    <cfRule type="expression" dxfId="485" priority="466">
      <formula>OR($A157="Pipe",$A157="Component",$A157="Volume")</formula>
    </cfRule>
  </conditionalFormatting>
  <conditionalFormatting sqref="N157">
    <cfRule type="expression" dxfId="484" priority="467">
      <formula>OR($A157="Pipe",$A157="Component",$A157="Volume")</formula>
    </cfRule>
  </conditionalFormatting>
  <conditionalFormatting sqref="M157:N157">
    <cfRule type="expression" dxfId="483" priority="465">
      <formula>$A157="Pipe"</formula>
    </cfRule>
  </conditionalFormatting>
  <conditionalFormatting sqref="M157:N157">
    <cfRule type="expression" dxfId="482" priority="464">
      <formula>$A157="Component"</formula>
    </cfRule>
  </conditionalFormatting>
  <conditionalFormatting sqref="M157:N157">
    <cfRule type="expression" dxfId="481" priority="463">
      <formula>$A157="Volume"</formula>
    </cfRule>
  </conditionalFormatting>
  <conditionalFormatting sqref="G157">
    <cfRule type="expression" dxfId="480" priority="462">
      <formula>OR($A157="Pipe",$A157="Component",$A157="Volume")</formula>
    </cfRule>
  </conditionalFormatting>
  <conditionalFormatting sqref="G157">
    <cfRule type="expression" dxfId="479" priority="461">
      <formula>$A157="Pipe"</formula>
    </cfRule>
  </conditionalFormatting>
  <conditionalFormatting sqref="G157">
    <cfRule type="expression" dxfId="478" priority="460">
      <formula>$A157="Component"</formula>
    </cfRule>
  </conditionalFormatting>
  <conditionalFormatting sqref="G157">
    <cfRule type="expression" dxfId="477" priority="459">
      <formula>$A157="Volume"</formula>
    </cfRule>
  </conditionalFormatting>
  <conditionalFormatting sqref="O159 A159 U159 J159 S159 Q159">
    <cfRule type="expression" dxfId="476" priority="456">
      <formula>OR($A159="Pipe",$A159="Component",$A159="Volume")</formula>
    </cfRule>
  </conditionalFormatting>
  <conditionalFormatting sqref="V159 P159 L159 I159 E159 R159 T159">
    <cfRule type="expression" dxfId="475" priority="457">
      <formula>OR($A159="Pipe",$A159="Component",$A159="Volume")</formula>
    </cfRule>
  </conditionalFormatting>
  <conditionalFormatting sqref="B159:D159 K159 H159">
    <cfRule type="expression" dxfId="474" priority="455">
      <formula>OR($A159="Pipe",$A159="Component",$A159="Volume")</formula>
    </cfRule>
  </conditionalFormatting>
  <conditionalFormatting sqref="U159:V159 A159:F159 H159:L159 O159:P159">
    <cfRule type="expression" dxfId="473" priority="454">
      <formula>$A159="Pipe"</formula>
    </cfRule>
  </conditionalFormatting>
  <conditionalFormatting sqref="Q159:T159">
    <cfRule type="expression" dxfId="472" priority="453">
      <formula>OR($A159="Volume",$A159="Pipe")</formula>
    </cfRule>
  </conditionalFormatting>
  <conditionalFormatting sqref="A159:F159 H159:L159 O159:V159">
    <cfRule type="expression" dxfId="471" priority="452">
      <formula>$A159="Component"</formula>
    </cfRule>
  </conditionalFormatting>
  <conditionalFormatting sqref="U159:V159 A159:F159 H159:L159 O159:P159">
    <cfRule type="expression" dxfId="470" priority="451">
      <formula>$A159="Volume"</formula>
    </cfRule>
  </conditionalFormatting>
  <conditionalFormatting sqref="J159:L159">
    <cfRule type="cellIs" dxfId="469" priority="450" operator="notEqual">
      <formula>0</formula>
    </cfRule>
  </conditionalFormatting>
  <conditionalFormatting sqref="F159">
    <cfRule type="expression" dxfId="468" priority="458">
      <formula>OR($A159="Pipe",$A159="Component",$A159="Volume")</formula>
    </cfRule>
  </conditionalFormatting>
  <conditionalFormatting sqref="M159">
    <cfRule type="expression" dxfId="467" priority="448">
      <formula>OR($A159="Pipe",$A159="Component",$A159="Volume")</formula>
    </cfRule>
  </conditionalFormatting>
  <conditionalFormatting sqref="N159">
    <cfRule type="expression" dxfId="466" priority="449">
      <formula>OR($A159="Pipe",$A159="Component",$A159="Volume")</formula>
    </cfRule>
  </conditionalFormatting>
  <conditionalFormatting sqref="M159:N159">
    <cfRule type="expression" dxfId="465" priority="447">
      <formula>$A159="Pipe"</formula>
    </cfRule>
  </conditionalFormatting>
  <conditionalFormatting sqref="M159:N159">
    <cfRule type="expression" dxfId="464" priority="446">
      <formula>$A159="Component"</formula>
    </cfRule>
  </conditionalFormatting>
  <conditionalFormatting sqref="M159:N159">
    <cfRule type="expression" dxfId="463" priority="445">
      <formula>$A159="Volume"</formula>
    </cfRule>
  </conditionalFormatting>
  <conditionalFormatting sqref="G159">
    <cfRule type="expression" dxfId="462" priority="444">
      <formula>OR($A159="Pipe",$A159="Component",$A159="Volume")</formula>
    </cfRule>
  </conditionalFormatting>
  <conditionalFormatting sqref="G159">
    <cfRule type="expression" dxfId="461" priority="443">
      <formula>$A159="Pipe"</formula>
    </cfRule>
  </conditionalFormatting>
  <conditionalFormatting sqref="G159">
    <cfRule type="expression" dxfId="460" priority="442">
      <formula>$A159="Component"</formula>
    </cfRule>
  </conditionalFormatting>
  <conditionalFormatting sqref="G159">
    <cfRule type="expression" dxfId="459" priority="441">
      <formula>$A159="Volume"</formula>
    </cfRule>
  </conditionalFormatting>
  <conditionalFormatting sqref="Q161 S161 J161 U161 A161 O161">
    <cfRule type="expression" dxfId="458" priority="438">
      <formula>OR($A161="Pipe",$A161="Component",$A161="Volume")</formula>
    </cfRule>
  </conditionalFormatting>
  <conditionalFormatting sqref="T161 R161 E161 L161 P161 V161">
    <cfRule type="expression" dxfId="457" priority="439">
      <formula>OR($A161="Pipe",$A161="Component",$A161="Volume")</formula>
    </cfRule>
  </conditionalFormatting>
  <conditionalFormatting sqref="K161 B161:D161">
    <cfRule type="expression" dxfId="456" priority="437">
      <formula>OR($A161="Pipe",$A161="Component",$A161="Volume")</formula>
    </cfRule>
  </conditionalFormatting>
  <conditionalFormatting sqref="U161:V161 A161:F161 O161:P161 J161:L161">
    <cfRule type="expression" dxfId="455" priority="436">
      <formula>$A161="Pipe"</formula>
    </cfRule>
  </conditionalFormatting>
  <conditionalFormatting sqref="Q161:T161">
    <cfRule type="expression" dxfId="454" priority="435">
      <formula>OR($A161="Volume",$A161="Pipe")</formula>
    </cfRule>
  </conditionalFormatting>
  <conditionalFormatting sqref="A161:F161 O161:V161 J161:L161">
    <cfRule type="expression" dxfId="453" priority="434">
      <formula>$A161="Component"</formula>
    </cfRule>
  </conditionalFormatting>
  <conditionalFormatting sqref="U161:V161 A161:F161 O161:P161 J161:L161">
    <cfRule type="expression" dxfId="452" priority="433">
      <formula>$A161="Volume"</formula>
    </cfRule>
  </conditionalFormatting>
  <conditionalFormatting sqref="J161:L161">
    <cfRule type="cellIs" dxfId="451" priority="432" operator="notEqual">
      <formula>0</formula>
    </cfRule>
  </conditionalFormatting>
  <conditionalFormatting sqref="F161">
    <cfRule type="expression" dxfId="450" priority="440">
      <formula>OR($A161="Pipe",$A161="Component",$A161="Volume")</formula>
    </cfRule>
  </conditionalFormatting>
  <conditionalFormatting sqref="M161">
    <cfRule type="expression" dxfId="449" priority="430">
      <formula>OR($A161="Pipe",$A161="Component",$A161="Volume")</formula>
    </cfRule>
  </conditionalFormatting>
  <conditionalFormatting sqref="N161">
    <cfRule type="expression" dxfId="448" priority="431">
      <formula>OR($A161="Pipe",$A161="Component",$A161="Volume")</formula>
    </cfRule>
  </conditionalFormatting>
  <conditionalFormatting sqref="M161:N161">
    <cfRule type="expression" dxfId="447" priority="429">
      <formula>$A161="Pipe"</formula>
    </cfRule>
  </conditionalFormatting>
  <conditionalFormatting sqref="M161:N161">
    <cfRule type="expression" dxfId="446" priority="428">
      <formula>$A161="Component"</formula>
    </cfRule>
  </conditionalFormatting>
  <conditionalFormatting sqref="M161:N161">
    <cfRule type="expression" dxfId="445" priority="427">
      <formula>$A161="Volume"</formula>
    </cfRule>
  </conditionalFormatting>
  <conditionalFormatting sqref="I161">
    <cfRule type="expression" dxfId="444" priority="426">
      <formula>OR($A161="Pipe",$A161="Component",$A161="Volume")</formula>
    </cfRule>
  </conditionalFormatting>
  <conditionalFormatting sqref="H161">
    <cfRule type="expression" dxfId="443" priority="425">
      <formula>OR($A161="Pipe",$A161="Component",$A161="Volume")</formula>
    </cfRule>
  </conditionalFormatting>
  <conditionalFormatting sqref="H161:I161">
    <cfRule type="expression" dxfId="442" priority="424">
      <formula>$A161="Pipe"</formula>
    </cfRule>
  </conditionalFormatting>
  <conditionalFormatting sqref="H161:I161">
    <cfRule type="expression" dxfId="441" priority="423">
      <formula>$A161="Component"</formula>
    </cfRule>
  </conditionalFormatting>
  <conditionalFormatting sqref="H161:I161">
    <cfRule type="expression" dxfId="440" priority="422">
      <formula>$A161="Volume"</formula>
    </cfRule>
  </conditionalFormatting>
  <conditionalFormatting sqref="G161">
    <cfRule type="expression" dxfId="439" priority="421">
      <formula>OR($A161="Pipe",$A161="Component",$A161="Volume")</formula>
    </cfRule>
  </conditionalFormatting>
  <conditionalFormatting sqref="G161">
    <cfRule type="expression" dxfId="438" priority="420">
      <formula>$A161="Pipe"</formula>
    </cfRule>
  </conditionalFormatting>
  <conditionalFormatting sqref="G161">
    <cfRule type="expression" dxfId="437" priority="419">
      <formula>$A161="Component"</formula>
    </cfRule>
  </conditionalFormatting>
  <conditionalFormatting sqref="G161">
    <cfRule type="expression" dxfId="436" priority="418">
      <formula>$A161="Volume"</formula>
    </cfRule>
  </conditionalFormatting>
  <conditionalFormatting sqref="O163 A163 U163 J163 S163 Q163">
    <cfRule type="expression" dxfId="435" priority="415">
      <formula>OR($A163="Pipe",$A163="Component",$A163="Volume")</formula>
    </cfRule>
  </conditionalFormatting>
  <conditionalFormatting sqref="V163 P163 L163 I163 E163 R163 T163">
    <cfRule type="expression" dxfId="434" priority="416">
      <formula>OR($A163="Pipe",$A163="Component",$A163="Volume")</formula>
    </cfRule>
  </conditionalFormatting>
  <conditionalFormatting sqref="B163:D163 K163 H163">
    <cfRule type="expression" dxfId="433" priority="414">
      <formula>OR($A163="Pipe",$A163="Component",$A163="Volume")</formula>
    </cfRule>
  </conditionalFormatting>
  <conditionalFormatting sqref="U163:V163 A163:F163 H163:L163 O163:P163">
    <cfRule type="expression" dxfId="432" priority="413">
      <formula>$A163="Pipe"</formula>
    </cfRule>
  </conditionalFormatting>
  <conditionalFormatting sqref="Q163:T163">
    <cfRule type="expression" dxfId="431" priority="412">
      <formula>OR($A163="Volume",$A163="Pipe")</formula>
    </cfRule>
  </conditionalFormatting>
  <conditionalFormatting sqref="A163:F163 H163:L163 O163:V163">
    <cfRule type="expression" dxfId="430" priority="411">
      <formula>$A163="Component"</formula>
    </cfRule>
  </conditionalFormatting>
  <conditionalFormatting sqref="U163:V163 A163:F163 H163:L163 O163:P163">
    <cfRule type="expression" dxfId="429" priority="410">
      <formula>$A163="Volume"</formula>
    </cfRule>
  </conditionalFormatting>
  <conditionalFormatting sqref="J163:L163">
    <cfRule type="cellIs" dxfId="428" priority="409" operator="notEqual">
      <formula>0</formula>
    </cfRule>
  </conditionalFormatting>
  <conditionalFormatting sqref="F163">
    <cfRule type="expression" dxfId="427" priority="417">
      <formula>OR($A163="Pipe",$A163="Component",$A163="Volume")</formula>
    </cfRule>
  </conditionalFormatting>
  <conditionalFormatting sqref="M163">
    <cfRule type="expression" dxfId="426" priority="407">
      <formula>OR($A163="Pipe",$A163="Component",$A163="Volume")</formula>
    </cfRule>
  </conditionalFormatting>
  <conditionalFormatting sqref="N163">
    <cfRule type="expression" dxfId="425" priority="408">
      <formula>OR($A163="Pipe",$A163="Component",$A163="Volume")</formula>
    </cfRule>
  </conditionalFormatting>
  <conditionalFormatting sqref="M163:N163">
    <cfRule type="expression" dxfId="424" priority="406">
      <formula>$A163="Pipe"</formula>
    </cfRule>
  </conditionalFormatting>
  <conditionalFormatting sqref="M163:N163">
    <cfRule type="expression" dxfId="423" priority="405">
      <formula>$A163="Component"</formula>
    </cfRule>
  </conditionalFormatting>
  <conditionalFormatting sqref="M163:N163">
    <cfRule type="expression" dxfId="422" priority="404">
      <formula>$A163="Volume"</formula>
    </cfRule>
  </conditionalFormatting>
  <conditionalFormatting sqref="G163">
    <cfRule type="expression" dxfId="421" priority="403">
      <formula>OR($A163="Pipe",$A163="Component",$A163="Volume")</formula>
    </cfRule>
  </conditionalFormatting>
  <conditionalFormatting sqref="G163">
    <cfRule type="expression" dxfId="420" priority="402">
      <formula>$A163="Pipe"</formula>
    </cfRule>
  </conditionalFormatting>
  <conditionalFormatting sqref="G163">
    <cfRule type="expression" dxfId="419" priority="401">
      <formula>$A163="Component"</formula>
    </cfRule>
  </conditionalFormatting>
  <conditionalFormatting sqref="G163">
    <cfRule type="expression" dxfId="418" priority="400">
      <formula>$A163="Volume"</formula>
    </cfRule>
  </conditionalFormatting>
  <conditionalFormatting sqref="O140 A140 U140 J140 S140 Q140">
    <cfRule type="expression" dxfId="417" priority="397">
      <formula>OR($A140="Pipe",$A140="Component",$A140="Volume")</formula>
    </cfRule>
  </conditionalFormatting>
  <conditionalFormatting sqref="V140 P140 L140 I140 E140 R140 T140">
    <cfRule type="expression" dxfId="416" priority="398">
      <formula>OR($A140="Pipe",$A140="Component",$A140="Volume")</formula>
    </cfRule>
  </conditionalFormatting>
  <conditionalFormatting sqref="B140:D140 K140 G140:H140">
    <cfRule type="expression" dxfId="415" priority="396">
      <formula>OR($A140="Pipe",$A140="Component",$A140="Volume")</formula>
    </cfRule>
  </conditionalFormatting>
  <conditionalFormatting sqref="U140:V140 A140:L140 O140:P140">
    <cfRule type="expression" dxfId="414" priority="395">
      <formula>$A140="Pipe"</formula>
    </cfRule>
  </conditionalFormatting>
  <conditionalFormatting sqref="Q140:T140">
    <cfRule type="expression" dxfId="413" priority="394">
      <formula>OR($A140="Volume",$A140="Pipe")</formula>
    </cfRule>
  </conditionalFormatting>
  <conditionalFormatting sqref="A140:L140 O140:V140">
    <cfRule type="expression" dxfId="412" priority="393">
      <formula>$A140="Component"</formula>
    </cfRule>
  </conditionalFormatting>
  <conditionalFormatting sqref="U140:V140 A140:L140 O140:P140">
    <cfRule type="expression" dxfId="411" priority="392">
      <formula>$A140="Volume"</formula>
    </cfRule>
  </conditionalFormatting>
  <conditionalFormatting sqref="J140:L140">
    <cfRule type="cellIs" dxfId="410" priority="391" operator="notEqual">
      <formula>0</formula>
    </cfRule>
  </conditionalFormatting>
  <conditionalFormatting sqref="F140">
    <cfRule type="expression" dxfId="409" priority="399">
      <formula>OR($A140="Pipe",$A140="Component",$A140="Volume")</formula>
    </cfRule>
  </conditionalFormatting>
  <conditionalFormatting sqref="M140">
    <cfRule type="expression" dxfId="408" priority="389">
      <formula>OR($A140="Pipe",$A140="Component",$A140="Volume")</formula>
    </cfRule>
  </conditionalFormatting>
  <conditionalFormatting sqref="N140">
    <cfRule type="expression" dxfId="407" priority="390">
      <formula>OR($A140="Pipe",$A140="Component",$A140="Volume")</formula>
    </cfRule>
  </conditionalFormatting>
  <conditionalFormatting sqref="M140:N140">
    <cfRule type="expression" dxfId="406" priority="388">
      <formula>$A140="Pipe"</formula>
    </cfRule>
  </conditionalFormatting>
  <conditionalFormatting sqref="M140:N140">
    <cfRule type="expression" dxfId="405" priority="387">
      <formula>$A140="Component"</formula>
    </cfRule>
  </conditionalFormatting>
  <conditionalFormatting sqref="M140:N140">
    <cfRule type="expression" dxfId="404" priority="386">
      <formula>$A140="Volume"</formula>
    </cfRule>
  </conditionalFormatting>
  <conditionalFormatting sqref="Q169 S169 M169 J169 U169 A169 O169">
    <cfRule type="expression" dxfId="403" priority="383">
      <formula>OR($A169="Pipe",$A169="Component",$A169="Volume")</formula>
    </cfRule>
  </conditionalFormatting>
  <conditionalFormatting sqref="T169 R169 N169 E169 I169 L169 P169 V169">
    <cfRule type="expression" dxfId="402" priority="384">
      <formula>OR($A169="Pipe",$A169="Component",$A169="Volume")</formula>
    </cfRule>
  </conditionalFormatting>
  <conditionalFormatting sqref="G169:H169 K169 B169:D169">
    <cfRule type="expression" dxfId="401" priority="382">
      <formula>OR($A169="Pipe",$A169="Component",$A169="Volume")</formula>
    </cfRule>
  </conditionalFormatting>
  <conditionalFormatting sqref="A169:P169 U169:V169">
    <cfRule type="expression" dxfId="400" priority="381">
      <formula>$A169="Pipe"</formula>
    </cfRule>
  </conditionalFormatting>
  <conditionalFormatting sqref="Q169:T169">
    <cfRule type="expression" dxfId="399" priority="380">
      <formula>OR($A169="Volume",$A169="Pipe")</formula>
    </cfRule>
  </conditionalFormatting>
  <conditionalFormatting sqref="A169:V169">
    <cfRule type="expression" dxfId="398" priority="379">
      <formula>$A169="Component"</formula>
    </cfRule>
  </conditionalFormatting>
  <conditionalFormatting sqref="A169:P169 U169:V169">
    <cfRule type="expression" dxfId="397" priority="378">
      <formula>$A169="Volume"</formula>
    </cfRule>
  </conditionalFormatting>
  <conditionalFormatting sqref="J169:L169">
    <cfRule type="cellIs" dxfId="396" priority="377" operator="notEqual">
      <formula>0</formula>
    </cfRule>
  </conditionalFormatting>
  <conditionalFormatting sqref="F169">
    <cfRule type="expression" dxfId="395" priority="385">
      <formula>OR($A169="Pipe",$A169="Component",$A169="Volume")</formula>
    </cfRule>
  </conditionalFormatting>
  <conditionalFormatting sqref="O170 A170 U170 J170 S170 Q170">
    <cfRule type="expression" dxfId="394" priority="374">
      <formula>OR($A170="Pipe",$A170="Component",$A170="Volume")</formula>
    </cfRule>
  </conditionalFormatting>
  <conditionalFormatting sqref="V170 P170 L170 I170 E170 R170 T170">
    <cfRule type="expression" dxfId="393" priority="375">
      <formula>OR($A170="Pipe",$A170="Component",$A170="Volume")</formula>
    </cfRule>
  </conditionalFormatting>
  <conditionalFormatting sqref="B170:D170 K170 H170">
    <cfRule type="expression" dxfId="392" priority="373">
      <formula>OR($A170="Pipe",$A170="Component",$A170="Volume")</formula>
    </cfRule>
  </conditionalFormatting>
  <conditionalFormatting sqref="U170:V170 A170:F170 H170:L170 O170:P170">
    <cfRule type="expression" dxfId="391" priority="372">
      <formula>$A170="Pipe"</formula>
    </cfRule>
  </conditionalFormatting>
  <conditionalFormatting sqref="Q170:T170">
    <cfRule type="expression" dxfId="390" priority="371">
      <formula>OR($A170="Volume",$A170="Pipe")</formula>
    </cfRule>
  </conditionalFormatting>
  <conditionalFormatting sqref="A170:F170 H170:L170 O170:V170">
    <cfRule type="expression" dxfId="389" priority="370">
      <formula>$A170="Component"</formula>
    </cfRule>
  </conditionalFormatting>
  <conditionalFormatting sqref="U170:V170 A170:F170 H170:L170 O170:P170">
    <cfRule type="expression" dxfId="388" priority="369">
      <formula>$A170="Volume"</formula>
    </cfRule>
  </conditionalFormatting>
  <conditionalFormatting sqref="J170:L170">
    <cfRule type="cellIs" dxfId="387" priority="368" operator="notEqual">
      <formula>0</formula>
    </cfRule>
  </conditionalFormatting>
  <conditionalFormatting sqref="F170">
    <cfRule type="expression" dxfId="386" priority="376">
      <formula>OR($A170="Pipe",$A170="Component",$A170="Volume")</formula>
    </cfRule>
  </conditionalFormatting>
  <conditionalFormatting sqref="G170">
    <cfRule type="expression" dxfId="385" priority="367">
      <formula>OR($A170="Pipe",$A170="Component",$A170="Volume")</formula>
    </cfRule>
  </conditionalFormatting>
  <conditionalFormatting sqref="G170">
    <cfRule type="expression" dxfId="384" priority="366">
      <formula>$A170="Pipe"</formula>
    </cfRule>
  </conditionalFormatting>
  <conditionalFormatting sqref="G170">
    <cfRule type="expression" dxfId="383" priority="365">
      <formula>$A170="Component"</formula>
    </cfRule>
  </conditionalFormatting>
  <conditionalFormatting sqref="G170">
    <cfRule type="expression" dxfId="382" priority="364">
      <formula>$A170="Volume"</formula>
    </cfRule>
  </conditionalFormatting>
  <conditionalFormatting sqref="M170">
    <cfRule type="expression" dxfId="381" priority="362">
      <formula>OR($A170="Pipe",$A170="Component",$A170="Volume")</formula>
    </cfRule>
  </conditionalFormatting>
  <conditionalFormatting sqref="N170">
    <cfRule type="expression" dxfId="380" priority="363">
      <formula>OR($A170="Pipe",$A170="Component",$A170="Volume")</formula>
    </cfRule>
  </conditionalFormatting>
  <conditionalFormatting sqref="M170:N170">
    <cfRule type="expression" dxfId="379" priority="361">
      <formula>$A170="Pipe"</formula>
    </cfRule>
  </conditionalFormatting>
  <conditionalFormatting sqref="M170:N170">
    <cfRule type="expression" dxfId="378" priority="360">
      <formula>$A170="Component"</formula>
    </cfRule>
  </conditionalFormatting>
  <conditionalFormatting sqref="M170:N170">
    <cfRule type="expression" dxfId="377" priority="359">
      <formula>$A170="Volume"</formula>
    </cfRule>
  </conditionalFormatting>
  <conditionalFormatting sqref="O171 A171 U171 J171 S171 Q171">
    <cfRule type="expression" dxfId="376" priority="356">
      <formula>OR($A171="Pipe",$A171="Component",$A171="Volume")</formula>
    </cfRule>
  </conditionalFormatting>
  <conditionalFormatting sqref="V171 P171 L171 I171 E171 R171 T171">
    <cfRule type="expression" dxfId="375" priority="357">
      <formula>OR($A171="Pipe",$A171="Component",$A171="Volume")</formula>
    </cfRule>
  </conditionalFormatting>
  <conditionalFormatting sqref="B171:D171 K171 H171">
    <cfRule type="expression" dxfId="374" priority="355">
      <formula>OR($A171="Pipe",$A171="Component",$A171="Volume")</formula>
    </cfRule>
  </conditionalFormatting>
  <conditionalFormatting sqref="U171:V171 A171:F171 H171:L171 O171:P171">
    <cfRule type="expression" dxfId="373" priority="354">
      <formula>$A171="Pipe"</formula>
    </cfRule>
  </conditionalFormatting>
  <conditionalFormatting sqref="Q171:T171">
    <cfRule type="expression" dxfId="372" priority="353">
      <formula>OR($A171="Volume",$A171="Pipe")</formula>
    </cfRule>
  </conditionalFormatting>
  <conditionalFormatting sqref="A171:F171 H171:L171 O171:V171">
    <cfRule type="expression" dxfId="371" priority="352">
      <formula>$A171="Component"</formula>
    </cfRule>
  </conditionalFormatting>
  <conditionalFormatting sqref="U171:V171 A171:F171 H171:L171 O171:P171">
    <cfRule type="expression" dxfId="370" priority="351">
      <formula>$A171="Volume"</formula>
    </cfRule>
  </conditionalFormatting>
  <conditionalFormatting sqref="J171:L171">
    <cfRule type="cellIs" dxfId="369" priority="350" operator="notEqual">
      <formula>0</formula>
    </cfRule>
  </conditionalFormatting>
  <conditionalFormatting sqref="F171">
    <cfRule type="expression" dxfId="368" priority="358">
      <formula>OR($A171="Pipe",$A171="Component",$A171="Volume")</formula>
    </cfRule>
  </conditionalFormatting>
  <conditionalFormatting sqref="G171">
    <cfRule type="expression" dxfId="367" priority="349">
      <formula>OR($A171="Pipe",$A171="Component",$A171="Volume")</formula>
    </cfRule>
  </conditionalFormatting>
  <conditionalFormatting sqref="G171">
    <cfRule type="expression" dxfId="366" priority="348">
      <formula>$A171="Pipe"</formula>
    </cfRule>
  </conditionalFormatting>
  <conditionalFormatting sqref="G171">
    <cfRule type="expression" dxfId="365" priority="347">
      <formula>$A171="Component"</formula>
    </cfRule>
  </conditionalFormatting>
  <conditionalFormatting sqref="G171">
    <cfRule type="expression" dxfId="364" priority="346">
      <formula>$A171="Volume"</formula>
    </cfRule>
  </conditionalFormatting>
  <conditionalFormatting sqref="M171">
    <cfRule type="expression" dxfId="363" priority="344">
      <formula>OR($A171="Pipe",$A171="Component",$A171="Volume")</formula>
    </cfRule>
  </conditionalFormatting>
  <conditionalFormatting sqref="N171">
    <cfRule type="expression" dxfId="362" priority="345">
      <formula>OR($A171="Pipe",$A171="Component",$A171="Volume")</formula>
    </cfRule>
  </conditionalFormatting>
  <conditionalFormatting sqref="M171:N171">
    <cfRule type="expression" dxfId="361" priority="343">
      <formula>$A171="Pipe"</formula>
    </cfRule>
  </conditionalFormatting>
  <conditionalFormatting sqref="M171:N171">
    <cfRule type="expression" dxfId="360" priority="342">
      <formula>$A171="Component"</formula>
    </cfRule>
  </conditionalFormatting>
  <conditionalFormatting sqref="M171:N171">
    <cfRule type="expression" dxfId="359" priority="341">
      <formula>$A171="Volume"</formula>
    </cfRule>
  </conditionalFormatting>
  <conditionalFormatting sqref="O172 A172 U172 J172 S172 Q172">
    <cfRule type="expression" dxfId="358" priority="338">
      <formula>OR($A172="Pipe",$A172="Component",$A172="Volume")</formula>
    </cfRule>
  </conditionalFormatting>
  <conditionalFormatting sqref="V172 P172 L172 I172 E172 R172 T172">
    <cfRule type="expression" dxfId="357" priority="339">
      <formula>OR($A172="Pipe",$A172="Component",$A172="Volume")</formula>
    </cfRule>
  </conditionalFormatting>
  <conditionalFormatting sqref="B172:D172 K172 H172">
    <cfRule type="expression" dxfId="356" priority="337">
      <formula>OR($A172="Pipe",$A172="Component",$A172="Volume")</formula>
    </cfRule>
  </conditionalFormatting>
  <conditionalFormatting sqref="U172:V172 A172:F172 H172:L172 O172:P172">
    <cfRule type="expression" dxfId="355" priority="336">
      <formula>$A172="Pipe"</formula>
    </cfRule>
  </conditionalFormatting>
  <conditionalFormatting sqref="Q172:T172">
    <cfRule type="expression" dxfId="354" priority="335">
      <formula>OR($A172="Volume",$A172="Pipe")</formula>
    </cfRule>
  </conditionalFormatting>
  <conditionalFormatting sqref="A172:F172 H172:L172 O172:V172">
    <cfRule type="expression" dxfId="353" priority="334">
      <formula>$A172="Component"</formula>
    </cfRule>
  </conditionalFormatting>
  <conditionalFormatting sqref="U172:V172 A172:F172 H172:L172 O172:P172">
    <cfRule type="expression" dxfId="352" priority="333">
      <formula>$A172="Volume"</formula>
    </cfRule>
  </conditionalFormatting>
  <conditionalFormatting sqref="J172:L172">
    <cfRule type="cellIs" dxfId="351" priority="332" operator="notEqual">
      <formula>0</formula>
    </cfRule>
  </conditionalFormatting>
  <conditionalFormatting sqref="F172">
    <cfRule type="expression" dxfId="350" priority="340">
      <formula>OR($A172="Pipe",$A172="Component",$A172="Volume")</formula>
    </cfRule>
  </conditionalFormatting>
  <conditionalFormatting sqref="G172">
    <cfRule type="expression" dxfId="349" priority="331">
      <formula>OR($A172="Pipe",$A172="Component",$A172="Volume")</formula>
    </cfRule>
  </conditionalFormatting>
  <conditionalFormatting sqref="G172">
    <cfRule type="expression" dxfId="348" priority="330">
      <formula>$A172="Pipe"</formula>
    </cfRule>
  </conditionalFormatting>
  <conditionalFormatting sqref="G172">
    <cfRule type="expression" dxfId="347" priority="329">
      <formula>$A172="Component"</formula>
    </cfRule>
  </conditionalFormatting>
  <conditionalFormatting sqref="G172">
    <cfRule type="expression" dxfId="346" priority="328">
      <formula>$A172="Volume"</formula>
    </cfRule>
  </conditionalFormatting>
  <conditionalFormatting sqref="M172">
    <cfRule type="expression" dxfId="345" priority="326">
      <formula>OR($A172="Pipe",$A172="Component",$A172="Volume")</formula>
    </cfRule>
  </conditionalFormatting>
  <conditionalFormatting sqref="N172">
    <cfRule type="expression" dxfId="344" priority="327">
      <formula>OR($A172="Pipe",$A172="Component",$A172="Volume")</formula>
    </cfRule>
  </conditionalFormatting>
  <conditionalFormatting sqref="M172:N172">
    <cfRule type="expression" dxfId="343" priority="325">
      <formula>$A172="Pipe"</formula>
    </cfRule>
  </conditionalFormatting>
  <conditionalFormatting sqref="M172:N172">
    <cfRule type="expression" dxfId="342" priority="324">
      <formula>$A172="Component"</formula>
    </cfRule>
  </conditionalFormatting>
  <conditionalFormatting sqref="M172:N172">
    <cfRule type="expression" dxfId="341" priority="323">
      <formula>$A172="Volume"</formula>
    </cfRule>
  </conditionalFormatting>
  <conditionalFormatting sqref="O168 A168 U168 J168 S168 Q168">
    <cfRule type="expression" dxfId="340" priority="320">
      <formula>OR($A168="Pipe",$A168="Component",$A168="Volume")</formula>
    </cfRule>
  </conditionalFormatting>
  <conditionalFormatting sqref="V168 P168 L168 I168 E168 R168 T168">
    <cfRule type="expression" dxfId="339" priority="321">
      <formula>OR($A168="Pipe",$A168="Component",$A168="Volume")</formula>
    </cfRule>
  </conditionalFormatting>
  <conditionalFormatting sqref="B168:D168 K168 G168:H168">
    <cfRule type="expression" dxfId="338" priority="319">
      <formula>OR($A168="Pipe",$A168="Component",$A168="Volume")</formula>
    </cfRule>
  </conditionalFormatting>
  <conditionalFormatting sqref="U168:V168 A168:L168 O168:P168">
    <cfRule type="expression" dxfId="337" priority="318">
      <formula>$A168="Pipe"</formula>
    </cfRule>
  </conditionalFormatting>
  <conditionalFormatting sqref="Q168:T168">
    <cfRule type="expression" dxfId="336" priority="317">
      <formula>OR($A168="Volume",$A168="Pipe")</formula>
    </cfRule>
  </conditionalFormatting>
  <conditionalFormatting sqref="A168:L168 O168:V168">
    <cfRule type="expression" dxfId="335" priority="316">
      <formula>$A168="Component"</formula>
    </cfRule>
  </conditionalFormatting>
  <conditionalFormatting sqref="U168:V168 A168:L168 O168:P168">
    <cfRule type="expression" dxfId="334" priority="315">
      <formula>$A168="Volume"</formula>
    </cfRule>
  </conditionalFormatting>
  <conditionalFormatting sqref="J168:L168">
    <cfRule type="cellIs" dxfId="333" priority="314" operator="notEqual">
      <formula>0</formula>
    </cfRule>
  </conditionalFormatting>
  <conditionalFormatting sqref="F168">
    <cfRule type="expression" dxfId="332" priority="322">
      <formula>OR($A168="Pipe",$A168="Component",$A168="Volume")</formula>
    </cfRule>
  </conditionalFormatting>
  <conditionalFormatting sqref="M168">
    <cfRule type="expression" dxfId="331" priority="312">
      <formula>OR($A168="Pipe",$A168="Component",$A168="Volume")</formula>
    </cfRule>
  </conditionalFormatting>
  <conditionalFormatting sqref="N168">
    <cfRule type="expression" dxfId="330" priority="313">
      <formula>OR($A168="Pipe",$A168="Component",$A168="Volume")</formula>
    </cfRule>
  </conditionalFormatting>
  <conditionalFormatting sqref="M168:N168">
    <cfRule type="expression" dxfId="329" priority="311">
      <formula>$A168="Pipe"</formula>
    </cfRule>
  </conditionalFormatting>
  <conditionalFormatting sqref="M168:N168">
    <cfRule type="expression" dxfId="328" priority="310">
      <formula>$A168="Component"</formula>
    </cfRule>
  </conditionalFormatting>
  <conditionalFormatting sqref="M168:N168">
    <cfRule type="expression" dxfId="327" priority="309">
      <formula>$A168="Volume"</formula>
    </cfRule>
  </conditionalFormatting>
  <conditionalFormatting sqref="O173 A173 U173 J173 S173 Q173">
    <cfRule type="expression" dxfId="326" priority="306">
      <formula>OR($A173="Pipe",$A173="Component",$A173="Volume")</formula>
    </cfRule>
  </conditionalFormatting>
  <conditionalFormatting sqref="V173 P173 L173 I173 E173 R173 T173">
    <cfRule type="expression" dxfId="325" priority="307">
      <formula>OR($A173="Pipe",$A173="Component",$A173="Volume")</formula>
    </cfRule>
  </conditionalFormatting>
  <conditionalFormatting sqref="B173:D173 K173 H173">
    <cfRule type="expression" dxfId="324" priority="305">
      <formula>OR($A173="Pipe",$A173="Component",$A173="Volume")</formula>
    </cfRule>
  </conditionalFormatting>
  <conditionalFormatting sqref="U173:V173 A173:F173 H173:L173 O173:P173">
    <cfRule type="expression" dxfId="323" priority="304">
      <formula>$A173="Pipe"</formula>
    </cfRule>
  </conditionalFormatting>
  <conditionalFormatting sqref="Q173:T173">
    <cfRule type="expression" dxfId="322" priority="303">
      <formula>OR($A173="Volume",$A173="Pipe")</formula>
    </cfRule>
  </conditionalFormatting>
  <conditionalFormatting sqref="A173:F173 H173:L173 O173:V173">
    <cfRule type="expression" dxfId="321" priority="302">
      <formula>$A173="Component"</formula>
    </cfRule>
  </conditionalFormatting>
  <conditionalFormatting sqref="U173:V173 A173:F173 H173:L173 O173:P173">
    <cfRule type="expression" dxfId="320" priority="301">
      <formula>$A173="Volume"</formula>
    </cfRule>
  </conditionalFormatting>
  <conditionalFormatting sqref="J173:L173">
    <cfRule type="cellIs" dxfId="319" priority="300" operator="notEqual">
      <formula>0</formula>
    </cfRule>
  </conditionalFormatting>
  <conditionalFormatting sqref="F173">
    <cfRule type="expression" dxfId="318" priority="308">
      <formula>OR($A173="Pipe",$A173="Component",$A173="Volume")</formula>
    </cfRule>
  </conditionalFormatting>
  <conditionalFormatting sqref="G173">
    <cfRule type="expression" dxfId="317" priority="299">
      <formula>OR($A173="Pipe",$A173="Component",$A173="Volume")</formula>
    </cfRule>
  </conditionalFormatting>
  <conditionalFormatting sqref="G173">
    <cfRule type="expression" dxfId="316" priority="298">
      <formula>$A173="Pipe"</formula>
    </cfRule>
  </conditionalFormatting>
  <conditionalFormatting sqref="G173">
    <cfRule type="expression" dxfId="315" priority="297">
      <formula>$A173="Component"</formula>
    </cfRule>
  </conditionalFormatting>
  <conditionalFormatting sqref="G173">
    <cfRule type="expression" dxfId="314" priority="296">
      <formula>$A173="Volume"</formula>
    </cfRule>
  </conditionalFormatting>
  <conditionalFormatting sqref="M173">
    <cfRule type="expression" dxfId="313" priority="294">
      <formula>OR($A173="Pipe",$A173="Component",$A173="Volume")</formula>
    </cfRule>
  </conditionalFormatting>
  <conditionalFormatting sqref="N173">
    <cfRule type="expression" dxfId="312" priority="295">
      <formula>OR($A173="Pipe",$A173="Component",$A173="Volume")</formula>
    </cfRule>
  </conditionalFormatting>
  <conditionalFormatting sqref="M173:N173">
    <cfRule type="expression" dxfId="311" priority="293">
      <formula>$A173="Pipe"</formula>
    </cfRule>
  </conditionalFormatting>
  <conditionalFormatting sqref="M173:N173">
    <cfRule type="expression" dxfId="310" priority="292">
      <formula>$A173="Component"</formula>
    </cfRule>
  </conditionalFormatting>
  <conditionalFormatting sqref="M173:N173">
    <cfRule type="expression" dxfId="309" priority="291">
      <formula>$A173="Volume"</formula>
    </cfRule>
  </conditionalFormatting>
  <conditionalFormatting sqref="O174 A174 U174 J174 S174 Q174">
    <cfRule type="expression" dxfId="308" priority="288">
      <formula>OR($A174="Pipe",$A174="Component",$A174="Volume")</formula>
    </cfRule>
  </conditionalFormatting>
  <conditionalFormatting sqref="V174 P174 L174 I174 E174 R174 T174">
    <cfRule type="expression" dxfId="307" priority="289">
      <formula>OR($A174="Pipe",$A174="Component",$A174="Volume")</formula>
    </cfRule>
  </conditionalFormatting>
  <conditionalFormatting sqref="B174:D174 K174 H174">
    <cfRule type="expression" dxfId="306" priority="287">
      <formula>OR($A174="Pipe",$A174="Component",$A174="Volume")</formula>
    </cfRule>
  </conditionalFormatting>
  <conditionalFormatting sqref="U174:V174 A174:F174 H174:L174 O174:P174">
    <cfRule type="expression" dxfId="305" priority="286">
      <formula>$A174="Pipe"</formula>
    </cfRule>
  </conditionalFormatting>
  <conditionalFormatting sqref="Q174:T174">
    <cfRule type="expression" dxfId="304" priority="285">
      <formula>OR($A174="Volume",$A174="Pipe")</formula>
    </cfRule>
  </conditionalFormatting>
  <conditionalFormatting sqref="A174:F174 H174:L174 O174:V174">
    <cfRule type="expression" dxfId="303" priority="284">
      <formula>$A174="Component"</formula>
    </cfRule>
  </conditionalFormatting>
  <conditionalFormatting sqref="U174:V174 A174:F174 H174:L174 O174:P174">
    <cfRule type="expression" dxfId="302" priority="283">
      <formula>$A174="Volume"</formula>
    </cfRule>
  </conditionalFormatting>
  <conditionalFormatting sqref="J174:L174">
    <cfRule type="cellIs" dxfId="301" priority="282" operator="notEqual">
      <formula>0</formula>
    </cfRule>
  </conditionalFormatting>
  <conditionalFormatting sqref="F174">
    <cfRule type="expression" dxfId="300" priority="290">
      <formula>OR($A174="Pipe",$A174="Component",$A174="Volume")</formula>
    </cfRule>
  </conditionalFormatting>
  <conditionalFormatting sqref="G174">
    <cfRule type="expression" dxfId="299" priority="281">
      <formula>OR($A174="Pipe",$A174="Component",$A174="Volume")</formula>
    </cfRule>
  </conditionalFormatting>
  <conditionalFormatting sqref="G174">
    <cfRule type="expression" dxfId="298" priority="280">
      <formula>$A174="Pipe"</formula>
    </cfRule>
  </conditionalFormatting>
  <conditionalFormatting sqref="G174">
    <cfRule type="expression" dxfId="297" priority="279">
      <formula>$A174="Component"</formula>
    </cfRule>
  </conditionalFormatting>
  <conditionalFormatting sqref="G174">
    <cfRule type="expression" dxfId="296" priority="278">
      <formula>$A174="Volume"</formula>
    </cfRule>
  </conditionalFormatting>
  <conditionalFormatting sqref="M174">
    <cfRule type="expression" dxfId="295" priority="276">
      <formula>OR($A174="Pipe",$A174="Component",$A174="Volume")</formula>
    </cfRule>
  </conditionalFormatting>
  <conditionalFormatting sqref="N174">
    <cfRule type="expression" dxfId="294" priority="277">
      <formula>OR($A174="Pipe",$A174="Component",$A174="Volume")</formula>
    </cfRule>
  </conditionalFormatting>
  <conditionalFormatting sqref="M174:N174">
    <cfRule type="expression" dxfId="293" priority="275">
      <formula>$A174="Pipe"</formula>
    </cfRule>
  </conditionalFormatting>
  <conditionalFormatting sqref="M174:N174">
    <cfRule type="expression" dxfId="292" priority="274">
      <formula>$A174="Component"</formula>
    </cfRule>
  </conditionalFormatting>
  <conditionalFormatting sqref="M174:N174">
    <cfRule type="expression" dxfId="291" priority="273">
      <formula>$A174="Volume"</formula>
    </cfRule>
  </conditionalFormatting>
  <conditionalFormatting sqref="O175 A175 U175 J175 S175 Q175">
    <cfRule type="expression" dxfId="290" priority="270">
      <formula>OR($A175="Pipe",$A175="Component",$A175="Volume")</formula>
    </cfRule>
  </conditionalFormatting>
  <conditionalFormatting sqref="V175 P175 L175 I175 E175 R175 T175">
    <cfRule type="expression" dxfId="289" priority="271">
      <formula>OR($A175="Pipe",$A175="Component",$A175="Volume")</formula>
    </cfRule>
  </conditionalFormatting>
  <conditionalFormatting sqref="B175:D175 K175 H175">
    <cfRule type="expression" dxfId="288" priority="269">
      <formula>OR($A175="Pipe",$A175="Component",$A175="Volume")</formula>
    </cfRule>
  </conditionalFormatting>
  <conditionalFormatting sqref="U175:V175 A175:F175 H175:L175 O175:P175">
    <cfRule type="expression" dxfId="287" priority="268">
      <formula>$A175="Pipe"</formula>
    </cfRule>
  </conditionalFormatting>
  <conditionalFormatting sqref="Q175:T175">
    <cfRule type="expression" dxfId="286" priority="267">
      <formula>OR($A175="Volume",$A175="Pipe")</formula>
    </cfRule>
  </conditionalFormatting>
  <conditionalFormatting sqref="A175:F175 H175:L175 O175:V175">
    <cfRule type="expression" dxfId="285" priority="266">
      <formula>$A175="Component"</formula>
    </cfRule>
  </conditionalFormatting>
  <conditionalFormatting sqref="U175:V175 A175:F175 H175:L175 O175:P175">
    <cfRule type="expression" dxfId="284" priority="265">
      <formula>$A175="Volume"</formula>
    </cfRule>
  </conditionalFormatting>
  <conditionalFormatting sqref="J175:L175">
    <cfRule type="cellIs" dxfId="283" priority="264" operator="notEqual">
      <formula>0</formula>
    </cfRule>
  </conditionalFormatting>
  <conditionalFormatting sqref="F175">
    <cfRule type="expression" dxfId="282" priority="272">
      <formula>OR($A175="Pipe",$A175="Component",$A175="Volume")</formula>
    </cfRule>
  </conditionalFormatting>
  <conditionalFormatting sqref="G175">
    <cfRule type="expression" dxfId="281" priority="263">
      <formula>OR($A175="Pipe",$A175="Component",$A175="Volume")</formula>
    </cfRule>
  </conditionalFormatting>
  <conditionalFormatting sqref="G175">
    <cfRule type="expression" dxfId="280" priority="262">
      <formula>$A175="Pipe"</formula>
    </cfRule>
  </conditionalFormatting>
  <conditionalFormatting sqref="G175">
    <cfRule type="expression" dxfId="279" priority="261">
      <formula>$A175="Component"</formula>
    </cfRule>
  </conditionalFormatting>
  <conditionalFormatting sqref="G175">
    <cfRule type="expression" dxfId="278" priority="260">
      <formula>$A175="Volume"</formula>
    </cfRule>
  </conditionalFormatting>
  <conditionalFormatting sqref="M175">
    <cfRule type="expression" dxfId="277" priority="258">
      <formula>OR($A175="Pipe",$A175="Component",$A175="Volume")</formula>
    </cfRule>
  </conditionalFormatting>
  <conditionalFormatting sqref="N175">
    <cfRule type="expression" dxfId="276" priority="259">
      <formula>OR($A175="Pipe",$A175="Component",$A175="Volume")</formula>
    </cfRule>
  </conditionalFormatting>
  <conditionalFormatting sqref="M175:N175">
    <cfRule type="expression" dxfId="275" priority="257">
      <formula>$A175="Pipe"</formula>
    </cfRule>
  </conditionalFormatting>
  <conditionalFormatting sqref="M175:N175">
    <cfRule type="expression" dxfId="274" priority="256">
      <formula>$A175="Component"</formula>
    </cfRule>
  </conditionalFormatting>
  <conditionalFormatting sqref="M175:N175">
    <cfRule type="expression" dxfId="273" priority="255">
      <formula>$A175="Volume"</formula>
    </cfRule>
  </conditionalFormatting>
  <conditionalFormatting sqref="O176 A176 U176 J176 S176 Q176">
    <cfRule type="expression" dxfId="272" priority="252">
      <formula>OR($A176="Pipe",$A176="Component",$A176="Volume")</formula>
    </cfRule>
  </conditionalFormatting>
  <conditionalFormatting sqref="V176 P176 L176 I176 E176 R176 T176">
    <cfRule type="expression" dxfId="271" priority="253">
      <formula>OR($A176="Pipe",$A176="Component",$A176="Volume")</formula>
    </cfRule>
  </conditionalFormatting>
  <conditionalFormatting sqref="B176:D176 K176 H176">
    <cfRule type="expression" dxfId="270" priority="251">
      <formula>OR($A176="Pipe",$A176="Component",$A176="Volume")</formula>
    </cfRule>
  </conditionalFormatting>
  <conditionalFormatting sqref="U176:V176 A176:F176 H176:L176 O176:P176">
    <cfRule type="expression" dxfId="269" priority="250">
      <formula>$A176="Pipe"</formula>
    </cfRule>
  </conditionalFormatting>
  <conditionalFormatting sqref="Q176:T176">
    <cfRule type="expression" dxfId="268" priority="249">
      <formula>OR($A176="Volume",$A176="Pipe")</formula>
    </cfRule>
  </conditionalFormatting>
  <conditionalFormatting sqref="A176:F176 H176:L176 O176:V176">
    <cfRule type="expression" dxfId="267" priority="248">
      <formula>$A176="Component"</formula>
    </cfRule>
  </conditionalFormatting>
  <conditionalFormatting sqref="U176:V176 A176:F176 H176:L176 O176:P176">
    <cfRule type="expression" dxfId="266" priority="247">
      <formula>$A176="Volume"</formula>
    </cfRule>
  </conditionalFormatting>
  <conditionalFormatting sqref="J176:L176">
    <cfRule type="cellIs" dxfId="265" priority="246" operator="notEqual">
      <formula>0</formula>
    </cfRule>
  </conditionalFormatting>
  <conditionalFormatting sqref="F176">
    <cfRule type="expression" dxfId="264" priority="254">
      <formula>OR($A176="Pipe",$A176="Component",$A176="Volume")</formula>
    </cfRule>
  </conditionalFormatting>
  <conditionalFormatting sqref="M176">
    <cfRule type="expression" dxfId="263" priority="244">
      <formula>OR($A176="Pipe",$A176="Component",$A176="Volume")</formula>
    </cfRule>
  </conditionalFormatting>
  <conditionalFormatting sqref="N176">
    <cfRule type="expression" dxfId="262" priority="245">
      <formula>OR($A176="Pipe",$A176="Component",$A176="Volume")</formula>
    </cfRule>
  </conditionalFormatting>
  <conditionalFormatting sqref="M176:N176">
    <cfRule type="expression" dxfId="261" priority="243">
      <formula>$A176="Pipe"</formula>
    </cfRule>
  </conditionalFormatting>
  <conditionalFormatting sqref="M176:N176">
    <cfRule type="expression" dxfId="260" priority="242">
      <formula>$A176="Component"</formula>
    </cfRule>
  </conditionalFormatting>
  <conditionalFormatting sqref="M176:N176">
    <cfRule type="expression" dxfId="259" priority="241">
      <formula>$A176="Volume"</formula>
    </cfRule>
  </conditionalFormatting>
  <conditionalFormatting sqref="G176">
    <cfRule type="expression" dxfId="258" priority="240">
      <formula>OR($A176="Pipe",$A176="Component",$A176="Volume")</formula>
    </cfRule>
  </conditionalFormatting>
  <conditionalFormatting sqref="G176">
    <cfRule type="expression" dxfId="257" priority="239">
      <formula>$A176="Pipe"</formula>
    </cfRule>
  </conditionalFormatting>
  <conditionalFormatting sqref="G176">
    <cfRule type="expression" dxfId="256" priority="238">
      <formula>$A176="Component"</formula>
    </cfRule>
  </conditionalFormatting>
  <conditionalFormatting sqref="G176">
    <cfRule type="expression" dxfId="255" priority="237">
      <formula>$A176="Volume"</formula>
    </cfRule>
  </conditionalFormatting>
  <conditionalFormatting sqref="A50:P114">
    <cfRule type="expression" dxfId="254" priority="226">
      <formula>$A50="Pipe"</formula>
    </cfRule>
  </conditionalFormatting>
  <conditionalFormatting sqref="T50:V114">
    <cfRule type="expression" dxfId="253" priority="225">
      <formula>$A50="Pipe"</formula>
    </cfRule>
  </conditionalFormatting>
  <conditionalFormatting sqref="A50:P114">
    <cfRule type="expression" dxfId="252" priority="224">
      <formula>$A50="Volume"</formula>
    </cfRule>
  </conditionalFormatting>
  <conditionalFormatting sqref="T50:V114">
    <cfRule type="expression" dxfId="251" priority="223">
      <formula>$A50="Volume"</formula>
    </cfRule>
  </conditionalFormatting>
  <conditionalFormatting sqref="A50:V114">
    <cfRule type="expression" dxfId="250" priority="222">
      <formula>$A50="Component"</formula>
    </cfRule>
  </conditionalFormatting>
  <conditionalFormatting sqref="Q50:T114">
    <cfRule type="expression" dxfId="249" priority="221">
      <formula>OR($A50="Pipe",$A50="Volume")</formula>
    </cfRule>
  </conditionalFormatting>
  <conditionalFormatting sqref="B50:D114">
    <cfRule type="expression" dxfId="248" priority="220">
      <formula>OR($A50="Component",$A50="Pipe",$A50="Volume")</formula>
    </cfRule>
  </conditionalFormatting>
  <conditionalFormatting sqref="F50:F114">
    <cfRule type="expression" dxfId="247" priority="219">
      <formula>OR($A50="Component",$A50="Pipe",$A50="Volume")</formula>
    </cfRule>
  </conditionalFormatting>
  <conditionalFormatting sqref="H50:H114">
    <cfRule type="expression" dxfId="246" priority="218">
      <formula>OR($A50="Component",$A50="Pipe",$A50="Volume")</formula>
    </cfRule>
  </conditionalFormatting>
  <conditionalFormatting sqref="K50:K114">
    <cfRule type="expression" dxfId="245" priority="217">
      <formula>OR($A50="Component",$A50="Pipe",$A50="Volume")</formula>
    </cfRule>
  </conditionalFormatting>
  <conditionalFormatting sqref="A50:A114">
    <cfRule type="expression" dxfId="244" priority="216">
      <formula>OR($A50="Component",$A50="Pipe",$A50="Volume")</formula>
    </cfRule>
  </conditionalFormatting>
  <conditionalFormatting sqref="G50:G114">
    <cfRule type="expression" dxfId="243" priority="215">
      <formula>OR($A50="Component",$A50="Pipe",$A50="Volume")</formula>
    </cfRule>
  </conditionalFormatting>
  <conditionalFormatting sqref="J50:J114">
    <cfRule type="expression" dxfId="242" priority="214">
      <formula>OR($A50="Component",$A50="Pipe",$A50="Volume")</formula>
    </cfRule>
  </conditionalFormatting>
  <conditionalFormatting sqref="M50:M114">
    <cfRule type="expression" dxfId="241" priority="213">
      <formula>OR($A50="Component",$A50="Pipe",$A50="Volume")</formula>
    </cfRule>
  </conditionalFormatting>
  <conditionalFormatting sqref="O50:O114">
    <cfRule type="expression" dxfId="240" priority="212">
      <formula>OR($A50="Component",$A50="Pipe",$A50="Volume")</formula>
    </cfRule>
  </conditionalFormatting>
  <conditionalFormatting sqref="Q50:Q114">
    <cfRule type="expression" dxfId="239" priority="211">
      <formula>OR($A50="Component",$A50="Pipe",$A50="Volume")</formula>
    </cfRule>
  </conditionalFormatting>
  <conditionalFormatting sqref="S50:S114">
    <cfRule type="expression" dxfId="238" priority="210">
      <formula>OR($A50="Component",$A50="Pipe",$A50="Volume")</formula>
    </cfRule>
  </conditionalFormatting>
  <conditionalFormatting sqref="U50:U114">
    <cfRule type="expression" dxfId="237" priority="209">
      <formula>OR($A50="Component",$A50="Pipe",$A50="Volume")</formula>
    </cfRule>
  </conditionalFormatting>
  <conditionalFormatting sqref="E50:E114">
    <cfRule type="expression" dxfId="236" priority="208">
      <formula>OR($A50="Component",$A50="Pipe",$A50="Volume")</formula>
    </cfRule>
  </conditionalFormatting>
  <conditionalFormatting sqref="I50:I114">
    <cfRule type="expression" dxfId="235" priority="207">
      <formula>OR($A50="Component",$A50="Pipe",$A50="Volume")</formula>
    </cfRule>
  </conditionalFormatting>
  <conditionalFormatting sqref="L50:L114">
    <cfRule type="expression" dxfId="234" priority="206">
      <formula>OR($A50="Component",$A50="Pipe",$A50="Volume")</formula>
    </cfRule>
  </conditionalFormatting>
  <conditionalFormatting sqref="N50:N114">
    <cfRule type="expression" dxfId="233" priority="205">
      <formula>OR($A50="Component",$A50="Pipe",$A50="Volume")</formula>
    </cfRule>
  </conditionalFormatting>
  <conditionalFormatting sqref="P50:P114">
    <cfRule type="expression" dxfId="232" priority="204">
      <formula>OR($A50="Component",$A50="Pipe",$A50="Volume")</formula>
    </cfRule>
  </conditionalFormatting>
  <conditionalFormatting sqref="R50:R114">
    <cfRule type="expression" dxfId="231" priority="203">
      <formula>OR($A50="Component",$A50="Pipe",$A50="Volume")</formula>
    </cfRule>
  </conditionalFormatting>
  <conditionalFormatting sqref="T50:T114">
    <cfRule type="expression" dxfId="230" priority="202">
      <formula>OR($A50="Component",$A50="Pipe",$A50="Volume")</formula>
    </cfRule>
  </conditionalFormatting>
  <conditionalFormatting sqref="V50:V114">
    <cfRule type="expression" dxfId="229" priority="201">
      <formula>OR($A50="Component",$A50="Pipe",$A50="Volume")</formula>
    </cfRule>
  </conditionalFormatting>
  <conditionalFormatting sqref="J50:L114">
    <cfRule type="expression" dxfId="228" priority="200">
      <formula>AND(OR($A50="Pipe",$A50="Volume"),J50&lt;&gt;0)</formula>
    </cfRule>
  </conditionalFormatting>
  <conditionalFormatting sqref="A48:P49">
    <cfRule type="expression" dxfId="112" priority="84">
      <formula>$A48="Pipe"</formula>
    </cfRule>
  </conditionalFormatting>
  <conditionalFormatting sqref="T48:V49">
    <cfRule type="expression" dxfId="111" priority="83">
      <formula>$A48="Pipe"</formula>
    </cfRule>
  </conditionalFormatting>
  <conditionalFormatting sqref="A48:P49">
    <cfRule type="expression" dxfId="110" priority="82">
      <formula>$A48="Volume"</formula>
    </cfRule>
  </conditionalFormatting>
  <conditionalFormatting sqref="T48:V49">
    <cfRule type="expression" dxfId="109" priority="81">
      <formula>$A48="Volume"</formula>
    </cfRule>
  </conditionalFormatting>
  <conditionalFormatting sqref="A48:V49">
    <cfRule type="expression" dxfId="108" priority="80">
      <formula>$A48="Junction"</formula>
    </cfRule>
  </conditionalFormatting>
  <conditionalFormatting sqref="Q48:T49">
    <cfRule type="expression" dxfId="107" priority="79">
      <formula>OR($A48="Pipe",$A48="Volume")</formula>
    </cfRule>
  </conditionalFormatting>
  <conditionalFormatting sqref="J48:L49">
    <cfRule type="expression" dxfId="106" priority="78">
      <formula>AND(OR($A48="Junction",$A48="Pipe",$A48="Volume"),J48&lt;&gt;0)</formula>
    </cfRule>
  </conditionalFormatting>
  <conditionalFormatting sqref="B48:D49">
    <cfRule type="expression" dxfId="105" priority="77">
      <formula>OR($A48="Junction",$A48="Pipe",$A48="Volume")</formula>
    </cfRule>
  </conditionalFormatting>
  <conditionalFormatting sqref="F48:F49">
    <cfRule type="expression" dxfId="104" priority="76">
      <formula>OR($A48="Junction",$A48="Pipe",$A48="Volume")</formula>
    </cfRule>
  </conditionalFormatting>
  <conditionalFormatting sqref="H48:H49">
    <cfRule type="expression" dxfId="103" priority="75">
      <formula>OR($A48="Junction",$A48="Pipe",$A48="Volume")</formula>
    </cfRule>
  </conditionalFormatting>
  <conditionalFormatting sqref="K48:K49">
    <cfRule type="expression" dxfId="102" priority="74">
      <formula>OR($A48="Junction",$A48="Pipe",$A48="Volume")</formula>
    </cfRule>
  </conditionalFormatting>
  <conditionalFormatting sqref="A48:A49">
    <cfRule type="expression" dxfId="101" priority="73">
      <formula>OR($A48="Junction",$A48="Pipe",$A48="Volume")</formula>
    </cfRule>
  </conditionalFormatting>
  <conditionalFormatting sqref="G48:G49">
    <cfRule type="expression" dxfId="100" priority="72">
      <formula>OR($A48="Junction",$A48="Pipe",$A48="Volume")</formula>
    </cfRule>
  </conditionalFormatting>
  <conditionalFormatting sqref="J48:J49">
    <cfRule type="expression" dxfId="99" priority="71">
      <formula>OR($A48="Junction",$A48="Pipe",$A48="Volume")</formula>
    </cfRule>
  </conditionalFormatting>
  <conditionalFormatting sqref="M48:M49">
    <cfRule type="expression" dxfId="98" priority="70">
      <formula>OR($A48="Junction",$A48="Pipe",$A48="Volume")</formula>
    </cfRule>
  </conditionalFormatting>
  <conditionalFormatting sqref="O48:O49">
    <cfRule type="expression" dxfId="97" priority="69">
      <formula>OR($A48="Junction",$A48="Pipe",$A48="Volume")</formula>
    </cfRule>
  </conditionalFormatting>
  <conditionalFormatting sqref="Q48:Q49">
    <cfRule type="expression" dxfId="96" priority="68">
      <formula>OR($A48="Junction",$A48="Pipe",$A48="Volume")</formula>
    </cfRule>
  </conditionalFormatting>
  <conditionalFormatting sqref="S48:S49">
    <cfRule type="expression" dxfId="95" priority="67">
      <formula>OR($A48="Junction",$A48="Pipe",$A48="Volume")</formula>
    </cfRule>
  </conditionalFormatting>
  <conditionalFormatting sqref="U48:U49">
    <cfRule type="expression" dxfId="94" priority="66">
      <formula>OR($A48="Junction",$A48="Pipe",$A48="Volume")</formula>
    </cfRule>
  </conditionalFormatting>
  <conditionalFormatting sqref="E48:E49">
    <cfRule type="expression" dxfId="93" priority="65">
      <formula>OR($A48="Junction",$A48="Pipe",$A48="Volume")</formula>
    </cfRule>
  </conditionalFormatting>
  <conditionalFormatting sqref="I48:I49">
    <cfRule type="expression" dxfId="92" priority="64">
      <formula>OR($A48="Junction",$A48="Pipe",$A48="Volume")</formula>
    </cfRule>
  </conditionalFormatting>
  <conditionalFormatting sqref="L48:L49">
    <cfRule type="expression" dxfId="91" priority="63">
      <formula>OR($A48="Junction",$A48="Pipe",$A48="Volume")</formula>
    </cfRule>
  </conditionalFormatting>
  <conditionalFormatting sqref="N48:N49">
    <cfRule type="expression" dxfId="90" priority="62">
      <formula>OR($A48="Junction",$A48="Pipe",$A48="Volume")</formula>
    </cfRule>
  </conditionalFormatting>
  <conditionalFormatting sqref="P48:P49">
    <cfRule type="expression" dxfId="89" priority="61">
      <formula>OR($A48="Junction",$A48="Pipe",$A48="Volume")</formula>
    </cfRule>
  </conditionalFormatting>
  <conditionalFormatting sqref="R48:R49">
    <cfRule type="expression" dxfId="88" priority="60">
      <formula>OR($A48="Junction",$A48="Pipe",$A48="Volume")</formula>
    </cfRule>
  </conditionalFormatting>
  <conditionalFormatting sqref="T48:T49">
    <cfRule type="expression" dxfId="87" priority="59">
      <formula>OR($A48="Junction",$A48="Pipe",$A48="Volume")</formula>
    </cfRule>
  </conditionalFormatting>
  <conditionalFormatting sqref="V48:V49">
    <cfRule type="expression" dxfId="86" priority="58">
      <formula>OR($A48="Junction",$A48="Pipe",$A48="Volume")</formula>
    </cfRule>
  </conditionalFormatting>
  <conditionalFormatting sqref="A22:P47">
    <cfRule type="expression" dxfId="57" priority="29">
      <formula>$A22="Pipe"</formula>
    </cfRule>
  </conditionalFormatting>
  <conditionalFormatting sqref="T22:V47">
    <cfRule type="expression" dxfId="56" priority="28">
      <formula>$A22="Pipe"</formula>
    </cfRule>
  </conditionalFormatting>
  <conditionalFormatting sqref="A22:P47">
    <cfRule type="expression" dxfId="55" priority="27">
      <formula>$A22="Volume"</formula>
    </cfRule>
  </conditionalFormatting>
  <conditionalFormatting sqref="T22:V47">
    <cfRule type="expression" dxfId="54" priority="26">
      <formula>$A22="Volume"</formula>
    </cfRule>
  </conditionalFormatting>
  <conditionalFormatting sqref="A22:V47">
    <cfRule type="expression" dxfId="53" priority="25">
      <formula>$A22="Junction"</formula>
    </cfRule>
  </conditionalFormatting>
  <conditionalFormatting sqref="Q22:T47">
    <cfRule type="expression" dxfId="52" priority="24">
      <formula>OR($A22="Pipe",$A22="Volume")</formula>
    </cfRule>
  </conditionalFormatting>
  <conditionalFormatting sqref="J22:L47">
    <cfRule type="expression" dxfId="51" priority="23">
      <formula>AND(OR($A22="Junction",$A22="Pipe",$A22="Volume"),J22&lt;&gt;0)</formula>
    </cfRule>
  </conditionalFormatting>
  <conditionalFormatting sqref="R22:R47">
    <cfRule type="expression" dxfId="50" priority="22">
      <formula>AND($A22="Junction",ISNUMBER(R22))</formula>
    </cfRule>
  </conditionalFormatting>
  <conditionalFormatting sqref="T22:T47">
    <cfRule type="expression" dxfId="49" priority="21">
      <formula>AND($A22="Junction",ISNUMBER(T22))</formula>
    </cfRule>
  </conditionalFormatting>
  <conditionalFormatting sqref="B22:D47">
    <cfRule type="expression" dxfId="48" priority="20">
      <formula>OR($A22="Junction",$A22="Pipe",$A22="Volume")</formula>
    </cfRule>
  </conditionalFormatting>
  <conditionalFormatting sqref="F22:F47">
    <cfRule type="expression" dxfId="47" priority="19">
      <formula>OR($A22="Junction",$A22="Pipe",$A22="Volume")</formula>
    </cfRule>
  </conditionalFormatting>
  <conditionalFormatting sqref="H22:H47">
    <cfRule type="expression" dxfId="46" priority="18">
      <formula>OR($A22="Junction",$A22="Pipe",$A22="Volume")</formula>
    </cfRule>
  </conditionalFormatting>
  <conditionalFormatting sqref="K22:K47">
    <cfRule type="expression" dxfId="45" priority="17">
      <formula>OR($A22="Junction",$A22="Pipe",$A22="Volume")</formula>
    </cfRule>
  </conditionalFormatting>
  <conditionalFormatting sqref="A22:A47">
    <cfRule type="expression" dxfId="44" priority="16">
      <formula>OR($A22="Junction",$A22="Pipe",$A22="Volume")</formula>
    </cfRule>
  </conditionalFormatting>
  <conditionalFormatting sqref="G22:G47">
    <cfRule type="expression" dxfId="43" priority="15">
      <formula>OR($A22="Junction",$A22="Pipe",$A22="Volume")</formula>
    </cfRule>
  </conditionalFormatting>
  <conditionalFormatting sqref="J22:J47">
    <cfRule type="expression" dxfId="42" priority="14">
      <formula>OR($A22="Junction",$A22="Pipe",$A22="Volume")</formula>
    </cfRule>
  </conditionalFormatting>
  <conditionalFormatting sqref="M22:M47">
    <cfRule type="expression" dxfId="41" priority="13">
      <formula>OR($A22="Junction",$A22="Pipe",$A22="Volume")</formula>
    </cfRule>
  </conditionalFormatting>
  <conditionalFormatting sqref="O22:O47">
    <cfRule type="expression" dxfId="40" priority="12">
      <formula>OR($A22="Junction",$A22="Pipe",$A22="Volume")</formula>
    </cfRule>
  </conditionalFormatting>
  <conditionalFormatting sqref="Q22:Q47">
    <cfRule type="expression" dxfId="39" priority="11">
      <formula>OR($A22="Junction",$A22="Pipe",$A22="Volume")</formula>
    </cfRule>
  </conditionalFormatting>
  <conditionalFormatting sqref="S22:S47">
    <cfRule type="expression" dxfId="38" priority="10">
      <formula>OR($A22="Junction",$A22="Pipe",$A22="Volume")</formula>
    </cfRule>
  </conditionalFormatting>
  <conditionalFormatting sqref="U22:U47">
    <cfRule type="expression" dxfId="37" priority="9">
      <formula>OR($A22="Junction",$A22="Pipe",$A22="Volume")</formula>
    </cfRule>
  </conditionalFormatting>
  <conditionalFormatting sqref="E22:E47">
    <cfRule type="expression" dxfId="36" priority="8">
      <formula>OR($A22="Junction",$A22="Pipe",$A22="Volume")</formula>
    </cfRule>
  </conditionalFormatting>
  <conditionalFormatting sqref="I22:I47">
    <cfRule type="expression" dxfId="35" priority="7">
      <formula>OR($A22="Junction",$A22="Pipe",$A22="Volume")</formula>
    </cfRule>
  </conditionalFormatting>
  <conditionalFormatting sqref="L22:L47">
    <cfRule type="expression" dxfId="34" priority="6">
      <formula>OR($A22="Junction",$A22="Pipe",$A22="Volume")</formula>
    </cfRule>
  </conditionalFormatting>
  <conditionalFormatting sqref="N22:N47">
    <cfRule type="expression" dxfId="33" priority="5">
      <formula>OR($A22="Junction",$A22="Pipe",$A22="Volume")</formula>
    </cfRule>
  </conditionalFormatting>
  <conditionalFormatting sqref="P22:P47">
    <cfRule type="expression" dxfId="32" priority="4">
      <formula>OR($A22="Junction",$A22="Pipe",$A22="Volume")</formula>
    </cfRule>
  </conditionalFormatting>
  <conditionalFormatting sqref="R22:R47">
    <cfRule type="expression" dxfId="31" priority="3">
      <formula>OR($A22="Junction",$A22="Pipe",$A22="Volume")</formula>
    </cfRule>
  </conditionalFormatting>
  <conditionalFormatting sqref="T22:T47">
    <cfRule type="expression" dxfId="30" priority="2">
      <formula>OR($A22="Junction",$A22="Pipe",$A22="Volume")</formula>
    </cfRule>
  </conditionalFormatting>
  <conditionalFormatting sqref="V22:V47">
    <cfRule type="expression" dxfId="29" priority="1">
      <formula>OR($A22="Junction",$A22="Pipe",$A22="Volume")</formula>
    </cfRule>
  </conditionalFormatting>
  <dataValidations count="2">
    <dataValidation type="list" allowBlank="1" showInputMessage="1" showErrorMessage="1" sqref="D6:G6">
      <mc:AlternateContent xmlns:x12ac="http://schemas.microsoft.com/office/spreadsheetml/2011/1/ac" xmlns:mc="http://schemas.openxmlformats.org/markup-compatibility/2006">
        <mc:Choice Requires="x12ac">
          <x12ac:list>"""C:\Danne\Kodning\XlsPipePlot\XlsPipePlotSource\bin\Debug\XlsPipePlot.exe""",C:\ProgramLocal\XlsPipePlot\XlsPipePlot.exe,"""C:\Users\Danne\Dropbox\Programmering\XlsPipePlot\XlsPipePlot\bin\Debug\XlsPipePlot.exe"""</x12ac:list>
        </mc:Choice>
        <mc:Fallback>
          <formula1>"""C:\Danne\Kodning\XlsPipePlot\XlsPipePlotSource\bin\Debug\XlsPipePlot.exe"",C:\ProgramLocal\XlsPipePlot\XlsPipePlot.exe,""C:\Users\Danne\Dropbox\Programmering\XlsPipePlot\XlsPipePlot\bin\Debug\XlsPipePlot.exe"""</formula1>
        </mc:Fallback>
      </mc:AlternateContent>
    </dataValidation>
    <dataValidation type="list" allowBlank="1" showInputMessage="1" showErrorMessage="1" sqref="D5">
      <formula1>"'-debug,'-verbose,'"</formula1>
    </dataValidation>
  </dataValidations>
  <hyperlinks>
    <hyperlink ref="D8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5" name="Button 1">
              <controlPr defaultSize="0" print="0" autoFill="0" autoPict="0" macro="[0]!AddPipe">
                <anchor>
                  <from>
                    <xdr:col>11</xdr:col>
                    <xdr:colOff>514350</xdr:colOff>
                    <xdr:row>1</xdr:row>
                    <xdr:rowOff>161925</xdr:rowOff>
                  </from>
                  <to>
                    <xdr:col>12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GenerateScadFile">
                <anchor>
                  <from>
                    <xdr:col>6</xdr:col>
                    <xdr:colOff>95250</xdr:colOff>
                    <xdr:row>1</xdr:row>
                    <xdr:rowOff>9525</xdr:rowOff>
                  </from>
                  <to>
                    <xdr:col>8</xdr:col>
                    <xdr:colOff>66675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7" name="Button 3">
              <controlPr defaultSize="0" print="0" autoFill="0" autoPict="0" macro="[0]!AddJunction">
                <anchor>
                  <from>
                    <xdr:col>13</xdr:col>
                    <xdr:colOff>514350</xdr:colOff>
                    <xdr:row>1</xdr:row>
                    <xdr:rowOff>161925</xdr:rowOff>
                  </from>
                  <to>
                    <xdr:col>14</xdr:col>
                    <xdr:colOff>590550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8" name="Button 4">
              <controlPr defaultSize="0" print="0" autoFill="0" autoPict="0" macro="[0]!AddVolume">
                <anchor>
                  <from>
                    <xdr:col>15</xdr:col>
                    <xdr:colOff>266700</xdr:colOff>
                    <xdr:row>1</xdr:row>
                    <xdr:rowOff>114300</xdr:rowOff>
                  </from>
                  <to>
                    <xdr:col>16</xdr:col>
                    <xdr:colOff>342900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5:V49"/>
  <sheetViews>
    <sheetView topLeftCell="A7" zoomScale="85" zoomScaleNormal="85" workbookViewId="0">
      <selection activeCell="A43" sqref="A43"/>
    </sheetView>
  </sheetViews>
  <sheetFormatPr defaultRowHeight="15" x14ac:dyDescent="0.25"/>
  <cols>
    <col min="13" max="13" width="11.5703125" bestFit="1" customWidth="1"/>
  </cols>
  <sheetData>
    <row r="15" spans="1:22" x14ac:dyDescent="0.25">
      <c r="A15">
        <v>1</v>
      </c>
      <c r="B15">
        <f>A15+1</f>
        <v>2</v>
      </c>
      <c r="C15">
        <f t="shared" ref="C15:V15" si="0">B15+1</f>
        <v>3</v>
      </c>
      <c r="D15">
        <f t="shared" si="0"/>
        <v>4</v>
      </c>
      <c r="E15">
        <f t="shared" si="0"/>
        <v>5</v>
      </c>
      <c r="F15">
        <f t="shared" si="0"/>
        <v>6</v>
      </c>
      <c r="G15">
        <f t="shared" si="0"/>
        <v>7</v>
      </c>
      <c r="H15">
        <f t="shared" si="0"/>
        <v>8</v>
      </c>
      <c r="I15">
        <f t="shared" si="0"/>
        <v>9</v>
      </c>
      <c r="J15">
        <f t="shared" si="0"/>
        <v>10</v>
      </c>
      <c r="K15">
        <f t="shared" si="0"/>
        <v>11</v>
      </c>
      <c r="L15">
        <f t="shared" si="0"/>
        <v>12</v>
      </c>
      <c r="M15">
        <f t="shared" si="0"/>
        <v>13</v>
      </c>
      <c r="N15">
        <f t="shared" si="0"/>
        <v>14</v>
      </c>
      <c r="O15">
        <f t="shared" si="0"/>
        <v>15</v>
      </c>
      <c r="P15">
        <f t="shared" si="0"/>
        <v>16</v>
      </c>
      <c r="Q15">
        <f t="shared" si="0"/>
        <v>17</v>
      </c>
      <c r="R15">
        <f t="shared" si="0"/>
        <v>18</v>
      </c>
      <c r="S15">
        <f t="shared" si="0"/>
        <v>19</v>
      </c>
      <c r="T15">
        <f t="shared" si="0"/>
        <v>20</v>
      </c>
      <c r="U15">
        <f t="shared" si="0"/>
        <v>21</v>
      </c>
      <c r="V15">
        <f t="shared" si="0"/>
        <v>22</v>
      </c>
    </row>
    <row r="17" spans="1:22" x14ac:dyDescent="0.25">
      <c r="A17" t="s">
        <v>7</v>
      </c>
      <c r="B17" t="s">
        <v>7</v>
      </c>
      <c r="C17" s="6" t="s">
        <v>7</v>
      </c>
      <c r="D17" t="str">
        <f t="shared" ref="D17" si="1">CONCATENATE("PIPE_",ROW())</f>
        <v>PIPE_17</v>
      </c>
      <c r="F17" s="30">
        <v>1.972</v>
      </c>
      <c r="G17" s="2">
        <v>0</v>
      </c>
      <c r="H17" s="2">
        <f>270+ATAN(1000/1700)*180/PI()</f>
        <v>300.46554491945989</v>
      </c>
      <c r="I17" s="2">
        <v>0</v>
      </c>
      <c r="J17" s="4">
        <v>0</v>
      </c>
      <c r="K17" s="4">
        <v>0</v>
      </c>
      <c r="L17" s="4">
        <v>0</v>
      </c>
      <c r="M17" s="3">
        <v>114.3</v>
      </c>
      <c r="N17" s="3">
        <v>3.05</v>
      </c>
      <c r="O17" s="8">
        <v>1.5</v>
      </c>
      <c r="P17" s="8"/>
      <c r="R17" s="1"/>
      <c r="T17" s="1"/>
      <c r="V17" t="s">
        <v>17</v>
      </c>
    </row>
    <row r="18" spans="1:22" x14ac:dyDescent="0.25">
      <c r="F18" s="6"/>
    </row>
    <row r="19" spans="1:22" x14ac:dyDescent="0.25">
      <c r="F19" s="6"/>
    </row>
    <row r="20" spans="1:22" x14ac:dyDescent="0.25">
      <c r="A20" s="7"/>
      <c r="B20" s="7" t="s">
        <v>70</v>
      </c>
      <c r="C20" s="32" t="s">
        <v>71</v>
      </c>
      <c r="D20" s="7"/>
      <c r="E20" s="7"/>
      <c r="F20" s="33"/>
      <c r="G20" s="34"/>
      <c r="H20" s="34"/>
      <c r="I20" s="34"/>
      <c r="J20" s="31"/>
      <c r="K20" s="31"/>
      <c r="L20" s="31"/>
      <c r="M20" s="35"/>
      <c r="N20" s="35"/>
      <c r="O20" s="7"/>
      <c r="P20" s="7"/>
      <c r="Q20" s="7"/>
      <c r="R20" s="33"/>
      <c r="S20" s="7"/>
      <c r="T20" s="33"/>
      <c r="U20" s="7"/>
      <c r="V20" s="7"/>
    </row>
    <row r="21" spans="1:22" x14ac:dyDescent="0.25">
      <c r="A21" s="7"/>
      <c r="B21" s="7"/>
      <c r="C21" s="32"/>
      <c r="D21" s="7"/>
      <c r="E21" s="7"/>
      <c r="F21" s="33"/>
      <c r="G21" s="34"/>
      <c r="H21" s="34"/>
      <c r="I21" s="34"/>
      <c r="J21" s="31"/>
      <c r="K21" s="31"/>
      <c r="L21" s="31"/>
      <c r="M21" s="35"/>
      <c r="N21" s="35"/>
      <c r="O21" s="7"/>
      <c r="P21" s="7"/>
      <c r="Q21" s="7"/>
      <c r="R21" s="33"/>
      <c r="S21" s="7"/>
      <c r="T21" s="33"/>
      <c r="U21" s="7"/>
      <c r="V21" s="7"/>
    </row>
    <row r="22" spans="1:22" x14ac:dyDescent="0.25">
      <c r="A22" s="7"/>
      <c r="B22" s="7"/>
      <c r="C22" s="32"/>
      <c r="D22" s="7"/>
      <c r="E22" s="7"/>
      <c r="F22" s="33"/>
      <c r="G22" s="34"/>
      <c r="H22" s="34"/>
      <c r="I22" s="34"/>
      <c r="J22" s="31"/>
      <c r="K22" s="31"/>
      <c r="L22" s="31"/>
      <c r="M22" s="35"/>
      <c r="N22" s="35"/>
      <c r="O22" s="7"/>
      <c r="P22" s="7"/>
      <c r="Q22" s="7"/>
      <c r="R22" s="33"/>
      <c r="S22" s="7"/>
      <c r="T22" s="33"/>
      <c r="U22" s="7"/>
      <c r="V22" s="7"/>
    </row>
    <row r="23" spans="1:22" x14ac:dyDescent="0.25">
      <c r="A23" s="7"/>
      <c r="B23" s="7"/>
      <c r="C23" s="32" t="s">
        <v>7</v>
      </c>
      <c r="D23" s="7">
        <v>34</v>
      </c>
      <c r="E23" s="7"/>
      <c r="F23" s="33">
        <v>2</v>
      </c>
      <c r="G23" s="34"/>
      <c r="H23" s="34"/>
      <c r="I23" s="34"/>
      <c r="J23" s="31">
        <v>2</v>
      </c>
      <c r="K23" s="31">
        <v>4</v>
      </c>
      <c r="L23" s="31"/>
      <c r="M23" s="35">
        <v>1200</v>
      </c>
      <c r="N23" s="35">
        <v>2</v>
      </c>
      <c r="O23" s="7"/>
      <c r="P23" s="7"/>
      <c r="Q23" s="7"/>
      <c r="R23" s="33">
        <v>6</v>
      </c>
      <c r="S23" s="7"/>
      <c r="T23" s="33">
        <v>2</v>
      </c>
      <c r="U23" s="7"/>
      <c r="V23" s="7"/>
    </row>
    <row r="24" spans="1:22" x14ac:dyDescent="0.25">
      <c r="A24" s="7" t="s">
        <v>69</v>
      </c>
      <c r="B24" s="7"/>
      <c r="C24" s="32"/>
      <c r="D24" s="7"/>
      <c r="E24" s="7"/>
      <c r="F24" s="33"/>
      <c r="G24" s="34"/>
      <c r="H24" s="34"/>
      <c r="I24" s="34"/>
      <c r="J24" s="31"/>
      <c r="K24" s="31"/>
      <c r="L24" s="31"/>
      <c r="M24" s="35"/>
      <c r="N24" s="35"/>
      <c r="O24" s="7"/>
      <c r="P24" s="7"/>
      <c r="Q24" s="7"/>
      <c r="R24" s="33"/>
      <c r="S24" s="7"/>
      <c r="T24" s="33"/>
      <c r="U24" s="7"/>
      <c r="V24" s="7"/>
    </row>
    <row r="25" spans="1:22" x14ac:dyDescent="0.25">
      <c r="A25" s="7"/>
      <c r="B25" s="7"/>
      <c r="C25" s="32"/>
      <c r="D25" s="7"/>
      <c r="E25" s="7"/>
      <c r="F25" s="33"/>
      <c r="G25" s="34"/>
      <c r="H25" s="34"/>
      <c r="I25" s="34"/>
      <c r="J25" s="31"/>
      <c r="K25" s="31"/>
      <c r="L25" s="31"/>
      <c r="M25" s="35"/>
      <c r="N25" s="35"/>
      <c r="O25" s="7"/>
      <c r="P25" s="7"/>
      <c r="Q25" s="7"/>
      <c r="R25" s="33"/>
      <c r="S25" s="7"/>
      <c r="T25" s="33"/>
      <c r="U25" s="7"/>
      <c r="V25" s="7"/>
    </row>
    <row r="26" spans="1:22" x14ac:dyDescent="0.25">
      <c r="A26" s="7" t="s">
        <v>7</v>
      </c>
      <c r="B26" s="7" t="s">
        <v>7</v>
      </c>
      <c r="C26" s="32" t="s">
        <v>7</v>
      </c>
      <c r="D26" s="7" t="s">
        <v>72</v>
      </c>
      <c r="E26" s="7"/>
      <c r="F26" s="33">
        <v>1.972</v>
      </c>
      <c r="G26" s="34">
        <v>0</v>
      </c>
      <c r="H26" s="34">
        <v>300.46554491945989</v>
      </c>
      <c r="I26" s="34">
        <v>0</v>
      </c>
      <c r="J26" s="31">
        <v>0</v>
      </c>
      <c r="K26" s="31">
        <v>0</v>
      </c>
      <c r="L26" s="31">
        <v>0</v>
      </c>
      <c r="M26" s="35">
        <v>114.3</v>
      </c>
      <c r="N26" s="35">
        <v>3.05</v>
      </c>
      <c r="O26" s="7">
        <v>1.5</v>
      </c>
      <c r="P26" s="7"/>
      <c r="Q26" s="7"/>
      <c r="R26" s="33"/>
      <c r="S26" s="7"/>
      <c r="T26" s="33"/>
      <c r="U26" s="7"/>
      <c r="V26" s="7"/>
    </row>
    <row r="27" spans="1:22" x14ac:dyDescent="0.25">
      <c r="A27" s="7" t="s">
        <v>50</v>
      </c>
      <c r="B27" s="7"/>
      <c r="C27" s="32"/>
      <c r="D27" s="7"/>
      <c r="E27" s="7"/>
      <c r="F27" s="33"/>
      <c r="G27" s="34"/>
      <c r="H27" s="34"/>
      <c r="I27" s="34"/>
      <c r="J27" s="31"/>
      <c r="K27" s="31"/>
      <c r="L27" s="31"/>
      <c r="M27" s="35"/>
      <c r="N27" s="35"/>
      <c r="O27" s="7"/>
      <c r="P27" s="7"/>
      <c r="Q27" s="7"/>
      <c r="R27" s="33"/>
      <c r="S27" s="7"/>
      <c r="T27" s="33"/>
      <c r="U27" s="7"/>
      <c r="V27" s="7"/>
    </row>
    <row r="28" spans="1:22" x14ac:dyDescent="0.25">
      <c r="A28" s="7" t="s">
        <v>51</v>
      </c>
      <c r="B28" s="7"/>
      <c r="C28" s="32"/>
      <c r="D28" s="7"/>
      <c r="E28" s="7"/>
      <c r="F28" s="33"/>
      <c r="G28" s="34"/>
      <c r="H28" s="34"/>
      <c r="I28" s="34"/>
      <c r="J28" s="31"/>
      <c r="K28" s="31"/>
      <c r="L28" s="31"/>
      <c r="M28" s="35"/>
      <c r="N28" s="35"/>
      <c r="O28" s="7"/>
      <c r="P28" s="7"/>
      <c r="Q28" s="7"/>
      <c r="R28" s="33"/>
      <c r="S28" s="7"/>
      <c r="T28" s="33"/>
      <c r="U28" s="7"/>
      <c r="V28" s="7"/>
    </row>
    <row r="29" spans="1:22" x14ac:dyDescent="0.25">
      <c r="A29" s="7"/>
      <c r="B29" s="7"/>
      <c r="C29" s="32"/>
      <c r="D29" s="7"/>
      <c r="E29" s="7"/>
      <c r="F29" s="33"/>
      <c r="G29" s="34"/>
      <c r="H29" s="34"/>
      <c r="I29" s="34"/>
      <c r="J29" s="31"/>
      <c r="K29" s="31"/>
      <c r="L29" s="31"/>
      <c r="M29" s="35"/>
      <c r="N29" s="35"/>
      <c r="O29" s="7"/>
      <c r="P29" s="7"/>
      <c r="Q29" s="7"/>
      <c r="R29" s="33"/>
      <c r="S29" s="7"/>
      <c r="T29" s="33"/>
      <c r="U29" s="7"/>
      <c r="V29" s="7"/>
    </row>
    <row r="30" spans="1:22" x14ac:dyDescent="0.25">
      <c r="A30" s="7" t="s">
        <v>50</v>
      </c>
      <c r="B30" s="7"/>
      <c r="C30" s="32"/>
      <c r="D30" s="7"/>
      <c r="E30" s="7"/>
      <c r="F30" s="33"/>
      <c r="G30" s="34"/>
      <c r="H30" s="34"/>
      <c r="I30" s="34"/>
      <c r="J30" s="31"/>
      <c r="K30" s="31"/>
      <c r="L30" s="31"/>
      <c r="M30" s="35"/>
      <c r="N30" s="35"/>
      <c r="O30" s="7"/>
      <c r="P30" s="7"/>
      <c r="Q30" s="7"/>
      <c r="R30" s="33"/>
      <c r="S30" s="7"/>
      <c r="T30" s="33"/>
      <c r="U30" s="7"/>
      <c r="V30" s="7"/>
    </row>
    <row r="31" spans="1:22" x14ac:dyDescent="0.25">
      <c r="A31" s="7"/>
      <c r="B31" s="7"/>
      <c r="C31" s="32"/>
      <c r="D31" s="7"/>
      <c r="E31" s="7"/>
      <c r="F31" s="33"/>
      <c r="G31" s="34"/>
      <c r="H31" s="34"/>
      <c r="I31" s="34"/>
      <c r="J31" s="31"/>
      <c r="K31" s="31"/>
      <c r="L31" s="31"/>
      <c r="M31" s="35"/>
      <c r="N31" s="35"/>
      <c r="O31" s="7"/>
      <c r="P31" s="7"/>
      <c r="Q31" s="7"/>
      <c r="R31" s="33"/>
      <c r="S31" s="7"/>
      <c r="T31" s="33"/>
      <c r="U31" s="7"/>
      <c r="V31" s="7"/>
    </row>
    <row r="32" spans="1:22" x14ac:dyDescent="0.25">
      <c r="A32" s="7"/>
      <c r="B32" s="7"/>
      <c r="C32" s="32"/>
      <c r="D32" s="7"/>
      <c r="E32" s="7"/>
      <c r="F32" s="33"/>
      <c r="G32" s="34"/>
      <c r="H32" s="34"/>
      <c r="I32" s="34"/>
      <c r="J32" s="31"/>
      <c r="K32" s="31"/>
      <c r="L32" s="31"/>
      <c r="M32" s="35"/>
      <c r="N32" s="35"/>
      <c r="O32" s="7"/>
      <c r="P32" s="7"/>
      <c r="Q32" s="7"/>
      <c r="R32" s="33"/>
      <c r="S32" s="7"/>
      <c r="T32" s="33"/>
      <c r="U32" s="7"/>
      <c r="V32" s="7"/>
    </row>
    <row r="33" spans="1:22" x14ac:dyDescent="0.25">
      <c r="A33" s="7"/>
      <c r="B33" s="7"/>
      <c r="C33" s="32"/>
      <c r="D33" s="7"/>
      <c r="E33" s="7"/>
      <c r="F33" s="33"/>
      <c r="G33" s="34"/>
      <c r="H33" s="34"/>
      <c r="I33" s="34"/>
      <c r="J33" s="31"/>
      <c r="K33" s="31"/>
      <c r="L33" s="31"/>
      <c r="M33" s="35"/>
      <c r="N33" s="35"/>
      <c r="O33" s="7"/>
      <c r="P33" s="7"/>
      <c r="Q33" s="7"/>
      <c r="R33" s="33"/>
      <c r="S33" s="7"/>
      <c r="T33" s="33"/>
      <c r="U33" s="7"/>
      <c r="V33" s="7"/>
    </row>
    <row r="34" spans="1:22" x14ac:dyDescent="0.25">
      <c r="A34" s="7"/>
      <c r="B34" s="7"/>
      <c r="C34" s="32"/>
      <c r="D34" s="7"/>
      <c r="E34" s="7"/>
      <c r="F34" s="33"/>
      <c r="G34" s="34"/>
      <c r="H34" s="34"/>
      <c r="I34" s="34"/>
      <c r="J34" s="31"/>
      <c r="K34" s="31"/>
      <c r="L34" s="31"/>
      <c r="M34" s="35"/>
      <c r="N34" s="35"/>
      <c r="O34" s="7"/>
      <c r="P34" s="7"/>
      <c r="Q34" s="7"/>
      <c r="R34" s="33"/>
      <c r="S34" s="7"/>
      <c r="T34" s="33"/>
      <c r="U34" s="7"/>
      <c r="V34" s="7"/>
    </row>
    <row r="35" spans="1:22" x14ac:dyDescent="0.25">
      <c r="A35" s="7"/>
      <c r="B35" s="7"/>
      <c r="C35" s="32"/>
      <c r="D35" s="7"/>
      <c r="E35" s="7"/>
      <c r="F35" s="33"/>
      <c r="G35" s="34"/>
      <c r="H35" s="34"/>
      <c r="I35" s="34"/>
      <c r="J35" s="31"/>
      <c r="K35" s="31"/>
      <c r="L35" s="31"/>
      <c r="M35" s="35"/>
      <c r="N35" s="35"/>
      <c r="O35" s="7"/>
      <c r="P35" s="7"/>
      <c r="Q35" s="7"/>
      <c r="R35" s="33"/>
      <c r="S35" s="7"/>
      <c r="T35" s="33"/>
      <c r="U35" s="7"/>
      <c r="V35" s="7"/>
    </row>
    <row r="36" spans="1:22" x14ac:dyDescent="0.25">
      <c r="A36" s="7"/>
      <c r="B36" s="7"/>
      <c r="C36" s="7"/>
      <c r="D36" s="7"/>
      <c r="E36" s="7"/>
      <c r="F36" s="33"/>
      <c r="G36" s="34"/>
      <c r="H36" s="34"/>
      <c r="I36" s="34"/>
      <c r="J36" s="31"/>
      <c r="K36" s="31"/>
      <c r="L36" s="31"/>
      <c r="M36" s="35"/>
      <c r="N36" s="35"/>
      <c r="O36" s="7"/>
      <c r="P36" s="7"/>
      <c r="Q36" s="7"/>
      <c r="R36" s="33"/>
      <c r="S36" s="7"/>
      <c r="T36" s="33"/>
      <c r="U36" s="7"/>
      <c r="V36" s="7"/>
    </row>
    <row r="37" spans="1:22" x14ac:dyDescent="0.25">
      <c r="A37" s="7"/>
      <c r="B37" s="7"/>
      <c r="C37" s="7"/>
      <c r="D37" s="7"/>
      <c r="E37" s="7"/>
      <c r="F37" s="33"/>
      <c r="G37" s="34"/>
      <c r="H37" s="34"/>
      <c r="I37" s="34"/>
      <c r="J37" s="31"/>
      <c r="K37" s="31"/>
      <c r="L37" s="31"/>
      <c r="M37" s="35"/>
      <c r="N37" s="35"/>
      <c r="O37" s="7"/>
      <c r="P37" s="7"/>
      <c r="Q37" s="7"/>
      <c r="R37" s="33"/>
      <c r="S37" s="7"/>
      <c r="T37" s="33"/>
      <c r="U37" s="7"/>
      <c r="V37" s="7"/>
    </row>
    <row r="38" spans="1:22" x14ac:dyDescent="0.25">
      <c r="A38" s="7"/>
      <c r="B38" s="7"/>
      <c r="C38" s="7"/>
      <c r="D38" s="7"/>
      <c r="E38" s="7"/>
      <c r="F38" s="33"/>
      <c r="G38" s="34"/>
      <c r="H38" s="34"/>
      <c r="I38" s="34"/>
      <c r="J38" s="31"/>
      <c r="K38" s="31"/>
      <c r="L38" s="31"/>
      <c r="M38" s="35"/>
      <c r="N38" s="35"/>
      <c r="O38" s="7"/>
      <c r="P38" s="7"/>
      <c r="Q38" s="7"/>
      <c r="R38" s="33"/>
      <c r="S38" s="7"/>
      <c r="T38" s="33"/>
      <c r="U38" s="7"/>
      <c r="V38" s="7"/>
    </row>
    <row r="39" spans="1:22" x14ac:dyDescent="0.25">
      <c r="A39" s="7"/>
      <c r="B39" s="7"/>
      <c r="C39" s="7"/>
      <c r="D39" s="7"/>
      <c r="E39" s="7"/>
      <c r="F39" s="33"/>
      <c r="G39" s="34"/>
      <c r="H39" s="34"/>
      <c r="I39" s="34"/>
      <c r="J39" s="31"/>
      <c r="K39" s="31"/>
      <c r="L39" s="31"/>
      <c r="M39" s="35"/>
      <c r="N39" s="35"/>
      <c r="O39" s="7"/>
      <c r="P39" s="7"/>
      <c r="Q39" s="7"/>
      <c r="R39" s="33"/>
      <c r="S39" s="7"/>
      <c r="T39" s="33"/>
      <c r="U39" s="7"/>
      <c r="V39" s="7"/>
    </row>
    <row r="40" spans="1:22" x14ac:dyDescent="0.25">
      <c r="A40" s="7"/>
      <c r="B40" s="7"/>
      <c r="C40" s="7"/>
      <c r="D40" s="7"/>
      <c r="E40" s="7"/>
      <c r="F40" s="33"/>
      <c r="G40" s="34"/>
      <c r="H40" s="34"/>
      <c r="I40" s="34"/>
      <c r="J40" s="31"/>
      <c r="K40" s="31"/>
      <c r="L40" s="31"/>
      <c r="M40" s="35"/>
      <c r="N40" s="35"/>
      <c r="O40" s="7"/>
      <c r="P40" s="7"/>
      <c r="Q40" s="7"/>
      <c r="R40" s="33"/>
      <c r="S40" s="7"/>
      <c r="T40" s="33"/>
      <c r="U40" s="7"/>
      <c r="V40" s="7"/>
    </row>
    <row r="41" spans="1:22" x14ac:dyDescent="0.25">
      <c r="A41" s="7"/>
      <c r="B41" s="7"/>
      <c r="C41" s="7"/>
      <c r="D41" s="7"/>
      <c r="E41" s="7"/>
      <c r="F41" s="33"/>
      <c r="G41" s="34"/>
      <c r="H41" s="34"/>
      <c r="I41" s="34"/>
      <c r="J41" s="31"/>
      <c r="K41" s="31"/>
      <c r="L41" s="31"/>
      <c r="M41" s="35"/>
      <c r="N41" s="35"/>
      <c r="O41" s="7"/>
      <c r="P41" s="7"/>
      <c r="Q41" s="7"/>
      <c r="R41" s="33"/>
      <c r="S41" s="7"/>
      <c r="T41" s="33"/>
      <c r="U41" s="7"/>
      <c r="V41" s="7"/>
    </row>
    <row r="42" spans="1:22" x14ac:dyDescent="0.25">
      <c r="A42" s="7"/>
      <c r="B42" s="7"/>
      <c r="C42" s="7"/>
      <c r="D42" s="7"/>
      <c r="E42" s="7"/>
      <c r="F42" s="33"/>
      <c r="G42" s="34"/>
      <c r="H42" s="34"/>
      <c r="I42" s="34"/>
      <c r="J42" s="31"/>
      <c r="K42" s="31"/>
      <c r="L42" s="31"/>
      <c r="M42" s="35"/>
      <c r="N42" s="35"/>
      <c r="O42" s="7"/>
      <c r="P42" s="7"/>
      <c r="Q42" s="7"/>
      <c r="R42" s="33"/>
      <c r="S42" s="7"/>
      <c r="T42" s="33"/>
      <c r="U42" s="7"/>
      <c r="V42" s="7"/>
    </row>
    <row r="43" spans="1:22" x14ac:dyDescent="0.25">
      <c r="A43" s="7" t="s">
        <v>7</v>
      </c>
      <c r="B43" s="7"/>
      <c r="C43" s="7"/>
      <c r="D43" s="7"/>
      <c r="E43" s="7"/>
      <c r="F43" s="33"/>
      <c r="G43" s="34"/>
      <c r="H43" s="34"/>
      <c r="I43" s="34"/>
      <c r="J43" s="31"/>
      <c r="K43" s="31"/>
      <c r="L43" s="31"/>
      <c r="M43" s="35"/>
      <c r="N43" s="35"/>
      <c r="O43" s="7"/>
      <c r="P43" s="7"/>
      <c r="Q43" s="7"/>
      <c r="R43" s="33"/>
      <c r="S43" s="7"/>
      <c r="T43" s="33"/>
      <c r="U43" s="7"/>
      <c r="V43" s="7"/>
    </row>
    <row r="44" spans="1:22" x14ac:dyDescent="0.25">
      <c r="A44" s="7"/>
      <c r="B44" s="7"/>
      <c r="C44" s="7"/>
      <c r="D44" s="7"/>
      <c r="E44" s="7"/>
      <c r="F44" s="33"/>
      <c r="G44" s="34"/>
      <c r="H44" s="34"/>
      <c r="I44" s="34"/>
      <c r="J44" s="31"/>
      <c r="K44" s="31"/>
      <c r="L44" s="31"/>
      <c r="M44" s="35"/>
      <c r="N44" s="35"/>
      <c r="O44" s="7"/>
      <c r="P44" s="7"/>
      <c r="Q44" s="7"/>
      <c r="R44" s="33"/>
      <c r="S44" s="7"/>
      <c r="T44" s="33"/>
      <c r="U44" s="7"/>
      <c r="V44" s="7"/>
    </row>
    <row r="45" spans="1:22" x14ac:dyDescent="0.25">
      <c r="A45" s="7"/>
      <c r="B45" s="7"/>
      <c r="C45" s="7"/>
      <c r="D45" s="7"/>
      <c r="E45" s="7"/>
      <c r="F45" s="33"/>
      <c r="G45" s="34"/>
      <c r="H45" s="34"/>
      <c r="I45" s="34"/>
      <c r="J45" s="31"/>
      <c r="K45" s="31"/>
      <c r="L45" s="31"/>
      <c r="M45" s="35"/>
      <c r="N45" s="35"/>
      <c r="O45" s="7"/>
      <c r="P45" s="7"/>
      <c r="Q45" s="7"/>
      <c r="R45" s="33"/>
      <c r="S45" s="7"/>
      <c r="T45" s="33"/>
      <c r="U45" s="7"/>
      <c r="V45" s="7"/>
    </row>
    <row r="46" spans="1:22" x14ac:dyDescent="0.25">
      <c r="A46" s="7"/>
      <c r="B46" s="7"/>
      <c r="C46" s="7"/>
      <c r="D46" s="7"/>
      <c r="E46" s="7"/>
      <c r="F46" s="33"/>
      <c r="G46" s="34"/>
      <c r="H46" s="34"/>
      <c r="I46" s="34"/>
      <c r="J46" s="31"/>
      <c r="K46" s="31"/>
      <c r="L46" s="31"/>
      <c r="M46" s="35"/>
      <c r="N46" s="35"/>
      <c r="O46" s="7"/>
      <c r="P46" s="7"/>
      <c r="Q46" s="7"/>
      <c r="R46" s="33"/>
      <c r="S46" s="7"/>
      <c r="T46" s="33"/>
      <c r="U46" s="7"/>
      <c r="V46" s="7"/>
    </row>
    <row r="47" spans="1:22" x14ac:dyDescent="0.25">
      <c r="A47" s="7"/>
      <c r="B47" s="7"/>
      <c r="C47" s="7"/>
      <c r="D47" s="7"/>
      <c r="E47" s="7"/>
      <c r="F47" s="33"/>
      <c r="G47" s="34"/>
      <c r="H47" s="34"/>
      <c r="I47" s="34"/>
      <c r="J47" s="31"/>
      <c r="K47" s="31"/>
      <c r="L47" s="31"/>
      <c r="M47" s="35"/>
      <c r="N47" s="35"/>
      <c r="O47" s="7"/>
      <c r="P47" s="7"/>
      <c r="Q47" s="7"/>
      <c r="R47" s="33"/>
      <c r="S47" s="7"/>
      <c r="T47" s="33"/>
      <c r="U47" s="7"/>
      <c r="V47" s="7"/>
    </row>
    <row r="48" spans="1:22" x14ac:dyDescent="0.25">
      <c r="A48" s="7"/>
      <c r="B48" s="7"/>
      <c r="C48" s="7"/>
      <c r="D48" s="7"/>
      <c r="E48" s="7"/>
      <c r="F48" s="33"/>
      <c r="G48" s="34"/>
      <c r="H48" s="34"/>
      <c r="I48" s="34"/>
      <c r="J48" s="31"/>
      <c r="K48" s="31"/>
      <c r="L48" s="31"/>
      <c r="M48" s="35"/>
      <c r="N48" s="35"/>
      <c r="O48" s="7"/>
      <c r="P48" s="7"/>
      <c r="Q48" s="7"/>
      <c r="R48" s="33"/>
      <c r="S48" s="7"/>
      <c r="T48" s="33"/>
      <c r="U48" s="7"/>
      <c r="V48" s="7"/>
    </row>
    <row r="49" spans="1:22" x14ac:dyDescent="0.25">
      <c r="A49" s="7"/>
      <c r="B49" s="7"/>
      <c r="C49" s="7"/>
      <c r="D49" s="7"/>
      <c r="E49" s="7"/>
      <c r="F49" s="33"/>
      <c r="G49" s="34"/>
      <c r="H49" s="34"/>
      <c r="I49" s="34"/>
      <c r="J49" s="31"/>
      <c r="K49" s="31"/>
      <c r="L49" s="31"/>
      <c r="M49" s="35"/>
      <c r="N49" s="35"/>
      <c r="O49" s="7"/>
      <c r="P49" s="7"/>
      <c r="Q49" s="7"/>
      <c r="R49" s="33"/>
      <c r="S49" s="7"/>
      <c r="T49" s="33"/>
      <c r="U49" s="7"/>
      <c r="V49" s="7"/>
    </row>
  </sheetData>
  <conditionalFormatting sqref="J17 M17 U17 A17 O17 S17 Q17">
    <cfRule type="expression" dxfId="874" priority="613">
      <formula>OR($A17="Pipe",$A17="Component",$A17="Volume")</formula>
    </cfRule>
  </conditionalFormatting>
  <conditionalFormatting sqref="E17 I17 L17 N17 P17 V17 R17">
    <cfRule type="expression" dxfId="873" priority="614">
      <formula>OR($A17="Pipe",$A17="Component",$A17="Volume")</formula>
    </cfRule>
  </conditionalFormatting>
  <conditionalFormatting sqref="G17:H17 K17 B17:D17">
    <cfRule type="expression" dxfId="872" priority="612">
      <formula>OR($A17="Pipe",$A17="Component",$A17="Volume")</formula>
    </cfRule>
  </conditionalFormatting>
  <conditionalFormatting sqref="U17:V17 A17:P17">
    <cfRule type="expression" dxfId="871" priority="611">
      <formula>$A17="Pipe"</formula>
    </cfRule>
  </conditionalFormatting>
  <conditionalFormatting sqref="Q17:S17">
    <cfRule type="expression" dxfId="870" priority="610">
      <formula>OR($A17="Volume",$A17="Pipe")</formula>
    </cfRule>
  </conditionalFormatting>
  <conditionalFormatting sqref="A17:S17 U17:V17">
    <cfRule type="expression" dxfId="869" priority="609">
      <formula>$A17="Component"</formula>
    </cfRule>
  </conditionalFormatting>
  <conditionalFormatting sqref="U17:V17 A17:P17">
    <cfRule type="expression" dxfId="868" priority="608">
      <formula>$A17="Volume"</formula>
    </cfRule>
  </conditionalFormatting>
  <conditionalFormatting sqref="J17:L17">
    <cfRule type="cellIs" dxfId="867" priority="607" operator="notEqual">
      <formula>0</formula>
    </cfRule>
  </conditionalFormatting>
  <conditionalFormatting sqref="F17">
    <cfRule type="expression" dxfId="866" priority="615">
      <formula>OR($A17="Pipe",$A17="Component",$A17="Volume")</formula>
    </cfRule>
  </conditionalFormatting>
  <conditionalFormatting sqref="T17">
    <cfRule type="expression" dxfId="865" priority="606">
      <formula>OR($A17="Pipe",$A17="Component",$A17="Volume")</formula>
    </cfRule>
  </conditionalFormatting>
  <conditionalFormatting sqref="T17">
    <cfRule type="expression" dxfId="864" priority="605">
      <formula>OR($A17="Volume",$A17="Pipe")</formula>
    </cfRule>
  </conditionalFormatting>
  <conditionalFormatting sqref="T17">
    <cfRule type="expression" dxfId="863" priority="604">
      <formula>$A17="Component"</formula>
    </cfRule>
  </conditionalFormatting>
  <conditionalFormatting sqref="A20:P22">
    <cfRule type="expression" dxfId="862" priority="50">
      <formula>$A20="Volume"</formula>
    </cfRule>
    <cfRule type="expression" dxfId="861" priority="52">
      <formula>$A20="Pipe"</formula>
    </cfRule>
  </conditionalFormatting>
  <conditionalFormatting sqref="T20:V22">
    <cfRule type="expression" dxfId="860" priority="49">
      <formula>$A20="Volume"</formula>
    </cfRule>
    <cfRule type="expression" dxfId="859" priority="51">
      <formula>$A20="Pipe"</formula>
    </cfRule>
  </conditionalFormatting>
  <conditionalFormatting sqref="A20:V22">
    <cfRule type="expression" dxfId="858" priority="48">
      <formula>$A20="Component"</formula>
    </cfRule>
  </conditionalFormatting>
  <conditionalFormatting sqref="Q20:T22">
    <cfRule type="expression" dxfId="857" priority="47">
      <formula>OR($A20="Pipe",$A20="Volume")</formula>
    </cfRule>
  </conditionalFormatting>
  <conditionalFormatting sqref="B20:D22">
    <cfRule type="expression" dxfId="856" priority="46">
      <formula>OR($A20="Component",$A20="Pipe",$A20="Volume")</formula>
    </cfRule>
  </conditionalFormatting>
  <conditionalFormatting sqref="F20:F22">
    <cfRule type="expression" dxfId="855" priority="45">
      <formula>OR($A20="Component",$A20="Pipe",$A20="Volume")</formula>
    </cfRule>
  </conditionalFormatting>
  <conditionalFormatting sqref="H20:H22">
    <cfRule type="expression" dxfId="854" priority="44">
      <formula>OR($A20="Component",$A20="Pipe",$A20="Volume")</formula>
    </cfRule>
  </conditionalFormatting>
  <conditionalFormatting sqref="K20:K22">
    <cfRule type="expression" dxfId="853" priority="43">
      <formula>OR($A20="Component",$A20="Pipe",$A20="Volume")</formula>
    </cfRule>
  </conditionalFormatting>
  <conditionalFormatting sqref="A20:A22">
    <cfRule type="expression" dxfId="852" priority="42">
      <formula>OR($A20="Component",$A20="Pipe",$A20="Volume")</formula>
    </cfRule>
  </conditionalFormatting>
  <conditionalFormatting sqref="G20:G22">
    <cfRule type="expression" dxfId="851" priority="41">
      <formula>OR($A20="Component",$A20="Pipe",$A20="Volume")</formula>
    </cfRule>
  </conditionalFormatting>
  <conditionalFormatting sqref="J20:J22">
    <cfRule type="expression" dxfId="850" priority="40">
      <formula>OR($A20="Component",$A20="Pipe",$A20="Volume")</formula>
    </cfRule>
  </conditionalFormatting>
  <conditionalFormatting sqref="M20:M22">
    <cfRule type="expression" dxfId="849" priority="39">
      <formula>OR($A20="Component",$A20="Pipe",$A20="Volume")</formula>
    </cfRule>
  </conditionalFormatting>
  <conditionalFormatting sqref="O20:O22">
    <cfRule type="expression" dxfId="848" priority="38">
      <formula>OR($A20="Component",$A20="Pipe",$A20="Volume")</formula>
    </cfRule>
  </conditionalFormatting>
  <conditionalFormatting sqref="Q20:Q22">
    <cfRule type="expression" dxfId="847" priority="37">
      <formula>OR($A20="Component",$A20="Pipe",$A20="Volume")</formula>
    </cfRule>
  </conditionalFormatting>
  <conditionalFormatting sqref="S20:S22">
    <cfRule type="expression" dxfId="846" priority="36">
      <formula>OR($A20="Component",$A20="Pipe",$A20="Volume")</formula>
    </cfRule>
  </conditionalFormatting>
  <conditionalFormatting sqref="U20:U22">
    <cfRule type="expression" dxfId="845" priority="35">
      <formula>OR($A20="Component",$A20="Pipe",$A20="Volume")</formula>
    </cfRule>
  </conditionalFormatting>
  <conditionalFormatting sqref="E20:E22">
    <cfRule type="expression" dxfId="844" priority="34">
      <formula>OR($A20="Component",$A20="Pipe",$A20="Volume")</formula>
    </cfRule>
  </conditionalFormatting>
  <conditionalFormatting sqref="I20:I22">
    <cfRule type="expression" dxfId="843" priority="33">
      <formula>OR($A20="Component",$A20="Pipe",$A20="Volume")</formula>
    </cfRule>
  </conditionalFormatting>
  <conditionalFormatting sqref="L20:L22">
    <cfRule type="expression" dxfId="842" priority="32">
      <formula>OR($A20="Component",$A20="Pipe",$A20="Volume")</formula>
    </cfRule>
  </conditionalFormatting>
  <conditionalFormatting sqref="N20:N22">
    <cfRule type="expression" dxfId="841" priority="31">
      <formula>OR($A20="Component",$A20="Pipe",$A20="Volume")</formula>
    </cfRule>
  </conditionalFormatting>
  <conditionalFormatting sqref="P20:P22">
    <cfRule type="expression" dxfId="840" priority="30">
      <formula>OR($A20="Component",$A20="Pipe",$A20="Volume")</formula>
    </cfRule>
  </conditionalFormatting>
  <conditionalFormatting sqref="R20:R22">
    <cfRule type="expression" dxfId="839" priority="29">
      <formula>OR($A20="Component",$A20="Pipe",$A20="Volume")</formula>
    </cfRule>
  </conditionalFormatting>
  <conditionalFormatting sqref="T20:T22">
    <cfRule type="expression" dxfId="838" priority="28">
      <formula>OR($A20="Component",$A20="Pipe",$A20="Volume")</formula>
    </cfRule>
  </conditionalFormatting>
  <conditionalFormatting sqref="V20:V22">
    <cfRule type="expression" dxfId="837" priority="27">
      <formula>OR($A20="Component",$A20="Pipe",$A20="Volume")</formula>
    </cfRule>
  </conditionalFormatting>
  <conditionalFormatting sqref="A23:P49">
    <cfRule type="expression" dxfId="836" priority="26">
      <formula>$A23="Pipe"</formula>
    </cfRule>
  </conditionalFormatting>
  <conditionalFormatting sqref="T23:V49">
    <cfRule type="expression" dxfId="835" priority="25">
      <formula>$A23="Pipe"</formula>
    </cfRule>
  </conditionalFormatting>
  <conditionalFormatting sqref="A23:P49">
    <cfRule type="expression" dxfId="834" priority="24">
      <formula>$A23="Volume"</formula>
    </cfRule>
  </conditionalFormatting>
  <conditionalFormatting sqref="T23:V49">
    <cfRule type="expression" dxfId="833" priority="23">
      <formula>$A23="Volume"</formula>
    </cfRule>
  </conditionalFormatting>
  <conditionalFormatting sqref="A23:V49">
    <cfRule type="expression" dxfId="832" priority="22">
      <formula>$A23="Component"</formula>
    </cfRule>
  </conditionalFormatting>
  <conditionalFormatting sqref="Q23:T49">
    <cfRule type="expression" dxfId="831" priority="21">
      <formula>OR($A23="Pipe",$A23="Volume")</formula>
    </cfRule>
  </conditionalFormatting>
  <conditionalFormatting sqref="B23:D49">
    <cfRule type="expression" dxfId="830" priority="20">
      <formula>OR($A23="Component",$A23="Pipe",$A23="Volume")</formula>
    </cfRule>
  </conditionalFormatting>
  <conditionalFormatting sqref="F23:F49">
    <cfRule type="expression" dxfId="829" priority="19">
      <formula>OR($A23="Component",$A23="Pipe",$A23="Volume")</formula>
    </cfRule>
  </conditionalFormatting>
  <conditionalFormatting sqref="H23:H49">
    <cfRule type="expression" dxfId="828" priority="18">
      <formula>OR($A23="Component",$A23="Pipe",$A23="Volume")</formula>
    </cfRule>
  </conditionalFormatting>
  <conditionalFormatting sqref="K23:K49">
    <cfRule type="expression" dxfId="827" priority="17">
      <formula>OR($A23="Component",$A23="Pipe",$A23="Volume")</formula>
    </cfRule>
  </conditionalFormatting>
  <conditionalFormatting sqref="A23:A49">
    <cfRule type="expression" dxfId="826" priority="16">
      <formula>OR($A23="Component",$A23="Pipe",$A23="Volume")</formula>
    </cfRule>
  </conditionalFormatting>
  <conditionalFormatting sqref="G23:G49">
    <cfRule type="expression" dxfId="825" priority="15">
      <formula>OR($A23="Component",$A23="Pipe",$A23="Volume")</formula>
    </cfRule>
  </conditionalFormatting>
  <conditionalFormatting sqref="J23:J49">
    <cfRule type="expression" dxfId="824" priority="14">
      <formula>OR($A23="Component",$A23="Pipe",$A23="Volume")</formula>
    </cfRule>
  </conditionalFormatting>
  <conditionalFormatting sqref="M23:M49">
    <cfRule type="expression" dxfId="823" priority="13">
      <formula>OR($A23="Component",$A23="Pipe",$A23="Volume")</formula>
    </cfRule>
  </conditionalFormatting>
  <conditionalFormatting sqref="O23:O49">
    <cfRule type="expression" dxfId="822" priority="12">
      <formula>OR($A23="Component",$A23="Pipe",$A23="Volume")</formula>
    </cfRule>
  </conditionalFormatting>
  <conditionalFormatting sqref="Q23:Q49">
    <cfRule type="expression" dxfId="821" priority="11">
      <formula>OR($A23="Component",$A23="Pipe",$A23="Volume")</formula>
    </cfRule>
  </conditionalFormatting>
  <conditionalFormatting sqref="S23:S49">
    <cfRule type="expression" dxfId="820" priority="10">
      <formula>OR($A23="Component",$A23="Pipe",$A23="Volume")</formula>
    </cfRule>
  </conditionalFormatting>
  <conditionalFormatting sqref="U23:U49">
    <cfRule type="expression" dxfId="819" priority="9">
      <formula>OR($A23="Component",$A23="Pipe",$A23="Volume")</formula>
    </cfRule>
  </conditionalFormatting>
  <conditionalFormatting sqref="E23:E49">
    <cfRule type="expression" dxfId="818" priority="8">
      <formula>OR($A23="Component",$A23="Pipe",$A23="Volume")</formula>
    </cfRule>
  </conditionalFormatting>
  <conditionalFormatting sqref="I23:I49">
    <cfRule type="expression" dxfId="817" priority="7">
      <formula>OR($A23="Component",$A23="Pipe",$A23="Volume")</formula>
    </cfRule>
  </conditionalFormatting>
  <conditionalFormatting sqref="L23:L49">
    <cfRule type="expression" dxfId="816" priority="6">
      <formula>OR($A23="Component",$A23="Pipe",$A23="Volume")</formula>
    </cfRule>
  </conditionalFormatting>
  <conditionalFormatting sqref="N23:N49">
    <cfRule type="expression" dxfId="815" priority="5">
      <formula>OR($A23="Component",$A23="Pipe",$A23="Volume")</formula>
    </cfRule>
  </conditionalFormatting>
  <conditionalFormatting sqref="P23:P49">
    <cfRule type="expression" dxfId="814" priority="4">
      <formula>OR($A23="Component",$A23="Pipe",$A23="Volume")</formula>
    </cfRule>
  </conditionalFormatting>
  <conditionalFormatting sqref="R23:R49">
    <cfRule type="expression" dxfId="813" priority="3">
      <formula>OR($A23="Component",$A23="Pipe",$A23="Volume")</formula>
    </cfRule>
  </conditionalFormatting>
  <conditionalFormatting sqref="T23:T49">
    <cfRule type="expression" dxfId="812" priority="2">
      <formula>OR($A23="Component",$A23="Pipe",$A23="Volume")</formula>
    </cfRule>
  </conditionalFormatting>
  <conditionalFormatting sqref="V23:V49">
    <cfRule type="expression" dxfId="811" priority="1">
      <formula>OR($A23="Component",$A23="Pipe",$A23="Volume")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4</vt:i4>
      </vt:variant>
    </vt:vector>
  </HeadingPairs>
  <TitlesOfParts>
    <vt:vector size="4" baseType="lpstr">
      <vt:lpstr>System</vt:lpstr>
      <vt:lpstr>System2</vt:lpstr>
      <vt:lpstr>System2 (2)</vt:lpstr>
      <vt:lpstr>Blad1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n/a</cp:lastModifiedBy>
  <dcterms:created xsi:type="dcterms:W3CDTF">2019-07-12T20:23:23Z</dcterms:created>
  <dcterms:modified xsi:type="dcterms:W3CDTF">2019-08-25T21:27:12Z</dcterms:modified>
</cp:coreProperties>
</file>