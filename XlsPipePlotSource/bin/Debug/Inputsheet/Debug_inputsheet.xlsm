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3695"/>
  </bookViews>
  <sheets>
    <sheet name="System" sheetId="4" r:id="rId1"/>
    <sheet name="Blad1" sheetId="5" r:id="rId2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75" i="4" l="1"/>
  <c r="Q167" i="4"/>
  <c r="D174" i="4"/>
  <c r="D173" i="4"/>
  <c r="D172" i="4"/>
  <c r="H171" i="4"/>
  <c r="D171" i="4"/>
  <c r="D170" i="4"/>
  <c r="D169" i="4"/>
  <c r="S167" i="4"/>
  <c r="D167" i="4"/>
  <c r="J139" i="4"/>
  <c r="L139" i="4"/>
  <c r="S139" i="4"/>
  <c r="Q139" i="4"/>
  <c r="D139" i="4"/>
  <c r="F158" i="4"/>
  <c r="D162" i="4"/>
  <c r="S160" i="4" s="1"/>
  <c r="Q160" i="4"/>
  <c r="D160" i="4"/>
  <c r="D158" i="4"/>
  <c r="D156" i="4"/>
  <c r="D157" i="4"/>
  <c r="D155" i="4"/>
  <c r="F153" i="4"/>
  <c r="D153" i="4"/>
  <c r="D152" i="4"/>
  <c r="D154" i="4"/>
  <c r="F151" i="4"/>
  <c r="F150" i="4"/>
  <c r="D150" i="4"/>
  <c r="D151" i="4"/>
  <c r="F149" i="4"/>
  <c r="D149" i="4"/>
  <c r="S147" i="4" s="1"/>
  <c r="Q147" i="4"/>
  <c r="D147" i="4"/>
  <c r="D145" i="4"/>
  <c r="D144" i="4"/>
  <c r="D143" i="4"/>
  <c r="G175" i="4"/>
  <c r="G172" i="4"/>
  <c r="G155" i="4"/>
  <c r="G154" i="4"/>
  <c r="G152" i="4"/>
  <c r="G150" i="4"/>
  <c r="G149" i="4"/>
  <c r="G147" i="4"/>
  <c r="G145" i="4"/>
  <c r="G143" i="4"/>
  <c r="H142" i="4" l="1"/>
  <c r="D142" i="4"/>
  <c r="D141" i="4"/>
  <c r="Q135" i="4"/>
  <c r="F129" i="4"/>
  <c r="D129" i="4"/>
  <c r="S127" i="4" s="1"/>
  <c r="D127" i="4"/>
  <c r="F137" i="4"/>
  <c r="D137" i="4"/>
  <c r="S135" i="4" s="1"/>
  <c r="G133" i="4"/>
  <c r="G132" i="4"/>
  <c r="D132" i="4"/>
  <c r="G131" i="4"/>
  <c r="D131" i="4"/>
  <c r="G130" i="4"/>
  <c r="D130" i="4"/>
  <c r="F89" i="4"/>
  <c r="F81" i="4"/>
  <c r="F73" i="4"/>
  <c r="F42" i="4"/>
  <c r="F38" i="4"/>
  <c r="F34" i="4"/>
  <c r="F69" i="4"/>
  <c r="G142" i="4"/>
  <c r="B15" i="5" l="1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H17" i="5"/>
  <c r="D17" i="5"/>
  <c r="D135" i="4"/>
  <c r="D133" i="4"/>
  <c r="D125" i="4"/>
  <c r="D123" i="4"/>
  <c r="S123" i="4" l="1"/>
  <c r="Q127" i="4"/>
  <c r="D7" i="4"/>
  <c r="B3" i="4"/>
  <c r="B19" i="4" l="1"/>
  <c r="C19" i="4" s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D113" i="4" l="1"/>
  <c r="D118" i="4" l="1"/>
  <c r="S116" i="4" s="1"/>
  <c r="M116" i="4"/>
  <c r="D116" i="4"/>
  <c r="M114" i="4"/>
  <c r="D114" i="4"/>
  <c r="Q116" i="4" s="1"/>
  <c r="F113" i="4"/>
  <c r="M113" i="4"/>
  <c r="F112" i="4"/>
  <c r="M112" i="4"/>
  <c r="D112" i="4"/>
  <c r="M110" i="4"/>
  <c r="D110" i="4"/>
  <c r="F108" i="4"/>
  <c r="M108" i="4"/>
  <c r="D108" i="4"/>
  <c r="Q110" i="4" s="1"/>
  <c r="M107" i="4"/>
  <c r="D107" i="4"/>
  <c r="M106" i="4"/>
  <c r="D106" i="4"/>
  <c r="M105" i="4"/>
  <c r="D105" i="4"/>
  <c r="M104" i="4"/>
  <c r="D104" i="4"/>
  <c r="M103" i="4"/>
  <c r="D103" i="4"/>
  <c r="S101" i="4" s="1"/>
  <c r="M101" i="4"/>
  <c r="D101" i="4"/>
  <c r="D96" i="4"/>
  <c r="D94" i="4"/>
  <c r="Q96" i="4" s="1"/>
  <c r="F93" i="4"/>
  <c r="D93" i="4"/>
  <c r="S91" i="4" s="1"/>
  <c r="D91" i="4"/>
  <c r="D89" i="4"/>
  <c r="S87" i="4" s="1"/>
  <c r="D87" i="4"/>
  <c r="F85" i="4"/>
  <c r="D85" i="4"/>
  <c r="D83" i="4"/>
  <c r="D81" i="4"/>
  <c r="D79" i="4"/>
  <c r="F77" i="4"/>
  <c r="D77" i="4"/>
  <c r="D75" i="4"/>
  <c r="D73" i="4"/>
  <c r="S71" i="4" s="1"/>
  <c r="D71" i="4"/>
  <c r="D69" i="4"/>
  <c r="Q71" i="4" s="1"/>
  <c r="D68" i="4"/>
  <c r="F67" i="4"/>
  <c r="D67" i="4"/>
  <c r="S65" i="4" s="1"/>
  <c r="D65" i="4"/>
  <c r="D63" i="4"/>
  <c r="Q65" i="4" s="1"/>
  <c r="D62" i="4"/>
  <c r="D61" i="4"/>
  <c r="D60" i="4"/>
  <c r="D56" i="4"/>
  <c r="D54" i="4"/>
  <c r="Q56" i="4" s="1"/>
  <c r="G53" i="4"/>
  <c r="F53" i="4"/>
  <c r="D53" i="4"/>
  <c r="D52" i="4"/>
  <c r="D51" i="4"/>
  <c r="D50" i="4"/>
  <c r="H49" i="4"/>
  <c r="D49" i="4"/>
  <c r="F48" i="4"/>
  <c r="D48" i="4"/>
  <c r="D47" i="4"/>
  <c r="S45" i="4" s="1"/>
  <c r="D45" i="4"/>
  <c r="F43" i="4"/>
  <c r="D43" i="4"/>
  <c r="Q45" i="4" s="1"/>
  <c r="D42" i="4"/>
  <c r="S40" i="4" s="1"/>
  <c r="D40" i="4"/>
  <c r="D38" i="4"/>
  <c r="S36" i="4" s="1"/>
  <c r="D36" i="4"/>
  <c r="D34" i="4"/>
  <c r="Q36" i="4" s="1"/>
  <c r="D33" i="4"/>
  <c r="D32" i="4"/>
  <c r="H30" i="4"/>
  <c r="D31" i="4"/>
  <c r="D30" i="4"/>
  <c r="D29" i="4"/>
  <c r="S27" i="4" s="1"/>
  <c r="D27" i="4"/>
  <c r="D25" i="4"/>
  <c r="B13" i="4" s="1"/>
  <c r="Q91" i="4" l="1"/>
  <c r="S79" i="4"/>
  <c r="S56" i="4"/>
  <c r="Q75" i="4"/>
  <c r="Q40" i="4"/>
  <c r="Q87" i="4"/>
  <c r="S83" i="4"/>
  <c r="Q83" i="4"/>
  <c r="Q123" i="4"/>
  <c r="S110" i="4"/>
  <c r="Q79" i="4"/>
  <c r="S75" i="4"/>
  <c r="S96" i="4"/>
  <c r="Q27" i="4"/>
  <c r="Q101" i="4"/>
</calcChain>
</file>

<file path=xl/sharedStrings.xml><?xml version="1.0" encoding="utf-8"?>
<sst xmlns="http://schemas.openxmlformats.org/spreadsheetml/2006/main" count="416" uniqueCount="84">
  <si>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</si>
  <si>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</si>
  <si>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</si>
  <si>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</si>
  <si>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</si>
  <si>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</si>
  <si>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</si>
  <si>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</si>
  <si>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</si>
  <si>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</si>
  <si>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</si>
  <si>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</si>
  <si>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</si>
  <si>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</si>
  <si>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</si>
  <si>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</si>
  <si>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</si>
  <si>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</si>
  <si>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</si>
  <si>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</si>
  <si>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</si>
  <si>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</si>
  <si>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</si>
  <si>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</si>
  <si>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</si>
  <si>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</si>
  <si>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</si>
  <si>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</si>
  <si>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</si>
  <si>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</si>
  <si>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</si>
  <si>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</si>
  <si>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</si>
  <si>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</si>
  <si>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</si>
  <si>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</si>
  <si>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</si>
  <si>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</si>
  <si>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V8128A</t>
  </si>
  <si>
    <t>V8128B</t>
  </si>
  <si>
    <t>LCV115D</t>
  </si>
  <si>
    <t>Towards charging pump 2</t>
  </si>
  <si>
    <t>gh</t>
  </si>
  <si>
    <t>sd Tee avluftning nod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</si>
  <si>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</si>
  <si>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</si>
  <si>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</si>
  <si>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</si>
  <si>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</si>
  <si>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</si>
  <si>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</si>
  <si>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</si>
  <si>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</si>
  <si>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</si>
  <si>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</si>
  <si>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</si>
  <si>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</si>
  <si>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</si>
  <si>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</si>
  <si>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</si>
  <si>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</si>
  <si>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</si>
  <si>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</si>
  <si>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</si>
  <si>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</si>
  <si>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</si>
  <si>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</si>
  <si>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</si>
  <si>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Connects 0.5 m after V8471B</t>
  </si>
  <si>
    <t>Daba</t>
  </si>
  <si>
    <t>2,8,11</t>
  </si>
  <si>
    <t>4,8,11</t>
  </si>
  <si>
    <t>PIPE_17</t>
  </si>
  <si>
    <t>C:\ProgramLocal\XlsPipePlot\XlsPipePlot.exe</t>
  </si>
  <si>
    <t>Tee = 0.646 m</t>
  </si>
  <si>
    <t xml:space="preserve">Tee CS-3=0.378 m in and from CS-19-1=0.834 m </t>
  </si>
  <si>
    <t>Tee CS-4=0.681 m</t>
  </si>
  <si>
    <t>""</t>
  </si>
  <si>
    <t>Tee mot</t>
  </si>
  <si>
    <t>CSTRCH-02</t>
  </si>
  <si>
    <t>TankDefault.scad</t>
  </si>
  <si>
    <t>TankDefault2.scad</t>
  </si>
  <si>
    <t>Towards</t>
  </si>
  <si>
    <t>Debug.scad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</si>
</sst>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\°"/>
    <numFmt numFmtId="165" formatCode="0.000\ \m"/>
    <numFmt numFmtId="166" formatCode="0.00\ \m\m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8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7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" fillId="0" borderId="0" xfId="0" applyNumberFormat="1" applyFont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624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B355"/>
  <sheetViews>
    <sheetView tabSelected="1" zoomScale="85" zoomScaleNormal="85" workbookViewId="0">
      <pane ySplit="4" topLeftCell="A5" activePane="bottomLeft" state="frozenSplit"/>
      <selection pane="bottomLeft" activeCell="B3" sqref="B3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83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t="s">
        <v>77</v>
      </c>
      <c r="O5"/>
      <c r="P5"/>
    </row>
    <row r="6" spans="1:26" x14ac:dyDescent="0.25">
      <c r="A6" s="36" t="s">
        <v>55</v>
      </c>
      <c r="B6" s="36"/>
      <c r="C6" s="36"/>
      <c r="D6" s="37" t="s">
        <v>73</v>
      </c>
      <c r="E6" s="37"/>
      <c r="F6" s="37"/>
      <c r="G6" s="37"/>
      <c r="O6"/>
      <c r="P6"/>
    </row>
    <row r="7" spans="1:26" x14ac:dyDescent="0.25">
      <c r="A7" t="s">
        <v>65</v>
      </c>
      <c r="D7" s="5" t="str">
        <f>HYPERLINK(SUBSTITUTE(D6,"XlsPipePlot.exe","Components\"))</f>
        <v>C:\ProgramLocal\XlsPipePlot\Components\</v>
      </c>
      <c r="O7"/>
      <c r="P7"/>
    </row>
    <row r="8" spans="1:26" x14ac:dyDescent="0.25">
      <c r="A8" s="36" t="s">
        <v>56</v>
      </c>
      <c r="B8" s="36"/>
      <c r="C8" s="36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C22" s="6"/>
      <c r="F22" s="1"/>
      <c r="G22" s="2"/>
      <c r="H22" s="2"/>
      <c r="I22" s="2"/>
      <c r="J22" s="4"/>
      <c r="K22" s="4"/>
      <c r="L22" s="4"/>
      <c r="M22" s="3"/>
      <c r="N22" s="3"/>
      <c r="O22" s="9"/>
      <c r="R22" s="1"/>
      <c r="T22" s="1"/>
    </row>
    <row r="23" spans="1:28" x14ac:dyDescent="0.25">
      <c r="C23" s="6"/>
      <c r="F23" s="1"/>
      <c r="G23" s="2"/>
      <c r="H23" s="2"/>
      <c r="I23" s="2"/>
      <c r="J23" s="4"/>
      <c r="K23" s="4"/>
      <c r="L23" s="4"/>
      <c r="M23" s="3"/>
      <c r="N23" s="3"/>
      <c r="O23" s="9"/>
      <c r="R23" s="1"/>
      <c r="T23" s="1"/>
    </row>
    <row r="24" spans="1:28" x14ac:dyDescent="0.25">
      <c r="A24" t="s">
        <v>28</v>
      </c>
      <c r="B24" t="s">
        <v>34</v>
      </c>
      <c r="C24" s="6"/>
      <c r="F24" s="1"/>
      <c r="G24" s="2"/>
      <c r="H24" s="2"/>
      <c r="I24" s="2"/>
      <c r="J24" s="4"/>
      <c r="K24" s="4"/>
      <c r="L24" s="4"/>
      <c r="M24" s="3"/>
      <c r="N24" s="3"/>
      <c r="O24" s="9"/>
      <c r="R24" s="1"/>
      <c r="T24" s="1"/>
    </row>
    <row r="25" spans="1:28" x14ac:dyDescent="0.25">
      <c r="A25" t="s">
        <v>50</v>
      </c>
      <c r="B25" t="s">
        <v>23</v>
      </c>
      <c r="C25" s="6" t="s">
        <v>24</v>
      </c>
      <c r="D25" t="str">
        <f>CONCATENATE("TANK_",ROW())</f>
        <v>TANK_25</v>
      </c>
      <c r="F25" s="1">
        <v>2</v>
      </c>
      <c r="G25" s="2">
        <v>-90</v>
      </c>
      <c r="H25" s="2">
        <v>0</v>
      </c>
      <c r="I25" s="2">
        <v>0</v>
      </c>
      <c r="J25" s="4">
        <v>0</v>
      </c>
      <c r="K25" s="4">
        <v>0</v>
      </c>
      <c r="L25" s="4">
        <v>0</v>
      </c>
      <c r="M25" s="3">
        <v>1200</v>
      </c>
      <c r="N25" s="3">
        <v>2.02</v>
      </c>
      <c r="Q25" t="s">
        <v>17</v>
      </c>
      <c r="R25" s="1"/>
      <c r="S25" t="s">
        <v>17</v>
      </c>
      <c r="T25" s="1"/>
      <c r="V25" t="s">
        <v>17</v>
      </c>
    </row>
    <row r="26" spans="1:28" x14ac:dyDescent="0.25">
      <c r="C26" s="6"/>
      <c r="F26" s="1"/>
      <c r="G26" s="2"/>
      <c r="H26" s="2"/>
      <c r="I26" s="2"/>
      <c r="J26" s="4"/>
      <c r="K26" s="4"/>
      <c r="L26" s="4"/>
      <c r="M26" s="3"/>
      <c r="N26" s="3"/>
      <c r="R26" s="1"/>
      <c r="T26" s="1"/>
    </row>
    <row r="27" spans="1:28" x14ac:dyDescent="0.25">
      <c r="A27" t="s">
        <v>51</v>
      </c>
      <c r="B27" t="s">
        <v>11</v>
      </c>
      <c r="C27" s="6" t="s">
        <v>22</v>
      </c>
      <c r="D27" t="str">
        <f>CONCATENATE("COMP_",ROW())</f>
        <v>COMP_27</v>
      </c>
      <c r="F27" s="1">
        <v>0</v>
      </c>
      <c r="G27" s="2">
        <v>0</v>
      </c>
      <c r="H27" s="2">
        <v>0</v>
      </c>
      <c r="I27" s="2">
        <v>0</v>
      </c>
      <c r="J27" s="4">
        <v>0</v>
      </c>
      <c r="K27" s="4">
        <v>0</v>
      </c>
      <c r="L27" s="4">
        <v>0</v>
      </c>
      <c r="M27" s="3">
        <v>97.93</v>
      </c>
      <c r="N27" s="3">
        <v>2.02</v>
      </c>
      <c r="Q27" t="str">
        <f ca="1">OFFSET($A$1,ROW()-3,3)</f>
        <v>TANK_25</v>
      </c>
      <c r="R27" s="1" t="s">
        <v>67</v>
      </c>
      <c r="S27" t="str">
        <f ca="1">OFFSET($A$1,ROW()+1,3)</f>
        <v>PIPE_29</v>
      </c>
      <c r="T27" s="1" t="s">
        <v>66</v>
      </c>
    </row>
    <row r="28" spans="1:28" x14ac:dyDescent="0.25">
      <c r="C28" s="6"/>
      <c r="F28" s="1"/>
      <c r="G28" s="2"/>
      <c r="H28" s="2"/>
      <c r="I28" s="2"/>
      <c r="J28" s="4"/>
      <c r="K28" s="4"/>
      <c r="L28" s="4"/>
      <c r="M28" s="3"/>
      <c r="N28" s="3"/>
      <c r="R28" s="1"/>
      <c r="T28" s="1"/>
    </row>
    <row r="29" spans="1:28" x14ac:dyDescent="0.25">
      <c r="A29" t="s">
        <v>7</v>
      </c>
      <c r="B29" t="s">
        <v>7</v>
      </c>
      <c r="C29" s="6" t="s">
        <v>7</v>
      </c>
      <c r="D29" t="str">
        <f t="shared" ref="D29:D34" si="1">CONCATENATE("PIPE_",ROW())</f>
        <v>PIPE_29</v>
      </c>
      <c r="F29" s="1">
        <v>0.5</v>
      </c>
      <c r="G29" s="2">
        <v>-90</v>
      </c>
      <c r="H29" s="2">
        <v>0</v>
      </c>
      <c r="I29" s="2">
        <v>0</v>
      </c>
      <c r="J29" s="4">
        <v>0</v>
      </c>
      <c r="K29" s="4">
        <v>0</v>
      </c>
      <c r="L29" s="4">
        <v>0</v>
      </c>
      <c r="M29" s="3">
        <v>114.3</v>
      </c>
      <c r="N29" s="3">
        <v>3.05</v>
      </c>
      <c r="O29" s="8">
        <v>1.5</v>
      </c>
      <c r="R29" s="1"/>
      <c r="T29" s="1"/>
      <c r="V29" t="s">
        <v>49</v>
      </c>
    </row>
    <row r="30" spans="1:28" x14ac:dyDescent="0.25">
      <c r="A30" t="s">
        <v>7</v>
      </c>
      <c r="B30" t="s">
        <v>7</v>
      </c>
      <c r="C30" s="6" t="s">
        <v>7</v>
      </c>
      <c r="D30" t="str">
        <f t="shared" si="1"/>
        <v>PIPE_30</v>
      </c>
      <c r="F30" s="1">
        <v>1.972</v>
      </c>
      <c r="G30" s="2">
        <v>0</v>
      </c>
      <c r="H30" s="2">
        <f>270+ATAN(1000/1700)*180/PI()</f>
        <v>300.46554491945989</v>
      </c>
      <c r="I30" s="2">
        <v>0</v>
      </c>
      <c r="J30" s="4">
        <v>0</v>
      </c>
      <c r="K30" s="4">
        <v>0</v>
      </c>
      <c r="L30" s="4">
        <v>0</v>
      </c>
      <c r="M30" s="3">
        <v>114.3</v>
      </c>
      <c r="N30" s="3">
        <v>3.05</v>
      </c>
      <c r="O30" s="8">
        <v>1.5</v>
      </c>
      <c r="R30" s="1"/>
      <c r="T30" s="1"/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6" t="s">
        <v>7</v>
      </c>
      <c r="D31" t="str">
        <f t="shared" si="1"/>
        <v>PIPE_31</v>
      </c>
      <c r="F31" s="1">
        <v>1.5</v>
      </c>
      <c r="G31" s="2">
        <v>-90</v>
      </c>
      <c r="H31" s="2">
        <v>0</v>
      </c>
      <c r="I31" s="2">
        <v>0</v>
      </c>
      <c r="J31" s="4">
        <v>0</v>
      </c>
      <c r="K31" s="4">
        <v>0</v>
      </c>
      <c r="L31" s="4">
        <v>0</v>
      </c>
      <c r="M31" s="3">
        <v>114.3</v>
      </c>
      <c r="N31" s="3">
        <v>3.05</v>
      </c>
      <c r="O31" s="8">
        <v>1.5</v>
      </c>
      <c r="R31" s="1"/>
      <c r="T31" s="1"/>
    </row>
    <row r="32" spans="1:28" x14ac:dyDescent="0.25">
      <c r="A32" t="s">
        <v>7</v>
      </c>
      <c r="B32" t="s">
        <v>7</v>
      </c>
      <c r="C32" s="6" t="s">
        <v>7</v>
      </c>
      <c r="D32" t="str">
        <f t="shared" si="1"/>
        <v>PIPE_32</v>
      </c>
      <c r="F32" s="1">
        <v>0.5</v>
      </c>
      <c r="G32" s="2">
        <v>0</v>
      </c>
      <c r="H32" s="2">
        <v>270</v>
      </c>
      <c r="I32" s="2">
        <v>0</v>
      </c>
      <c r="J32" s="4">
        <v>0</v>
      </c>
      <c r="K32" s="4">
        <v>0</v>
      </c>
      <c r="L32" s="4">
        <v>0</v>
      </c>
      <c r="M32" s="3">
        <v>114.3</v>
      </c>
      <c r="N32" s="3">
        <v>3.05</v>
      </c>
      <c r="O32" s="8">
        <v>1.5</v>
      </c>
      <c r="R32" s="1"/>
      <c r="T32" s="1"/>
    </row>
    <row r="33" spans="1:20" x14ac:dyDescent="0.25">
      <c r="A33" t="s">
        <v>7</v>
      </c>
      <c r="B33" t="s">
        <v>7</v>
      </c>
      <c r="C33" s="6" t="s">
        <v>7</v>
      </c>
      <c r="D33" t="str">
        <f t="shared" si="1"/>
        <v>PIPE_33</v>
      </c>
      <c r="F33" s="1">
        <v>1.7</v>
      </c>
      <c r="G33" s="2">
        <v>-90</v>
      </c>
      <c r="H33" s="2">
        <v>0</v>
      </c>
      <c r="I33" s="2">
        <v>0</v>
      </c>
      <c r="J33" s="4">
        <v>0</v>
      </c>
      <c r="K33" s="4">
        <v>0</v>
      </c>
      <c r="L33" s="4">
        <v>0</v>
      </c>
      <c r="M33" s="3">
        <v>114.3</v>
      </c>
      <c r="N33" s="3">
        <v>3.05</v>
      </c>
      <c r="O33" s="8">
        <v>1.5</v>
      </c>
      <c r="R33" s="1"/>
      <c r="T33" s="1"/>
    </row>
    <row r="34" spans="1:20" x14ac:dyDescent="0.25">
      <c r="A34" t="s">
        <v>7</v>
      </c>
      <c r="B34" t="s">
        <v>7</v>
      </c>
      <c r="C34" s="6" t="s">
        <v>7</v>
      </c>
      <c r="D34" t="str">
        <f t="shared" si="1"/>
        <v>PIPE_34</v>
      </c>
      <c r="F34" s="1">
        <f>0.152+0.221+0.1</f>
        <v>0.47299999999999998</v>
      </c>
      <c r="G34" s="2">
        <v>0</v>
      </c>
      <c r="H34" s="2">
        <v>90</v>
      </c>
      <c r="I34" s="2">
        <v>0</v>
      </c>
      <c r="J34" s="4">
        <v>0</v>
      </c>
      <c r="K34" s="4">
        <v>0</v>
      </c>
      <c r="L34" s="4">
        <v>0</v>
      </c>
      <c r="M34" s="3">
        <v>114.3</v>
      </c>
      <c r="N34" s="3">
        <v>3.05</v>
      </c>
      <c r="O34" s="8">
        <v>1.5</v>
      </c>
      <c r="R34" s="1"/>
      <c r="T34" s="1"/>
    </row>
    <row r="35" spans="1:20" x14ac:dyDescent="0.25">
      <c r="C35" s="6"/>
      <c r="F35" s="1"/>
      <c r="G35" s="2"/>
      <c r="H35" s="2"/>
      <c r="I35" s="2"/>
      <c r="J35" s="4"/>
      <c r="K35" s="4"/>
      <c r="L35" s="4"/>
      <c r="M35" s="3"/>
      <c r="N35" s="3"/>
      <c r="R35" s="1"/>
      <c r="T35" s="1"/>
    </row>
    <row r="36" spans="1:20" x14ac:dyDescent="0.25">
      <c r="A36" t="s">
        <v>51</v>
      </c>
      <c r="B36" t="s">
        <v>10</v>
      </c>
      <c r="C36" s="6" t="s">
        <v>29</v>
      </c>
      <c r="D36" t="str">
        <f>CONCATENATE("COMP_",ROW())</f>
        <v>COMP_36</v>
      </c>
      <c r="F36" s="1">
        <v>0.35499999999999998</v>
      </c>
      <c r="G36" s="2">
        <v>0</v>
      </c>
      <c r="H36" s="2">
        <v>90</v>
      </c>
      <c r="I36" s="2">
        <v>0</v>
      </c>
      <c r="J36" s="4">
        <v>0</v>
      </c>
      <c r="K36" s="4">
        <v>0</v>
      </c>
      <c r="L36" s="4">
        <v>0</v>
      </c>
      <c r="M36" s="3">
        <v>125</v>
      </c>
      <c r="N36" s="3">
        <v>2.02</v>
      </c>
      <c r="Q36" t="str">
        <f ca="1">OFFSET($A$1,ROW()-3,3)</f>
        <v>PIPE_34</v>
      </c>
      <c r="R36" s="1" t="s">
        <v>67</v>
      </c>
      <c r="S36" t="str">
        <f ca="1">OFFSET($A$1,ROW()+1,3)</f>
        <v>PIPE_38</v>
      </c>
      <c r="T36" s="1" t="s">
        <v>66</v>
      </c>
    </row>
    <row r="37" spans="1:20" x14ac:dyDescent="0.25">
      <c r="C37" s="6"/>
      <c r="F37" s="1"/>
      <c r="G37" s="2"/>
      <c r="H37" s="2"/>
      <c r="I37" s="2"/>
      <c r="J37" s="4"/>
      <c r="K37" s="4"/>
      <c r="L37" s="4"/>
      <c r="M37" s="3"/>
      <c r="N37" s="3"/>
      <c r="R37" s="1"/>
      <c r="T37" s="1"/>
    </row>
    <row r="38" spans="1:20" x14ac:dyDescent="0.25">
      <c r="A38" t="s">
        <v>7</v>
      </c>
      <c r="B38" t="s">
        <v>7</v>
      </c>
      <c r="C38" s="6" t="s">
        <v>7</v>
      </c>
      <c r="D38" t="str">
        <f>CONCATENATE("PIPE_",ROW())</f>
        <v>PIPE_38</v>
      </c>
      <c r="F38" s="1">
        <f>0.1+0.445+0.1</f>
        <v>0.64500000000000002</v>
      </c>
      <c r="G38" s="2">
        <v>0</v>
      </c>
      <c r="H38" s="2">
        <v>90</v>
      </c>
      <c r="I38" s="2">
        <v>0</v>
      </c>
      <c r="J38" s="4">
        <v>0</v>
      </c>
      <c r="K38" s="4">
        <v>0</v>
      </c>
      <c r="L38" s="4">
        <v>0</v>
      </c>
      <c r="M38" s="3">
        <v>114.3</v>
      </c>
      <c r="N38" s="3">
        <v>3.05</v>
      </c>
      <c r="O38" s="8">
        <v>1.5</v>
      </c>
      <c r="R38" s="1"/>
      <c r="T38" s="1"/>
    </row>
    <row r="39" spans="1:20" x14ac:dyDescent="0.25">
      <c r="C39" s="6"/>
      <c r="F39" s="1"/>
      <c r="G39" s="2"/>
      <c r="H39" s="2"/>
      <c r="I39" s="2"/>
      <c r="J39" s="4"/>
      <c r="K39" s="4"/>
      <c r="L39" s="4"/>
      <c r="M39" s="3"/>
      <c r="N39" s="3"/>
      <c r="R39" s="1"/>
      <c r="T39" s="1"/>
    </row>
    <row r="40" spans="1:20" x14ac:dyDescent="0.25">
      <c r="A40" t="s">
        <v>51</v>
      </c>
      <c r="B40" t="s">
        <v>10</v>
      </c>
      <c r="C40" s="6" t="s">
        <v>30</v>
      </c>
      <c r="D40" t="str">
        <f>CONCATENATE("COMP_",ROW())</f>
        <v>COMP_40</v>
      </c>
      <c r="F40" s="1">
        <v>0.35499999999999998</v>
      </c>
      <c r="G40" s="2">
        <v>0</v>
      </c>
      <c r="H40" s="2">
        <v>90</v>
      </c>
      <c r="I40" s="2">
        <v>0</v>
      </c>
      <c r="J40" s="4">
        <v>0</v>
      </c>
      <c r="K40" s="4">
        <v>0</v>
      </c>
      <c r="L40" s="4">
        <v>0</v>
      </c>
      <c r="M40" s="3">
        <v>125</v>
      </c>
      <c r="N40" s="3">
        <v>2.02</v>
      </c>
      <c r="Q40" t="str">
        <f ca="1">OFFSET($A$1,ROW()-3,3)</f>
        <v>PIPE_38</v>
      </c>
      <c r="R40" s="1" t="s">
        <v>67</v>
      </c>
      <c r="S40" t="str">
        <f ca="1">OFFSET($A$1,ROW()+1,3)</f>
        <v>PIPE_42</v>
      </c>
      <c r="T40" s="1" t="s">
        <v>66</v>
      </c>
    </row>
    <row r="41" spans="1:20" x14ac:dyDescent="0.25">
      <c r="C41" s="6"/>
      <c r="F41" s="1"/>
      <c r="G41" s="2"/>
      <c r="H41" s="2"/>
      <c r="I41" s="2"/>
      <c r="J41" s="4"/>
      <c r="K41" s="4"/>
      <c r="L41" s="4"/>
      <c r="M41" s="3"/>
      <c r="N41" s="3"/>
      <c r="R41" s="1"/>
      <c r="T41" s="1"/>
    </row>
    <row r="42" spans="1:20" x14ac:dyDescent="0.25">
      <c r="A42" t="s">
        <v>7</v>
      </c>
      <c r="B42" t="s">
        <v>7</v>
      </c>
      <c r="C42" s="6" t="s">
        <v>7</v>
      </c>
      <c r="D42" t="str">
        <f>CONCATENATE("PIPE_",ROW())</f>
        <v>PIPE_42</v>
      </c>
      <c r="F42" s="1">
        <f>0.1+0.175+0.105</f>
        <v>0.38</v>
      </c>
      <c r="G42" s="2">
        <v>0</v>
      </c>
      <c r="H42" s="2">
        <v>90</v>
      </c>
      <c r="I42" s="2">
        <v>0</v>
      </c>
      <c r="J42" s="4">
        <v>0</v>
      </c>
      <c r="K42" s="4">
        <v>0</v>
      </c>
      <c r="L42" s="4">
        <v>0</v>
      </c>
      <c r="M42" s="3">
        <v>114.3</v>
      </c>
      <c r="N42" s="3">
        <v>3.05</v>
      </c>
      <c r="O42" s="8">
        <v>1.5</v>
      </c>
      <c r="R42" s="1"/>
      <c r="T42" s="1"/>
    </row>
    <row r="43" spans="1:20" x14ac:dyDescent="0.25">
      <c r="A43" t="s">
        <v>7</v>
      </c>
      <c r="B43" t="s">
        <v>7</v>
      </c>
      <c r="C43" s="6" t="s">
        <v>7</v>
      </c>
      <c r="D43" t="str">
        <f>CONCATENATE("PIPE_",ROW())</f>
        <v>PIPE_43</v>
      </c>
      <c r="F43" s="1">
        <f>0.105</f>
        <v>0.105</v>
      </c>
      <c r="G43" s="2">
        <v>0</v>
      </c>
      <c r="H43" s="2">
        <v>90</v>
      </c>
      <c r="I43" s="2">
        <v>0</v>
      </c>
      <c r="J43" s="4">
        <v>0</v>
      </c>
      <c r="K43" s="4">
        <v>0</v>
      </c>
      <c r="L43" s="4">
        <v>0</v>
      </c>
      <c r="M43" s="3">
        <v>114.3</v>
      </c>
      <c r="N43" s="3">
        <v>3.05</v>
      </c>
      <c r="O43" s="8">
        <v>1.5</v>
      </c>
      <c r="R43" s="1"/>
      <c r="T43" s="1"/>
    </row>
    <row r="44" spans="1:20" x14ac:dyDescent="0.25">
      <c r="C44" s="6"/>
      <c r="F44" s="1"/>
      <c r="G44" s="2"/>
      <c r="H44" s="2"/>
      <c r="I44" s="2"/>
      <c r="J44" s="4"/>
      <c r="K44" s="4"/>
      <c r="L44" s="4"/>
      <c r="M44" s="3"/>
      <c r="N44" s="3"/>
      <c r="R44" s="1"/>
      <c r="T44" s="1"/>
    </row>
    <row r="45" spans="1:20" x14ac:dyDescent="0.25">
      <c r="A45" t="s">
        <v>51</v>
      </c>
      <c r="B45" t="s">
        <v>10</v>
      </c>
      <c r="C45" s="6" t="s">
        <v>31</v>
      </c>
      <c r="D45" t="str">
        <f>CONCATENATE("COMP_",ROW())</f>
        <v>COMP_45</v>
      </c>
      <c r="F45" s="1">
        <v>0.35499999999999998</v>
      </c>
      <c r="G45" s="2">
        <v>0</v>
      </c>
      <c r="H45" s="2">
        <v>90</v>
      </c>
      <c r="I45" s="2">
        <v>0</v>
      </c>
      <c r="J45" s="4">
        <v>0</v>
      </c>
      <c r="K45" s="4">
        <v>0</v>
      </c>
      <c r="L45" s="4">
        <v>0</v>
      </c>
      <c r="M45" s="3">
        <v>125</v>
      </c>
      <c r="N45" s="3">
        <v>2.02</v>
      </c>
      <c r="Q45" t="str">
        <f ca="1">OFFSET($A$1,ROW()-3,3)</f>
        <v>PIPE_43</v>
      </c>
      <c r="R45" s="1" t="s">
        <v>67</v>
      </c>
      <c r="S45" t="str">
        <f ca="1">OFFSET($A$1,ROW()+1,3)</f>
        <v>PIPE_47</v>
      </c>
      <c r="T45" s="1" t="s">
        <v>66</v>
      </c>
    </row>
    <row r="46" spans="1:20" x14ac:dyDescent="0.25">
      <c r="C46" s="6"/>
      <c r="F46" s="1"/>
      <c r="G46" s="2"/>
      <c r="H46" s="2"/>
      <c r="I46" s="2"/>
      <c r="J46" s="4"/>
      <c r="K46" s="4"/>
      <c r="L46" s="4"/>
      <c r="M46" s="3"/>
      <c r="N46" s="3"/>
      <c r="R46" s="1"/>
      <c r="T46" s="1"/>
    </row>
    <row r="47" spans="1:20" x14ac:dyDescent="0.25">
      <c r="A47" t="s">
        <v>7</v>
      </c>
      <c r="B47" t="s">
        <v>7</v>
      </c>
      <c r="C47" s="6" t="s">
        <v>7</v>
      </c>
      <c r="D47" t="str">
        <f t="shared" ref="D47:D54" si="2">CONCATENATE("PIPE_",ROW())</f>
        <v>PIPE_47</v>
      </c>
      <c r="F47" s="1">
        <v>0.152</v>
      </c>
      <c r="G47" s="2">
        <v>0</v>
      </c>
      <c r="H47" s="2">
        <v>90</v>
      </c>
      <c r="I47" s="2">
        <v>0</v>
      </c>
      <c r="J47" s="4">
        <v>0</v>
      </c>
      <c r="K47" s="4">
        <v>0</v>
      </c>
      <c r="L47" s="4">
        <v>0</v>
      </c>
      <c r="M47" s="3">
        <v>114.3</v>
      </c>
      <c r="N47" s="3">
        <v>3.05</v>
      </c>
      <c r="O47" s="8">
        <v>1.5</v>
      </c>
      <c r="R47" s="1"/>
      <c r="T47" s="1"/>
    </row>
    <row r="48" spans="1:20" x14ac:dyDescent="0.25">
      <c r="A48" t="s">
        <v>7</v>
      </c>
      <c r="B48" t="s">
        <v>7</v>
      </c>
      <c r="C48" s="6" t="s">
        <v>7</v>
      </c>
      <c r="D48" t="str">
        <f t="shared" si="2"/>
        <v>PIPE_48</v>
      </c>
      <c r="F48" s="1">
        <f>1.15+0.064</f>
        <v>1.214</v>
      </c>
      <c r="G48" s="2">
        <v>0</v>
      </c>
      <c r="H48" s="2">
        <v>180</v>
      </c>
      <c r="I48" s="2">
        <v>0</v>
      </c>
      <c r="J48" s="4">
        <v>0</v>
      </c>
      <c r="K48" s="4">
        <v>0</v>
      </c>
      <c r="L48" s="4">
        <v>0</v>
      </c>
      <c r="M48" s="3">
        <v>114.3</v>
      </c>
      <c r="N48" s="3">
        <v>3.05</v>
      </c>
      <c r="O48" s="8">
        <v>1.5</v>
      </c>
      <c r="R48" s="1"/>
      <c r="T48" s="1"/>
    </row>
    <row r="49" spans="1:23" x14ac:dyDescent="0.25">
      <c r="A49" t="s">
        <v>7</v>
      </c>
      <c r="B49" t="s">
        <v>7</v>
      </c>
      <c r="C49" s="6" t="s">
        <v>7</v>
      </c>
      <c r="D49" t="str">
        <f t="shared" si="2"/>
        <v>PIPE_49</v>
      </c>
      <c r="F49" s="1">
        <v>0.84799999999999998</v>
      </c>
      <c r="G49" s="2">
        <v>0</v>
      </c>
      <c r="H49" s="2">
        <f>180+45</f>
        <v>225</v>
      </c>
      <c r="I49" s="2">
        <v>0</v>
      </c>
      <c r="J49" s="4">
        <v>0</v>
      </c>
      <c r="K49" s="4">
        <v>0</v>
      </c>
      <c r="L49" s="4">
        <v>0</v>
      </c>
      <c r="M49" s="3">
        <v>114.3</v>
      </c>
      <c r="N49" s="3">
        <v>3.05</v>
      </c>
      <c r="O49" s="8">
        <v>1.5</v>
      </c>
      <c r="R49" s="1"/>
      <c r="T49" s="1"/>
    </row>
    <row r="50" spans="1:23" x14ac:dyDescent="0.25">
      <c r="A50" t="s">
        <v>7</v>
      </c>
      <c r="B50" t="s">
        <v>7</v>
      </c>
      <c r="C50" s="6" t="s">
        <v>7</v>
      </c>
      <c r="D50" t="str">
        <f t="shared" si="2"/>
        <v>PIPE_50</v>
      </c>
      <c r="F50" s="1">
        <v>0.35</v>
      </c>
      <c r="G50" s="2">
        <v>0</v>
      </c>
      <c r="H50" s="2">
        <v>270</v>
      </c>
      <c r="I50" s="2">
        <v>0</v>
      </c>
      <c r="J50" s="4">
        <v>0</v>
      </c>
      <c r="K50" s="4">
        <v>0</v>
      </c>
      <c r="L50" s="4">
        <v>0</v>
      </c>
      <c r="M50" s="3">
        <v>114.3</v>
      </c>
      <c r="N50" s="3">
        <v>3.05</v>
      </c>
      <c r="O50" s="8">
        <v>1.5</v>
      </c>
      <c r="R50" s="1"/>
      <c r="T50" s="1"/>
    </row>
    <row r="51" spans="1:23" x14ac:dyDescent="0.25">
      <c r="A51" t="s">
        <v>7</v>
      </c>
      <c r="B51" t="s">
        <v>7</v>
      </c>
      <c r="C51" s="6" t="s">
        <v>7</v>
      </c>
      <c r="D51" t="str">
        <f t="shared" si="2"/>
        <v>PIPE_51</v>
      </c>
      <c r="F51" s="1">
        <v>5.3</v>
      </c>
      <c r="G51" s="2">
        <v>-90</v>
      </c>
      <c r="H51" s="2">
        <v>0</v>
      </c>
      <c r="I51" s="2">
        <v>0</v>
      </c>
      <c r="J51" s="4">
        <v>0</v>
      </c>
      <c r="K51" s="4">
        <v>0</v>
      </c>
      <c r="L51" s="4">
        <v>0</v>
      </c>
      <c r="M51" s="3">
        <v>114.3</v>
      </c>
      <c r="N51" s="3">
        <v>3.05</v>
      </c>
      <c r="O51" s="8">
        <v>1.5</v>
      </c>
      <c r="R51" s="1"/>
      <c r="T51" s="1"/>
    </row>
    <row r="52" spans="1:23" x14ac:dyDescent="0.25">
      <c r="A52" t="s">
        <v>7</v>
      </c>
      <c r="B52" t="s">
        <v>7</v>
      </c>
      <c r="C52" s="6" t="s">
        <v>7</v>
      </c>
      <c r="D52" t="str">
        <f t="shared" si="2"/>
        <v>PIPE_52</v>
      </c>
      <c r="F52" s="1">
        <v>2.0499999999999998</v>
      </c>
      <c r="G52" s="2">
        <v>0</v>
      </c>
      <c r="H52" s="2">
        <v>0</v>
      </c>
      <c r="I52" s="2">
        <v>0</v>
      </c>
      <c r="J52" s="4">
        <v>0</v>
      </c>
      <c r="K52" s="4">
        <v>0</v>
      </c>
      <c r="L52" s="4">
        <v>0</v>
      </c>
      <c r="M52" s="3">
        <v>114.3</v>
      </c>
      <c r="N52" s="3">
        <v>3.05</v>
      </c>
      <c r="O52" s="8">
        <v>1.5</v>
      </c>
      <c r="R52" s="1"/>
      <c r="T52" s="1"/>
    </row>
    <row r="53" spans="1:23" x14ac:dyDescent="0.25">
      <c r="A53" t="s">
        <v>7</v>
      </c>
      <c r="B53" t="s">
        <v>7</v>
      </c>
      <c r="C53" s="6" t="s">
        <v>7</v>
      </c>
      <c r="D53" t="str">
        <f t="shared" si="2"/>
        <v>PIPE_53</v>
      </c>
      <c r="F53" s="1">
        <f>0.152+0.055</f>
        <v>0.20699999999999999</v>
      </c>
      <c r="G53" s="2">
        <f>-(90-24.9)</f>
        <v>-65.099999999999994</v>
      </c>
      <c r="H53" s="2">
        <v>180</v>
      </c>
      <c r="I53" s="2">
        <v>0</v>
      </c>
      <c r="J53" s="4">
        <v>0</v>
      </c>
      <c r="K53" s="4">
        <v>0</v>
      </c>
      <c r="L53" s="4">
        <v>0</v>
      </c>
      <c r="M53" s="3">
        <v>114.3</v>
      </c>
      <c r="N53" s="3">
        <v>3.05</v>
      </c>
      <c r="O53" s="8">
        <v>1.5</v>
      </c>
      <c r="R53" s="1"/>
      <c r="T53" s="1"/>
      <c r="W53" t="s">
        <v>33</v>
      </c>
    </row>
    <row r="54" spans="1:23" x14ac:dyDescent="0.25">
      <c r="A54" t="s">
        <v>7</v>
      </c>
      <c r="B54" t="s">
        <v>7</v>
      </c>
      <c r="C54" s="6" t="s">
        <v>7</v>
      </c>
      <c r="D54" t="str">
        <f t="shared" si="2"/>
        <v>PIPE_54</v>
      </c>
      <c r="F54" s="1">
        <v>1.61</v>
      </c>
      <c r="G54" s="2">
        <v>-90</v>
      </c>
      <c r="H54" s="2">
        <v>0</v>
      </c>
      <c r="I54" s="2">
        <v>0</v>
      </c>
      <c r="J54" s="4">
        <v>0</v>
      </c>
      <c r="K54" s="4">
        <v>0</v>
      </c>
      <c r="L54" s="4">
        <v>0</v>
      </c>
      <c r="M54" s="3">
        <v>114.3</v>
      </c>
      <c r="N54" s="3">
        <v>3.05</v>
      </c>
      <c r="O54" s="8">
        <v>1.5</v>
      </c>
      <c r="R54" s="1"/>
      <c r="T54" s="1"/>
      <c r="W54" t="s">
        <v>32</v>
      </c>
    </row>
    <row r="55" spans="1:23" x14ac:dyDescent="0.25">
      <c r="C55" s="6"/>
      <c r="F55" s="1"/>
      <c r="G55" s="2"/>
      <c r="H55" s="2"/>
      <c r="I55" s="2"/>
      <c r="J55" s="4"/>
      <c r="K55" s="4"/>
      <c r="L55" s="4"/>
      <c r="M55" s="3"/>
      <c r="N55" s="3"/>
      <c r="R55" s="1"/>
      <c r="T55" s="1"/>
    </row>
    <row r="56" spans="1:23" x14ac:dyDescent="0.25">
      <c r="A56" t="s">
        <v>51</v>
      </c>
      <c r="B56" t="s">
        <v>11</v>
      </c>
      <c r="C56" s="6" t="s">
        <v>22</v>
      </c>
      <c r="D56" t="str">
        <f>CONCATENATE("COMP_",ROW())</f>
        <v>COMP_56</v>
      </c>
      <c r="F56" s="1">
        <v>0</v>
      </c>
      <c r="G56" s="2">
        <v>-90</v>
      </c>
      <c r="H56" s="2">
        <v>0</v>
      </c>
      <c r="I56" s="2">
        <v>0</v>
      </c>
      <c r="J56" s="4">
        <v>0</v>
      </c>
      <c r="K56" s="4">
        <v>0</v>
      </c>
      <c r="L56" s="4">
        <v>0</v>
      </c>
      <c r="M56" s="3">
        <v>125</v>
      </c>
      <c r="N56" s="3">
        <v>2.02</v>
      </c>
      <c r="Q56" t="str">
        <f ca="1">OFFSET($A$1,ROW()-3,3)</f>
        <v>PIPE_54</v>
      </c>
      <c r="R56" s="1" t="s">
        <v>67</v>
      </c>
      <c r="S56" t="str">
        <f>D81</f>
        <v>PIPE_81</v>
      </c>
      <c r="T56" s="1">
        <v>0.83399999999999996</v>
      </c>
    </row>
    <row r="57" spans="1:23" x14ac:dyDescent="0.25">
      <c r="C57" s="6"/>
      <c r="F57" s="1"/>
      <c r="G57" s="2"/>
      <c r="H57" s="2"/>
      <c r="I57" s="2"/>
      <c r="J57" s="4"/>
      <c r="K57" s="4"/>
      <c r="L57" s="4"/>
      <c r="M57" s="3"/>
      <c r="N57" s="3"/>
      <c r="R57" s="1"/>
      <c r="T57" s="1"/>
    </row>
    <row r="58" spans="1:23" x14ac:dyDescent="0.25">
      <c r="C58" s="6"/>
      <c r="F58" s="1"/>
      <c r="G58" s="2"/>
      <c r="H58" s="2"/>
      <c r="I58" s="2"/>
      <c r="J58" s="4"/>
      <c r="K58" s="4"/>
      <c r="L58" s="4"/>
      <c r="M58" s="3"/>
      <c r="N58" s="3"/>
      <c r="R58" s="1"/>
      <c r="T58" s="1"/>
    </row>
    <row r="59" spans="1:23" x14ac:dyDescent="0.25">
      <c r="A59" t="s">
        <v>28</v>
      </c>
      <c r="B59" t="s">
        <v>52</v>
      </c>
      <c r="C59" s="6"/>
      <c r="F59" s="1"/>
      <c r="G59" s="2"/>
      <c r="H59" s="2"/>
      <c r="I59" s="2"/>
      <c r="J59" s="4"/>
      <c r="K59" s="4"/>
      <c r="L59" s="4"/>
      <c r="M59" s="3"/>
      <c r="N59" s="3"/>
      <c r="R59" s="1"/>
      <c r="T59" s="1"/>
    </row>
    <row r="60" spans="1:23" x14ac:dyDescent="0.25">
      <c r="A60" t="s">
        <v>7</v>
      </c>
      <c r="B60" t="s">
        <v>7</v>
      </c>
      <c r="C60" s="6" t="s">
        <v>7</v>
      </c>
      <c r="D60" t="str">
        <f>CONCATENATE("PIPE_",ROW())</f>
        <v>PIPE_60</v>
      </c>
      <c r="F60" s="1">
        <v>12</v>
      </c>
      <c r="G60" s="2">
        <v>0</v>
      </c>
      <c r="H60" s="2">
        <v>270</v>
      </c>
      <c r="I60" s="2">
        <v>0</v>
      </c>
      <c r="J60" s="4">
        <v>0</v>
      </c>
      <c r="K60" s="4">
        <v>0</v>
      </c>
      <c r="L60" s="4">
        <v>0</v>
      </c>
      <c r="M60" s="3">
        <v>273</v>
      </c>
      <c r="N60" s="3">
        <v>4.1900000000000004</v>
      </c>
      <c r="O60" s="8">
        <v>1.5</v>
      </c>
      <c r="R60" s="1"/>
      <c r="T60" s="1"/>
    </row>
    <row r="61" spans="1:23" x14ac:dyDescent="0.25">
      <c r="A61" t="s">
        <v>7</v>
      </c>
      <c r="B61" t="s">
        <v>7</v>
      </c>
      <c r="C61" s="6" t="s">
        <v>7</v>
      </c>
      <c r="D61" t="str">
        <f>CONCATENATE("PIPE_",ROW())</f>
        <v>PIPE_61</v>
      </c>
      <c r="F61" s="1">
        <v>5.25</v>
      </c>
      <c r="G61" s="2">
        <v>0</v>
      </c>
      <c r="H61" s="2">
        <v>0</v>
      </c>
      <c r="I61" s="2">
        <v>0</v>
      </c>
      <c r="J61" s="4">
        <v>0</v>
      </c>
      <c r="K61" s="4">
        <v>0</v>
      </c>
      <c r="L61" s="4">
        <v>0</v>
      </c>
      <c r="M61" s="3">
        <v>273</v>
      </c>
      <c r="N61" s="3">
        <v>4.1900000000000004</v>
      </c>
      <c r="O61" s="8">
        <v>1.5</v>
      </c>
      <c r="R61" s="1"/>
      <c r="T61" s="1"/>
    </row>
    <row r="62" spans="1:23" x14ac:dyDescent="0.25">
      <c r="A62" t="s">
        <v>7</v>
      </c>
      <c r="B62" t="s">
        <v>7</v>
      </c>
      <c r="C62" s="6" t="s">
        <v>7</v>
      </c>
      <c r="D62" t="str">
        <f>CONCATENATE("PIPE_",ROW())</f>
        <v>PIPE_62</v>
      </c>
      <c r="F62" s="1">
        <v>8</v>
      </c>
      <c r="G62" s="2">
        <v>0</v>
      </c>
      <c r="H62" s="2">
        <v>270</v>
      </c>
      <c r="I62" s="2">
        <v>0</v>
      </c>
      <c r="J62" s="4">
        <v>0</v>
      </c>
      <c r="K62" s="4">
        <v>0</v>
      </c>
      <c r="L62" s="4">
        <v>0</v>
      </c>
      <c r="M62" s="3">
        <v>273</v>
      </c>
      <c r="N62" s="3">
        <v>4.1900000000000004</v>
      </c>
      <c r="O62" s="8">
        <v>1.5</v>
      </c>
      <c r="R62" s="1"/>
      <c r="T62" s="1"/>
    </row>
    <row r="63" spans="1:23" x14ac:dyDescent="0.25">
      <c r="A63" t="s">
        <v>7</v>
      </c>
      <c r="B63" t="s">
        <v>7</v>
      </c>
      <c r="C63" s="6" t="s">
        <v>7</v>
      </c>
      <c r="D63" t="str">
        <f>CONCATENATE("PIPE_",ROW())</f>
        <v>PIPE_63</v>
      </c>
      <c r="F63" s="1">
        <v>0.216</v>
      </c>
      <c r="G63" s="2">
        <v>0</v>
      </c>
      <c r="H63" s="2">
        <v>270</v>
      </c>
      <c r="I63" s="2">
        <v>0</v>
      </c>
      <c r="J63" s="4">
        <v>0</v>
      </c>
      <c r="K63" s="4">
        <v>0</v>
      </c>
      <c r="L63" s="4">
        <v>0</v>
      </c>
      <c r="M63" s="3">
        <v>273</v>
      </c>
      <c r="N63" s="3">
        <v>4.1900000000000004</v>
      </c>
      <c r="O63" s="8">
        <v>1.5</v>
      </c>
      <c r="R63" s="1"/>
      <c r="T63" s="1"/>
    </row>
    <row r="64" spans="1:23" x14ac:dyDescent="0.25">
      <c r="C64" s="6"/>
      <c r="F64" s="1"/>
      <c r="G64" s="2"/>
      <c r="H64" s="2"/>
      <c r="I64" s="2"/>
      <c r="J64" s="4"/>
      <c r="K64" s="4"/>
      <c r="L64" s="4"/>
      <c r="M64" s="3"/>
      <c r="N64" s="3"/>
      <c r="R64" s="1"/>
      <c r="T64" s="1"/>
    </row>
    <row r="65" spans="1:22" x14ac:dyDescent="0.25">
      <c r="A65" t="s">
        <v>51</v>
      </c>
      <c r="B65" t="s">
        <v>9</v>
      </c>
      <c r="C65" s="6" t="s">
        <v>22</v>
      </c>
      <c r="D65" t="str">
        <f>CONCATENATE("COMP_",ROW())</f>
        <v>COMP_65</v>
      </c>
      <c r="F65" s="1">
        <v>0.17799999999999999</v>
      </c>
      <c r="G65" s="2">
        <v>0</v>
      </c>
      <c r="H65" s="2">
        <v>270</v>
      </c>
      <c r="I65" s="2">
        <v>0</v>
      </c>
      <c r="J65" s="4">
        <v>0</v>
      </c>
      <c r="K65" s="4">
        <v>0</v>
      </c>
      <c r="L65" s="4">
        <v>0</v>
      </c>
      <c r="M65" s="3">
        <v>273</v>
      </c>
      <c r="N65" s="3">
        <v>4.1900000000000004</v>
      </c>
      <c r="O65" s="8">
        <v>0.2198</v>
      </c>
      <c r="Q65" t="str">
        <f ca="1">OFFSET($A$1,ROW()-3,3)</f>
        <v>PIPE_63</v>
      </c>
      <c r="R65" s="1" t="s">
        <v>67</v>
      </c>
      <c r="S65" t="str">
        <f ca="1">OFFSET($A$1,ROW()+1,3)</f>
        <v>PIPE_67</v>
      </c>
      <c r="T65" s="1" t="s">
        <v>66</v>
      </c>
    </row>
    <row r="66" spans="1:22" x14ac:dyDescent="0.25">
      <c r="C66" s="6"/>
      <c r="F66" s="1"/>
      <c r="G66" s="2"/>
      <c r="H66" s="2"/>
      <c r="I66" s="2"/>
      <c r="J66" s="4"/>
      <c r="K66" s="4"/>
      <c r="L66" s="4"/>
      <c r="M66" s="3"/>
      <c r="N66" s="3"/>
      <c r="R66" s="1"/>
      <c r="T66" s="1"/>
    </row>
    <row r="67" spans="1:22" x14ac:dyDescent="0.25">
      <c r="A67" t="s">
        <v>7</v>
      </c>
      <c r="B67" t="s">
        <v>7</v>
      </c>
      <c r="C67" s="6" t="s">
        <v>7</v>
      </c>
      <c r="D67" t="str">
        <f>CONCATENATE("PIPE_",ROW())</f>
        <v>PIPE_67</v>
      </c>
      <c r="F67" s="1">
        <f>9.851+0.305</f>
        <v>10.156000000000001</v>
      </c>
      <c r="G67" s="2">
        <v>0</v>
      </c>
      <c r="H67" s="2">
        <v>270</v>
      </c>
      <c r="I67" s="2">
        <v>0</v>
      </c>
      <c r="J67" s="4">
        <v>0</v>
      </c>
      <c r="K67" s="4">
        <v>0</v>
      </c>
      <c r="L67" s="4">
        <v>0</v>
      </c>
      <c r="M67" s="3">
        <v>219.8</v>
      </c>
      <c r="N67" s="3">
        <v>3.76</v>
      </c>
      <c r="O67" s="8">
        <v>1.5</v>
      </c>
      <c r="R67" s="1"/>
      <c r="T67" s="1"/>
    </row>
    <row r="68" spans="1:22" x14ac:dyDescent="0.25">
      <c r="A68" t="s">
        <v>7</v>
      </c>
      <c r="B68" t="s">
        <v>7</v>
      </c>
      <c r="C68" s="6" t="s">
        <v>7</v>
      </c>
      <c r="D68" t="str">
        <f>CONCATENATE("PIPE_",ROW())</f>
        <v>PIPE_68</v>
      </c>
      <c r="F68" s="1">
        <v>1.35</v>
      </c>
      <c r="G68" s="2">
        <v>0</v>
      </c>
      <c r="H68" s="2">
        <v>180</v>
      </c>
      <c r="I68" s="2">
        <v>0</v>
      </c>
      <c r="J68" s="4">
        <v>0</v>
      </c>
      <c r="K68" s="4">
        <v>0</v>
      </c>
      <c r="L68" s="4">
        <v>0</v>
      </c>
      <c r="M68" s="3">
        <v>219.8</v>
      </c>
      <c r="N68" s="3">
        <v>3.76</v>
      </c>
      <c r="O68" s="8">
        <v>1.5</v>
      </c>
      <c r="R68" s="1"/>
      <c r="T68" s="1"/>
    </row>
    <row r="69" spans="1:22" x14ac:dyDescent="0.25">
      <c r="A69" t="s">
        <v>7</v>
      </c>
      <c r="B69" t="s">
        <v>7</v>
      </c>
      <c r="C69" s="6" t="s">
        <v>7</v>
      </c>
      <c r="D69" t="str">
        <f>CONCATENATE("PIPE_",ROW())</f>
        <v>PIPE_69</v>
      </c>
      <c r="F69" s="1">
        <f>0.305+0.1+0.241</f>
        <v>0.64600000000000002</v>
      </c>
      <c r="G69" s="2">
        <v>0</v>
      </c>
      <c r="H69" s="2">
        <v>90</v>
      </c>
      <c r="I69" s="2">
        <v>0</v>
      </c>
      <c r="J69" s="4">
        <v>0</v>
      </c>
      <c r="K69" s="4">
        <v>0</v>
      </c>
      <c r="L69" s="4">
        <v>0</v>
      </c>
      <c r="M69" s="3">
        <v>219.8</v>
      </c>
      <c r="N69" s="3">
        <v>3.76</v>
      </c>
      <c r="O69" s="8">
        <v>1.5</v>
      </c>
      <c r="R69" s="1"/>
      <c r="T69" s="1"/>
    </row>
    <row r="70" spans="1:22" x14ac:dyDescent="0.25">
      <c r="C70" s="6"/>
      <c r="F70" s="1"/>
      <c r="G70" s="2"/>
      <c r="H70" s="2"/>
      <c r="I70" s="2"/>
      <c r="J70" s="4"/>
      <c r="K70" s="4"/>
      <c r="L70" s="4"/>
      <c r="M70" s="3"/>
      <c r="N70" s="3"/>
      <c r="R70" s="1"/>
      <c r="T70" s="1"/>
    </row>
    <row r="71" spans="1:22" x14ac:dyDescent="0.25">
      <c r="A71" t="s">
        <v>51</v>
      </c>
      <c r="B71" t="s">
        <v>10</v>
      </c>
      <c r="C71" s="6" t="s">
        <v>35</v>
      </c>
      <c r="D71" t="str">
        <f>CONCATENATE("COMP_",ROW())</f>
        <v>COMP_71</v>
      </c>
      <c r="F71" s="1">
        <v>0.50800000000000001</v>
      </c>
      <c r="G71" s="2">
        <v>0</v>
      </c>
      <c r="H71" s="2">
        <v>90</v>
      </c>
      <c r="I71" s="2">
        <v>0</v>
      </c>
      <c r="J71" s="4">
        <v>0</v>
      </c>
      <c r="K71" s="4">
        <v>0</v>
      </c>
      <c r="L71" s="4">
        <v>0</v>
      </c>
      <c r="M71" s="3">
        <v>220</v>
      </c>
      <c r="N71" s="3">
        <v>3.76</v>
      </c>
      <c r="Q71" t="str">
        <f ca="1">OFFSET($A$1,ROW()-3,3)</f>
        <v>PIPE_69</v>
      </c>
      <c r="R71" s="1" t="s">
        <v>67</v>
      </c>
      <c r="S71" t="str">
        <f ca="1">OFFSET($A$1,ROW()+1,3)</f>
        <v>PIPE_73</v>
      </c>
      <c r="T71" s="1" t="s">
        <v>66</v>
      </c>
    </row>
    <row r="72" spans="1:22" x14ac:dyDescent="0.25">
      <c r="C72" s="6"/>
      <c r="F72" s="1"/>
      <c r="G72" s="2"/>
      <c r="H72" s="2"/>
      <c r="I72" s="2"/>
      <c r="J72" s="4"/>
      <c r="K72" s="4"/>
      <c r="L72" s="4"/>
      <c r="M72" s="3"/>
      <c r="N72" s="3"/>
      <c r="R72" s="1"/>
      <c r="T72" s="1"/>
    </row>
    <row r="73" spans="1:22" x14ac:dyDescent="0.25">
      <c r="A73" t="s">
        <v>7</v>
      </c>
      <c r="B73" t="s">
        <v>7</v>
      </c>
      <c r="C73" s="6" t="s">
        <v>7</v>
      </c>
      <c r="D73" t="str">
        <f>CONCATENATE("PIPE_",ROW())</f>
        <v>PIPE_73</v>
      </c>
      <c r="F73" s="1">
        <f>0.2+0.268+0.178+0.178+0.2</f>
        <v>1.024</v>
      </c>
      <c r="G73" s="2">
        <v>0</v>
      </c>
      <c r="H73" s="2">
        <v>90</v>
      </c>
      <c r="I73" s="2">
        <v>0</v>
      </c>
      <c r="J73" s="4">
        <v>0</v>
      </c>
      <c r="K73" s="4">
        <v>0</v>
      </c>
      <c r="L73" s="4">
        <v>0</v>
      </c>
      <c r="M73" s="3">
        <v>219.8</v>
      </c>
      <c r="N73" s="3">
        <v>3.76</v>
      </c>
      <c r="O73" s="8">
        <v>1.5</v>
      </c>
      <c r="R73" s="1"/>
      <c r="T73" s="1"/>
      <c r="V73" t="s">
        <v>74</v>
      </c>
    </row>
    <row r="74" spans="1:22" x14ac:dyDescent="0.25">
      <c r="C74" s="6"/>
      <c r="F74" s="1"/>
      <c r="G74" s="2"/>
      <c r="H74" s="2"/>
      <c r="I74" s="2"/>
      <c r="J74" s="4"/>
      <c r="K74" s="4"/>
      <c r="L74" s="4"/>
      <c r="M74" s="3"/>
      <c r="N74" s="3"/>
      <c r="R74" s="1"/>
      <c r="T74" s="1"/>
    </row>
    <row r="75" spans="1:22" x14ac:dyDescent="0.25">
      <c r="A75" t="s">
        <v>51</v>
      </c>
      <c r="B75" t="s">
        <v>10</v>
      </c>
      <c r="C75" s="6" t="s">
        <v>36</v>
      </c>
      <c r="D75" t="str">
        <f>CONCATENATE("COMP_",ROW())</f>
        <v>COMP_75</v>
      </c>
      <c r="F75" s="1">
        <v>0.50800000000000001</v>
      </c>
      <c r="G75" s="2">
        <v>0</v>
      </c>
      <c r="H75" s="2">
        <v>90</v>
      </c>
      <c r="I75" s="2">
        <v>0</v>
      </c>
      <c r="J75" s="4">
        <v>0</v>
      </c>
      <c r="K75" s="4">
        <v>0</v>
      </c>
      <c r="L75" s="4">
        <v>0</v>
      </c>
      <c r="M75" s="3">
        <v>220</v>
      </c>
      <c r="N75" s="3">
        <v>3.76</v>
      </c>
      <c r="Q75" t="str">
        <f ca="1">OFFSET($A$1,ROW()-3,3)</f>
        <v>PIPE_73</v>
      </c>
      <c r="R75" s="1" t="s">
        <v>67</v>
      </c>
      <c r="S75" t="str">
        <f ca="1">OFFSET($A$1,ROW()+1,3)</f>
        <v>PIPE_77</v>
      </c>
      <c r="T75" s="1" t="s">
        <v>66</v>
      </c>
    </row>
    <row r="76" spans="1:22" x14ac:dyDescent="0.25">
      <c r="C76" s="6"/>
      <c r="F76" s="1"/>
      <c r="G76" s="2"/>
      <c r="H76" s="2"/>
      <c r="I76" s="2"/>
      <c r="J76" s="4"/>
      <c r="K76" s="4"/>
      <c r="L76" s="4"/>
      <c r="M76" s="3"/>
      <c r="N76" s="3"/>
      <c r="R76" s="1"/>
      <c r="T76" s="1"/>
    </row>
    <row r="77" spans="1:22" x14ac:dyDescent="0.25">
      <c r="A77" t="s">
        <v>7</v>
      </c>
      <c r="B77" t="s">
        <v>7</v>
      </c>
      <c r="C77" s="6" t="s">
        <v>7</v>
      </c>
      <c r="D77" t="str">
        <f>CONCATENATE("PIPE_",ROW())</f>
        <v>PIPE_77</v>
      </c>
      <c r="F77" s="1">
        <f>0.2+0.478+0.2</f>
        <v>0.87799999999999989</v>
      </c>
      <c r="G77" s="2">
        <v>0</v>
      </c>
      <c r="H77" s="2">
        <v>90</v>
      </c>
      <c r="I77" s="2">
        <v>0</v>
      </c>
      <c r="J77" s="4">
        <v>0</v>
      </c>
      <c r="K77" s="4">
        <v>0</v>
      </c>
      <c r="L77" s="4">
        <v>0</v>
      </c>
      <c r="M77" s="3">
        <v>219.8</v>
      </c>
      <c r="N77" s="3">
        <v>3.76</v>
      </c>
      <c r="O77" s="8">
        <v>1.5</v>
      </c>
      <c r="R77" s="1"/>
      <c r="T77" s="1"/>
    </row>
    <row r="78" spans="1:22" x14ac:dyDescent="0.25">
      <c r="C78" s="6"/>
      <c r="F78" s="1"/>
      <c r="G78" s="2"/>
      <c r="H78" s="2"/>
      <c r="I78" s="2"/>
      <c r="J78" s="4"/>
      <c r="K78" s="4"/>
      <c r="L78" s="4"/>
      <c r="M78" s="3"/>
      <c r="N78" s="3"/>
      <c r="R78" s="1"/>
      <c r="T78" s="1"/>
    </row>
    <row r="79" spans="1:22" x14ac:dyDescent="0.25">
      <c r="A79" t="s">
        <v>51</v>
      </c>
      <c r="B79" t="s">
        <v>10</v>
      </c>
      <c r="C79" s="6" t="s">
        <v>37</v>
      </c>
      <c r="D79" t="str">
        <f>CONCATENATE("COMP_",ROW())</f>
        <v>COMP_79</v>
      </c>
      <c r="F79" s="1">
        <v>0.50800000000000001</v>
      </c>
      <c r="G79" s="2">
        <v>0</v>
      </c>
      <c r="H79" s="2">
        <v>90</v>
      </c>
      <c r="I79" s="2">
        <v>0</v>
      </c>
      <c r="J79" s="4">
        <v>0</v>
      </c>
      <c r="K79" s="4">
        <v>0</v>
      </c>
      <c r="L79" s="4">
        <v>0</v>
      </c>
      <c r="M79" s="3">
        <v>220</v>
      </c>
      <c r="N79" s="3">
        <v>3.76</v>
      </c>
      <c r="Q79" t="str">
        <f ca="1">OFFSET($A$1,ROW()-3,3)</f>
        <v>PIPE_77</v>
      </c>
      <c r="R79" s="1" t="s">
        <v>67</v>
      </c>
      <c r="S79" t="str">
        <f ca="1">OFFSET($A$1,ROW()+1,3)</f>
        <v>PIPE_81</v>
      </c>
      <c r="T79" s="1" t="s">
        <v>66</v>
      </c>
    </row>
    <row r="80" spans="1:22" x14ac:dyDescent="0.25">
      <c r="C80" s="6"/>
      <c r="F80" s="1"/>
      <c r="G80" s="2"/>
      <c r="H80" s="2"/>
      <c r="I80" s="2"/>
      <c r="J80" s="4"/>
      <c r="K80" s="4"/>
      <c r="L80" s="4"/>
      <c r="M80" s="3"/>
      <c r="N80" s="3"/>
      <c r="R80" s="1"/>
      <c r="T80" s="1"/>
    </row>
    <row r="81" spans="1:22" x14ac:dyDescent="0.25">
      <c r="A81" t="s">
        <v>7</v>
      </c>
      <c r="B81" t="s">
        <v>7</v>
      </c>
      <c r="C81" s="6" t="s">
        <v>7</v>
      </c>
      <c r="D81" t="str">
        <f>CONCATENATE("PIPE_",ROW())</f>
        <v>PIPE_81</v>
      </c>
      <c r="F81" s="1">
        <f>0.2+0.178+0.178+0.1+0.178+0.178+0.412+0.2</f>
        <v>1.6239999999999999</v>
      </c>
      <c r="G81" s="2">
        <v>0</v>
      </c>
      <c r="H81" s="2">
        <v>90</v>
      </c>
      <c r="I81" s="2">
        <v>0</v>
      </c>
      <c r="J81" s="4">
        <v>0</v>
      </c>
      <c r="K81" s="4">
        <v>0</v>
      </c>
      <c r="L81" s="4">
        <v>0</v>
      </c>
      <c r="M81" s="3">
        <v>219.8</v>
      </c>
      <c r="N81" s="3">
        <v>3.76</v>
      </c>
      <c r="O81" s="8">
        <v>1.5</v>
      </c>
      <c r="R81" s="1"/>
      <c r="T81" s="1"/>
      <c r="V81" t="s">
        <v>75</v>
      </c>
    </row>
    <row r="82" spans="1:22" x14ac:dyDescent="0.25">
      <c r="C82" s="6"/>
      <c r="F82" s="1"/>
      <c r="G82" s="2"/>
      <c r="H82" s="2"/>
      <c r="I82" s="2"/>
      <c r="J82" s="4"/>
      <c r="K82" s="4"/>
      <c r="L82" s="4"/>
      <c r="M82" s="3"/>
      <c r="N82" s="3"/>
      <c r="R82" s="1"/>
      <c r="T82" s="1"/>
    </row>
    <row r="83" spans="1:22" x14ac:dyDescent="0.25">
      <c r="A83" t="s">
        <v>51</v>
      </c>
      <c r="B83" t="s">
        <v>10</v>
      </c>
      <c r="C83" s="6" t="s">
        <v>38</v>
      </c>
      <c r="D83" t="str">
        <f>CONCATENATE("COMP_",ROW())</f>
        <v>COMP_83</v>
      </c>
      <c r="F83" s="1">
        <v>0.50800000000000001</v>
      </c>
      <c r="G83" s="2">
        <v>0</v>
      </c>
      <c r="H83" s="2">
        <v>90</v>
      </c>
      <c r="I83" s="2">
        <v>0</v>
      </c>
      <c r="J83" s="4">
        <v>0</v>
      </c>
      <c r="K83" s="4">
        <v>0</v>
      </c>
      <c r="L83" s="4">
        <v>0</v>
      </c>
      <c r="M83" s="3">
        <v>220</v>
      </c>
      <c r="N83" s="3">
        <v>3.76</v>
      </c>
      <c r="Q83" t="str">
        <f ca="1">OFFSET($A$1,ROW()-3,3)</f>
        <v>PIPE_81</v>
      </c>
      <c r="R83" s="1" t="s">
        <v>67</v>
      </c>
      <c r="S83" t="str">
        <f ca="1">OFFSET($A$1,ROW()+1,3)</f>
        <v>PIPE_85</v>
      </c>
      <c r="T83" s="1" t="s">
        <v>66</v>
      </c>
    </row>
    <row r="84" spans="1:22" x14ac:dyDescent="0.25">
      <c r="C84" s="6"/>
      <c r="F84" s="1"/>
      <c r="G84" s="2"/>
      <c r="H84" s="2"/>
      <c r="I84" s="2"/>
      <c r="J84" s="4"/>
      <c r="K84" s="4"/>
      <c r="L84" s="4"/>
      <c r="M84" s="3"/>
      <c r="N84" s="3"/>
      <c r="R84" s="1"/>
      <c r="T84" s="1"/>
    </row>
    <row r="85" spans="1:22" x14ac:dyDescent="0.25">
      <c r="A85" t="s">
        <v>7</v>
      </c>
      <c r="B85" t="s">
        <v>7</v>
      </c>
      <c r="C85" s="6" t="s">
        <v>7</v>
      </c>
      <c r="D85" t="str">
        <f>CONCATENATE("PIPE_",ROW())</f>
        <v>PIPE_85</v>
      </c>
      <c r="F85" s="1">
        <f>0.2+0.592+0.2</f>
        <v>0.99199999999999999</v>
      </c>
      <c r="G85" s="2">
        <v>0</v>
      </c>
      <c r="H85" s="2">
        <v>90</v>
      </c>
      <c r="I85" s="2">
        <v>0</v>
      </c>
      <c r="J85" s="4">
        <v>0</v>
      </c>
      <c r="K85" s="4">
        <v>0</v>
      </c>
      <c r="L85" s="4">
        <v>0</v>
      </c>
      <c r="M85" s="3">
        <v>219.8</v>
      </c>
      <c r="N85" s="3">
        <v>3.76</v>
      </c>
      <c r="O85" s="8">
        <v>1.5</v>
      </c>
      <c r="R85" s="1"/>
      <c r="T85" s="1"/>
    </row>
    <row r="86" spans="1:22" x14ac:dyDescent="0.25">
      <c r="C86" s="6"/>
      <c r="F86" s="1"/>
      <c r="G86" s="2"/>
      <c r="H86" s="2"/>
      <c r="I86" s="2"/>
      <c r="J86" s="4"/>
      <c r="K86" s="4"/>
      <c r="L86" s="4"/>
      <c r="M86" s="3"/>
      <c r="N86" s="3"/>
      <c r="R86" s="1"/>
      <c r="T86" s="1"/>
    </row>
    <row r="87" spans="1:22" x14ac:dyDescent="0.25">
      <c r="A87" t="s">
        <v>51</v>
      </c>
      <c r="B87" t="s">
        <v>10</v>
      </c>
      <c r="C87" s="6" t="s">
        <v>39</v>
      </c>
      <c r="D87" t="str">
        <f>CONCATENATE("COMP_",ROW())</f>
        <v>COMP_87</v>
      </c>
      <c r="F87" s="1">
        <v>0.50800000000000001</v>
      </c>
      <c r="G87" s="2">
        <v>0</v>
      </c>
      <c r="H87" s="2">
        <v>90</v>
      </c>
      <c r="I87" s="2">
        <v>0</v>
      </c>
      <c r="J87" s="4">
        <v>0</v>
      </c>
      <c r="K87" s="4">
        <v>0</v>
      </c>
      <c r="L87" s="4">
        <v>0</v>
      </c>
      <c r="M87" s="3">
        <v>220</v>
      </c>
      <c r="N87" s="3">
        <v>3.76</v>
      </c>
      <c r="Q87" t="str">
        <f ca="1">OFFSET($A$1,ROW()-3,3)</f>
        <v>PIPE_85</v>
      </c>
      <c r="R87" s="1" t="s">
        <v>67</v>
      </c>
      <c r="S87" t="str">
        <f ca="1">OFFSET($A$1,ROW()+1,3)</f>
        <v>PIPE_89</v>
      </c>
      <c r="T87" s="1" t="s">
        <v>66</v>
      </c>
    </row>
    <row r="88" spans="1:22" x14ac:dyDescent="0.25">
      <c r="C88" s="6"/>
      <c r="F88" s="1"/>
      <c r="G88" s="2"/>
      <c r="H88" s="2"/>
      <c r="I88" s="2"/>
      <c r="J88" s="4"/>
      <c r="K88" s="4"/>
      <c r="L88" s="4"/>
      <c r="M88" s="3"/>
      <c r="N88" s="3"/>
      <c r="R88" s="1"/>
      <c r="T88" s="1"/>
    </row>
    <row r="89" spans="1:22" x14ac:dyDescent="0.25">
      <c r="A89" t="s">
        <v>7</v>
      </c>
      <c r="B89" t="s">
        <v>7</v>
      </c>
      <c r="C89" s="6" t="s">
        <v>7</v>
      </c>
      <c r="D89" t="str">
        <f>CONCATENATE("PIPE_",ROW())</f>
        <v>PIPE_89</v>
      </c>
      <c r="F89" s="1">
        <f>0.2+0.303+0.178+0.178+0.733+0.2</f>
        <v>1.792</v>
      </c>
      <c r="G89" s="2">
        <v>0</v>
      </c>
      <c r="H89" s="2">
        <v>90</v>
      </c>
      <c r="I89" s="2">
        <v>0</v>
      </c>
      <c r="J89" s="4">
        <v>0</v>
      </c>
      <c r="K89" s="4">
        <v>0</v>
      </c>
      <c r="L89" s="4">
        <v>0</v>
      </c>
      <c r="M89" s="3">
        <v>219.8</v>
      </c>
      <c r="N89" s="3">
        <v>3.76</v>
      </c>
      <c r="O89" s="8">
        <v>1.5</v>
      </c>
      <c r="R89" s="1"/>
      <c r="T89" s="1"/>
      <c r="V89" t="s">
        <v>76</v>
      </c>
    </row>
    <row r="90" spans="1:22" x14ac:dyDescent="0.25">
      <c r="C90" s="6"/>
      <c r="F90" s="1"/>
      <c r="G90" s="2"/>
      <c r="H90" s="2"/>
      <c r="I90" s="2"/>
      <c r="J90" s="4"/>
      <c r="K90" s="4"/>
      <c r="L90" s="4"/>
      <c r="M90" s="3"/>
      <c r="N90" s="3"/>
      <c r="R90" s="1"/>
      <c r="T90" s="1"/>
    </row>
    <row r="91" spans="1:22" x14ac:dyDescent="0.25">
      <c r="A91" t="s">
        <v>51</v>
      </c>
      <c r="B91" t="s">
        <v>10</v>
      </c>
      <c r="C91" s="6" t="s">
        <v>40</v>
      </c>
      <c r="D91" t="str">
        <f>CONCATENATE("COMP_",ROW())</f>
        <v>COMP_91</v>
      </c>
      <c r="F91" s="1">
        <v>0.50800000000000001</v>
      </c>
      <c r="G91" s="2">
        <v>0</v>
      </c>
      <c r="H91" s="2">
        <v>90</v>
      </c>
      <c r="I91" s="2">
        <v>0</v>
      </c>
      <c r="J91" s="4">
        <v>0</v>
      </c>
      <c r="K91" s="4">
        <v>0</v>
      </c>
      <c r="L91" s="4">
        <v>0</v>
      </c>
      <c r="M91" s="3">
        <v>220</v>
      </c>
      <c r="N91" s="3">
        <v>3.76</v>
      </c>
      <c r="Q91" t="str">
        <f ca="1">OFFSET($A$1,ROW()-3,3)</f>
        <v>PIPE_89</v>
      </c>
      <c r="R91" s="1" t="s">
        <v>67</v>
      </c>
      <c r="S91" t="str">
        <f ca="1">OFFSET($A$1,ROW()+1,3)</f>
        <v>PIPE_93</v>
      </c>
      <c r="T91" s="1" t="s">
        <v>66</v>
      </c>
    </row>
    <row r="92" spans="1:22" x14ac:dyDescent="0.25">
      <c r="C92" s="6"/>
      <c r="F92" s="1"/>
      <c r="G92" s="2"/>
      <c r="H92" s="2"/>
      <c r="I92" s="2"/>
      <c r="J92" s="4"/>
      <c r="K92" s="4"/>
      <c r="L92" s="4"/>
      <c r="M92" s="3"/>
      <c r="N92" s="3"/>
      <c r="R92" s="1"/>
      <c r="T92" s="1"/>
    </row>
    <row r="93" spans="1:22" x14ac:dyDescent="0.25">
      <c r="A93" t="s">
        <v>7</v>
      </c>
      <c r="B93" t="s">
        <v>7</v>
      </c>
      <c r="C93" s="6" t="s">
        <v>7</v>
      </c>
      <c r="D93" t="str">
        <f>CONCATENATE("PIPE_",ROW())</f>
        <v>PIPE_93</v>
      </c>
      <c r="F93" s="1">
        <f>0.241+0.305</f>
        <v>0.54600000000000004</v>
      </c>
      <c r="G93" s="2">
        <v>0</v>
      </c>
      <c r="H93" s="2">
        <v>90</v>
      </c>
      <c r="I93" s="2">
        <v>0</v>
      </c>
      <c r="J93" s="4">
        <v>0</v>
      </c>
      <c r="K93" s="4">
        <v>0</v>
      </c>
      <c r="L93" s="4">
        <v>0</v>
      </c>
      <c r="M93" s="3">
        <v>219.8</v>
      </c>
      <c r="N93" s="3">
        <v>3.76</v>
      </c>
      <c r="O93" s="8">
        <v>1.5</v>
      </c>
      <c r="R93" s="1"/>
      <c r="T93" s="1"/>
    </row>
    <row r="94" spans="1:22" x14ac:dyDescent="0.25">
      <c r="A94" t="s">
        <v>7</v>
      </c>
      <c r="B94" t="s">
        <v>7</v>
      </c>
      <c r="C94" s="6" t="s">
        <v>7</v>
      </c>
      <c r="D94" t="str">
        <f>CONCATENATE("PIPE_",ROW())</f>
        <v>PIPE_94</v>
      </c>
      <c r="F94" s="1">
        <v>1.35</v>
      </c>
      <c r="G94" s="2">
        <v>0</v>
      </c>
      <c r="H94" s="2">
        <v>0</v>
      </c>
      <c r="I94" s="2">
        <v>0</v>
      </c>
      <c r="J94" s="4">
        <v>0</v>
      </c>
      <c r="K94" s="4">
        <v>0</v>
      </c>
      <c r="L94" s="4">
        <v>0</v>
      </c>
      <c r="M94" s="3">
        <v>219.8</v>
      </c>
      <c r="N94" s="3">
        <v>3.76</v>
      </c>
      <c r="O94" s="8">
        <v>1.5</v>
      </c>
      <c r="R94" s="1"/>
      <c r="T94" s="1"/>
    </row>
    <row r="95" spans="1:22" x14ac:dyDescent="0.25">
      <c r="C95" s="6"/>
      <c r="F95" s="1"/>
      <c r="G95" s="2"/>
      <c r="H95" s="2"/>
      <c r="I95" s="2"/>
      <c r="J95" s="4"/>
      <c r="K95" s="4"/>
      <c r="L95" s="4"/>
      <c r="M95" s="3"/>
      <c r="N95" s="3"/>
      <c r="R95" s="1"/>
      <c r="T95" s="1"/>
    </row>
    <row r="96" spans="1:22" x14ac:dyDescent="0.25">
      <c r="A96" t="s">
        <v>51</v>
      </c>
      <c r="B96" t="s">
        <v>11</v>
      </c>
      <c r="C96" s="6" t="s">
        <v>22</v>
      </c>
      <c r="D96" t="str">
        <f>CONCATENATE("COMP_",ROW())</f>
        <v>COMP_96</v>
      </c>
      <c r="F96" s="1">
        <v>0</v>
      </c>
      <c r="G96" s="2">
        <v>0</v>
      </c>
      <c r="H96" s="2">
        <v>0</v>
      </c>
      <c r="I96" s="2">
        <v>0</v>
      </c>
      <c r="J96" s="4">
        <v>0</v>
      </c>
      <c r="K96" s="4">
        <v>0</v>
      </c>
      <c r="L96" s="4">
        <v>0</v>
      </c>
      <c r="M96" s="3">
        <v>220</v>
      </c>
      <c r="N96" s="3">
        <v>3.76</v>
      </c>
      <c r="Q96" t="str">
        <f ca="1">OFFSET($A$1,ROW()-3,3)</f>
        <v>PIPE_94</v>
      </c>
      <c r="R96" s="1" t="s">
        <v>67</v>
      </c>
      <c r="S96" t="str">
        <f>D63</f>
        <v>PIPE_63</v>
      </c>
      <c r="T96" s="1" t="s">
        <v>66</v>
      </c>
    </row>
    <row r="97" spans="1:23" x14ac:dyDescent="0.25">
      <c r="C97" s="6"/>
      <c r="F97" s="1"/>
      <c r="G97" s="2"/>
      <c r="H97" s="2"/>
      <c r="I97" s="2"/>
      <c r="J97" s="4"/>
      <c r="K97" s="4"/>
      <c r="L97" s="4"/>
      <c r="M97" s="3"/>
      <c r="N97" s="3"/>
      <c r="R97" s="1"/>
      <c r="T97" s="1"/>
    </row>
    <row r="98" spans="1:23" x14ac:dyDescent="0.25">
      <c r="C98" s="6"/>
      <c r="F98" s="1"/>
      <c r="G98" s="2"/>
      <c r="H98" s="2"/>
      <c r="I98" s="2"/>
      <c r="J98" s="4"/>
      <c r="K98" s="4"/>
      <c r="L98" s="4"/>
      <c r="M98" s="3"/>
      <c r="N98" s="3"/>
      <c r="R98" s="1"/>
      <c r="T98" s="1"/>
    </row>
    <row r="99" spans="1:23" x14ac:dyDescent="0.25">
      <c r="C99" s="6"/>
      <c r="F99" s="1"/>
      <c r="G99" s="2"/>
      <c r="H99" s="2"/>
      <c r="I99" s="2"/>
      <c r="J99" s="4"/>
      <c r="K99" s="4"/>
      <c r="L99" s="4"/>
      <c r="M99" s="3"/>
      <c r="N99" s="3"/>
      <c r="R99" s="1"/>
      <c r="T99" s="1"/>
    </row>
    <row r="100" spans="1:23" x14ac:dyDescent="0.25">
      <c r="A100" t="s">
        <v>28</v>
      </c>
      <c r="B100" t="s">
        <v>41</v>
      </c>
      <c r="C100" s="6"/>
      <c r="F100" s="1"/>
      <c r="G100" s="2"/>
      <c r="H100" s="2"/>
      <c r="I100" s="2"/>
      <c r="J100" s="4"/>
      <c r="K100" s="4"/>
      <c r="L100" s="4"/>
      <c r="M100" s="3"/>
      <c r="N100" s="3"/>
      <c r="R100" s="1"/>
      <c r="T100" s="1"/>
    </row>
    <row r="101" spans="1:23" x14ac:dyDescent="0.25">
      <c r="A101" t="s">
        <v>51</v>
      </c>
      <c r="B101" t="s">
        <v>11</v>
      </c>
      <c r="C101" s="6" t="s">
        <v>22</v>
      </c>
      <c r="D101" t="str">
        <f>CONCATENATE("COMP_",ROW())</f>
        <v>COMP_101</v>
      </c>
      <c r="F101" s="1">
        <v>0</v>
      </c>
      <c r="G101" s="2">
        <v>0</v>
      </c>
      <c r="H101" s="2">
        <v>0</v>
      </c>
      <c r="I101" s="2">
        <v>0</v>
      </c>
      <c r="J101" s="4">
        <v>0</v>
      </c>
      <c r="K101" s="4">
        <v>0</v>
      </c>
      <c r="L101" s="4">
        <v>0</v>
      </c>
      <c r="M101" s="3">
        <f>6*25.4</f>
        <v>152.39999999999998</v>
      </c>
      <c r="N101" s="3">
        <v>3.76</v>
      </c>
      <c r="Q101" t="str">
        <f>D81</f>
        <v>PIPE_81</v>
      </c>
      <c r="R101" s="1">
        <v>0.378</v>
      </c>
      <c r="S101" t="str">
        <f ca="1">OFFSET($A$1,ROW()+1,3)</f>
        <v>PIPE_103</v>
      </c>
      <c r="T101" s="1" t="s">
        <v>66</v>
      </c>
    </row>
    <row r="102" spans="1:23" x14ac:dyDescent="0.25">
      <c r="C102" s="6"/>
      <c r="F102" s="1"/>
      <c r="G102" s="2"/>
      <c r="H102" s="2"/>
      <c r="I102" s="2"/>
      <c r="J102" s="4"/>
      <c r="K102" s="4"/>
      <c r="L102" s="4"/>
      <c r="M102" s="3"/>
      <c r="N102" s="3"/>
      <c r="R102" s="1"/>
      <c r="T102" s="1"/>
    </row>
    <row r="103" spans="1:23" x14ac:dyDescent="0.25">
      <c r="A103" t="s">
        <v>7</v>
      </c>
      <c r="B103" t="s">
        <v>7</v>
      </c>
      <c r="C103" s="6" t="s">
        <v>7</v>
      </c>
      <c r="D103" t="str">
        <f t="shared" ref="D103:D108" si="3">CONCATENATE("PIPE_",ROW())</f>
        <v>PIPE_103</v>
      </c>
      <c r="F103" s="1">
        <v>0.5</v>
      </c>
      <c r="G103" s="2">
        <v>0</v>
      </c>
      <c r="H103" s="2">
        <v>0</v>
      </c>
      <c r="I103" s="2">
        <v>0</v>
      </c>
      <c r="J103" s="4">
        <v>0</v>
      </c>
      <c r="K103" s="4">
        <v>0</v>
      </c>
      <c r="L103" s="4">
        <v>0</v>
      </c>
      <c r="M103" s="3">
        <f t="shared" ref="M103:M108" si="4">6*25.4</f>
        <v>152.39999999999998</v>
      </c>
      <c r="N103" s="3">
        <v>3.76</v>
      </c>
      <c r="O103" s="8">
        <v>1.5</v>
      </c>
      <c r="R103" s="1"/>
      <c r="T103" s="1"/>
    </row>
    <row r="104" spans="1:23" x14ac:dyDescent="0.25">
      <c r="A104" t="s">
        <v>7</v>
      </c>
      <c r="B104" t="s">
        <v>7</v>
      </c>
      <c r="C104" s="6" t="s">
        <v>7</v>
      </c>
      <c r="D104" t="str">
        <f t="shared" si="3"/>
        <v>PIPE_104</v>
      </c>
      <c r="F104" s="1">
        <v>1.49</v>
      </c>
      <c r="G104" s="2">
        <v>90</v>
      </c>
      <c r="H104" s="2">
        <v>0</v>
      </c>
      <c r="I104" s="2">
        <v>0</v>
      </c>
      <c r="J104" s="4">
        <v>0</v>
      </c>
      <c r="K104" s="4">
        <v>0</v>
      </c>
      <c r="L104" s="4">
        <v>0</v>
      </c>
      <c r="M104" s="3">
        <f t="shared" si="4"/>
        <v>152.39999999999998</v>
      </c>
      <c r="N104" s="3">
        <v>3.76</v>
      </c>
      <c r="O104" s="8">
        <v>1.5</v>
      </c>
      <c r="R104" s="1"/>
      <c r="T104" s="1"/>
    </row>
    <row r="105" spans="1:23" x14ac:dyDescent="0.25">
      <c r="A105" t="s">
        <v>7</v>
      </c>
      <c r="B105" t="s">
        <v>7</v>
      </c>
      <c r="C105" s="6" t="s">
        <v>7</v>
      </c>
      <c r="D105" t="str">
        <f t="shared" si="3"/>
        <v>PIPE_105</v>
      </c>
      <c r="F105" s="1">
        <v>1.49</v>
      </c>
      <c r="G105" s="2">
        <v>0</v>
      </c>
      <c r="H105" s="2">
        <v>270</v>
      </c>
      <c r="I105" s="2">
        <v>0</v>
      </c>
      <c r="J105" s="4">
        <v>0</v>
      </c>
      <c r="K105" s="4">
        <v>0</v>
      </c>
      <c r="L105" s="4">
        <v>0</v>
      </c>
      <c r="M105" s="3">
        <f t="shared" si="4"/>
        <v>152.39999999999998</v>
      </c>
      <c r="N105" s="3">
        <v>3.76</v>
      </c>
      <c r="O105" s="8">
        <v>1.5</v>
      </c>
      <c r="R105" s="1"/>
      <c r="T105" s="1"/>
      <c r="W105" t="s">
        <v>42</v>
      </c>
    </row>
    <row r="106" spans="1:23" x14ac:dyDescent="0.25">
      <c r="A106" t="s">
        <v>7</v>
      </c>
      <c r="B106" t="s">
        <v>7</v>
      </c>
      <c r="C106" s="6" t="s">
        <v>7</v>
      </c>
      <c r="D106" t="str">
        <f t="shared" si="3"/>
        <v>PIPE_106</v>
      </c>
      <c r="F106" s="1">
        <v>1.49</v>
      </c>
      <c r="G106" s="2">
        <v>0</v>
      </c>
      <c r="H106" s="2">
        <v>0</v>
      </c>
      <c r="I106" s="2">
        <v>0</v>
      </c>
      <c r="J106" s="4">
        <v>0</v>
      </c>
      <c r="K106" s="4">
        <v>0</v>
      </c>
      <c r="L106" s="4">
        <v>0</v>
      </c>
      <c r="M106" s="3">
        <f t="shared" si="4"/>
        <v>152.39999999999998</v>
      </c>
      <c r="N106" s="3">
        <v>3.76</v>
      </c>
      <c r="O106" s="8">
        <v>1.5</v>
      </c>
      <c r="R106" s="1"/>
      <c r="T106" s="1"/>
      <c r="W106" t="s">
        <v>42</v>
      </c>
    </row>
    <row r="107" spans="1:23" x14ac:dyDescent="0.25">
      <c r="A107" t="s">
        <v>7</v>
      </c>
      <c r="B107" t="s">
        <v>7</v>
      </c>
      <c r="C107" s="6" t="s">
        <v>7</v>
      </c>
      <c r="D107" t="str">
        <f t="shared" si="3"/>
        <v>PIPE_107</v>
      </c>
      <c r="F107" s="1">
        <v>3.2</v>
      </c>
      <c r="G107" s="2">
        <v>90</v>
      </c>
      <c r="H107" s="2">
        <v>0</v>
      </c>
      <c r="I107" s="2">
        <v>0</v>
      </c>
      <c r="J107" s="4">
        <v>0</v>
      </c>
      <c r="K107" s="4">
        <v>0</v>
      </c>
      <c r="L107" s="4">
        <v>0</v>
      </c>
      <c r="M107" s="3">
        <f t="shared" si="4"/>
        <v>152.39999999999998</v>
      </c>
      <c r="N107" s="3">
        <v>3.76</v>
      </c>
      <c r="O107" s="8">
        <v>1.5</v>
      </c>
      <c r="R107" s="1"/>
      <c r="T107" s="1"/>
    </row>
    <row r="108" spans="1:23" x14ac:dyDescent="0.25">
      <c r="A108" t="s">
        <v>7</v>
      </c>
      <c r="B108" t="s">
        <v>7</v>
      </c>
      <c r="C108" s="6" t="s">
        <v>7</v>
      </c>
      <c r="D108" t="str">
        <f t="shared" si="3"/>
        <v>PIPE_108</v>
      </c>
      <c r="F108" s="1">
        <f>0.229+0.1</f>
        <v>0.32900000000000001</v>
      </c>
      <c r="G108" s="2">
        <v>0</v>
      </c>
      <c r="H108" s="2">
        <v>51</v>
      </c>
      <c r="I108" s="2">
        <v>0</v>
      </c>
      <c r="J108" s="4">
        <v>0</v>
      </c>
      <c r="K108" s="4">
        <v>0</v>
      </c>
      <c r="L108" s="4">
        <v>0</v>
      </c>
      <c r="M108" s="3">
        <f t="shared" si="4"/>
        <v>152.39999999999998</v>
      </c>
      <c r="N108" s="3">
        <v>3.76</v>
      </c>
      <c r="O108" s="8">
        <v>1.5</v>
      </c>
      <c r="R108" s="1"/>
      <c r="T108" s="1"/>
    </row>
    <row r="109" spans="1:23" x14ac:dyDescent="0.25">
      <c r="C109" s="6"/>
      <c r="F109" s="1"/>
      <c r="G109" s="2"/>
      <c r="H109" s="2"/>
      <c r="I109" s="2"/>
      <c r="J109" s="4"/>
      <c r="K109" s="4"/>
      <c r="L109" s="4"/>
      <c r="M109" s="3"/>
      <c r="N109" s="3"/>
      <c r="R109" s="1"/>
      <c r="T109" s="1"/>
    </row>
    <row r="110" spans="1:23" x14ac:dyDescent="0.25">
      <c r="A110" t="s">
        <v>51</v>
      </c>
      <c r="B110" t="s">
        <v>10</v>
      </c>
      <c r="C110" s="6" t="s">
        <v>45</v>
      </c>
      <c r="D110" t="str">
        <f>CONCATENATE("COMP_",ROW())</f>
        <v>COMP_110</v>
      </c>
      <c r="F110" s="1">
        <v>0.50800000000000001</v>
      </c>
      <c r="G110" s="2">
        <v>0</v>
      </c>
      <c r="H110" s="2">
        <v>51</v>
      </c>
      <c r="I110" s="2">
        <v>0</v>
      </c>
      <c r="J110" s="4">
        <v>0</v>
      </c>
      <c r="K110" s="4">
        <v>0</v>
      </c>
      <c r="L110" s="4">
        <v>0</v>
      </c>
      <c r="M110" s="3">
        <f>6*25.4</f>
        <v>152.39999999999998</v>
      </c>
      <c r="N110" s="3">
        <v>3.76</v>
      </c>
      <c r="Q110" t="str">
        <f ca="1">OFFSET($A$1,ROW()-3,3)</f>
        <v>PIPE_108</v>
      </c>
      <c r="R110" s="1" t="s">
        <v>67</v>
      </c>
      <c r="S110" t="str">
        <f ca="1">OFFSET($A$1,ROW()+1,3)</f>
        <v>PIPE_112</v>
      </c>
      <c r="T110" s="1" t="s">
        <v>66</v>
      </c>
    </row>
    <row r="111" spans="1:23" x14ac:dyDescent="0.25">
      <c r="C111" s="6"/>
      <c r="F111" s="1"/>
      <c r="G111" s="2"/>
      <c r="H111" s="2"/>
      <c r="I111" s="2"/>
      <c r="J111" s="4"/>
      <c r="K111" s="4"/>
      <c r="L111" s="4"/>
      <c r="M111" s="3"/>
      <c r="N111" s="3"/>
      <c r="R111" s="1"/>
      <c r="T111" s="1"/>
    </row>
    <row r="112" spans="1:23" x14ac:dyDescent="0.25">
      <c r="A112" t="s">
        <v>7</v>
      </c>
      <c r="B112" t="s">
        <v>7</v>
      </c>
      <c r="C112" s="6" t="s">
        <v>7</v>
      </c>
      <c r="D112" t="str">
        <f>CONCATENATE("PIPE_",ROW())</f>
        <v>PIPE_112</v>
      </c>
      <c r="F112" s="1">
        <f>0.15+0.15</f>
        <v>0.3</v>
      </c>
      <c r="G112" s="2">
        <v>0</v>
      </c>
      <c r="H112" s="2">
        <v>51</v>
      </c>
      <c r="I112" s="2">
        <v>0</v>
      </c>
      <c r="J112" s="4">
        <v>0</v>
      </c>
      <c r="K112" s="4">
        <v>0</v>
      </c>
      <c r="L112" s="4">
        <v>0</v>
      </c>
      <c r="M112" s="3">
        <f>6*25.4</f>
        <v>152.39999999999998</v>
      </c>
      <c r="N112" s="3">
        <v>3.76</v>
      </c>
      <c r="O112" s="8">
        <v>1.5</v>
      </c>
      <c r="R112" s="1"/>
      <c r="T112" s="1"/>
      <c r="V112" t="s">
        <v>78</v>
      </c>
      <c r="W112" t="s">
        <v>43</v>
      </c>
    </row>
    <row r="113" spans="1:20" x14ac:dyDescent="0.25">
      <c r="A113" t="s">
        <v>7</v>
      </c>
      <c r="B113" t="s">
        <v>7</v>
      </c>
      <c r="C113" s="6" t="s">
        <v>7</v>
      </c>
      <c r="D113" t="str">
        <f>CONCATENATE("PIPE_",ROW())</f>
        <v>PIPE_113</v>
      </c>
      <c r="F113" s="1">
        <f>0.322-0.15+0.089*2+0.332+0.229</f>
        <v>0.91099999999999992</v>
      </c>
      <c r="G113" s="2">
        <v>0</v>
      </c>
      <c r="H113" s="2">
        <v>51</v>
      </c>
      <c r="I113" s="2">
        <v>0</v>
      </c>
      <c r="J113" s="4">
        <v>0</v>
      </c>
      <c r="K113" s="4">
        <v>0</v>
      </c>
      <c r="L113" s="4">
        <v>0</v>
      </c>
      <c r="M113" s="3">
        <f>6*25.4</f>
        <v>152.39999999999998</v>
      </c>
      <c r="N113" s="3">
        <v>3.76</v>
      </c>
      <c r="O113" s="8">
        <v>1.5</v>
      </c>
      <c r="R113" s="1"/>
      <c r="T113" s="1"/>
    </row>
    <row r="114" spans="1:20" x14ac:dyDescent="0.25">
      <c r="A114" t="s">
        <v>7</v>
      </c>
      <c r="B114" t="s">
        <v>7</v>
      </c>
      <c r="C114" s="6" t="s">
        <v>7</v>
      </c>
      <c r="D114" t="str">
        <f>CONCATENATE("PIPE_",ROW())</f>
        <v>PIPE_114</v>
      </c>
      <c r="F114" s="1">
        <v>0.22900000000000001</v>
      </c>
      <c r="G114" s="2">
        <v>-90</v>
      </c>
      <c r="H114" s="2">
        <v>0</v>
      </c>
      <c r="I114" s="2">
        <v>0</v>
      </c>
      <c r="J114" s="4">
        <v>0</v>
      </c>
      <c r="K114" s="4">
        <v>0</v>
      </c>
      <c r="L114" s="4">
        <v>0</v>
      </c>
      <c r="M114" s="3">
        <f>6*25.4</f>
        <v>152.39999999999998</v>
      </c>
      <c r="N114" s="3">
        <v>3.76</v>
      </c>
      <c r="O114" s="8">
        <v>1.5</v>
      </c>
      <c r="R114" s="1"/>
      <c r="T114" s="1"/>
    </row>
    <row r="115" spans="1:20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0" x14ac:dyDescent="0.25">
      <c r="A116" t="s">
        <v>51</v>
      </c>
      <c r="B116" t="s">
        <v>9</v>
      </c>
      <c r="C116" s="6" t="s">
        <v>22</v>
      </c>
      <c r="D116" t="str">
        <f>CONCATENATE("COMP_",ROW())</f>
        <v>COMP_116</v>
      </c>
      <c r="F116" s="1">
        <v>0.152</v>
      </c>
      <c r="G116" s="2">
        <v>-90</v>
      </c>
      <c r="H116" s="2">
        <v>0</v>
      </c>
      <c r="I116" s="2">
        <v>0</v>
      </c>
      <c r="J116" s="4">
        <v>0</v>
      </c>
      <c r="K116" s="4">
        <v>0</v>
      </c>
      <c r="L116" s="4">
        <v>0</v>
      </c>
      <c r="M116" s="3">
        <f>6*25.4</f>
        <v>152.39999999999998</v>
      </c>
      <c r="N116" s="3">
        <v>3.76</v>
      </c>
      <c r="O116" s="8">
        <v>0.2198</v>
      </c>
      <c r="Q116" t="str">
        <f ca="1">OFFSET($A$1,ROW()-3,3)</f>
        <v>PIPE_114</v>
      </c>
      <c r="R116" s="1" t="s">
        <v>67</v>
      </c>
      <c r="S116" t="str">
        <f ca="1">OFFSET($A$1,ROW()+1,3)</f>
        <v>PIPE_118</v>
      </c>
      <c r="T116" s="1" t="s">
        <v>66</v>
      </c>
    </row>
    <row r="117" spans="1:20" x14ac:dyDescent="0.25">
      <c r="C117" s="6"/>
      <c r="F117" s="1"/>
      <c r="G117" s="2"/>
      <c r="H117" s="2"/>
      <c r="I117" s="2"/>
      <c r="J117" s="4"/>
      <c r="K117" s="4"/>
      <c r="L117" s="4"/>
      <c r="M117" s="3"/>
      <c r="N117" s="3"/>
      <c r="R117" s="1"/>
      <c r="T117" s="1"/>
    </row>
    <row r="118" spans="1:20" x14ac:dyDescent="0.25">
      <c r="A118" t="s">
        <v>7</v>
      </c>
      <c r="B118" t="s">
        <v>7</v>
      </c>
      <c r="C118" s="6" t="s">
        <v>7</v>
      </c>
      <c r="D118" t="str">
        <f>CONCATENATE("PIPE_",ROW())</f>
        <v>PIPE_118</v>
      </c>
      <c r="F118" s="1">
        <v>0.22900000000000001</v>
      </c>
      <c r="G118" s="2">
        <v>-90</v>
      </c>
      <c r="H118" s="2">
        <v>0</v>
      </c>
      <c r="I118" s="2">
        <v>0</v>
      </c>
      <c r="J118" s="4">
        <v>0</v>
      </c>
      <c r="K118" s="4">
        <v>0</v>
      </c>
      <c r="L118" s="4">
        <v>0</v>
      </c>
      <c r="M118" s="3">
        <v>219.8</v>
      </c>
      <c r="N118" s="3">
        <v>3.76</v>
      </c>
      <c r="O118" s="8">
        <v>1.5</v>
      </c>
      <c r="R118" s="1"/>
      <c r="T118" s="1"/>
    </row>
    <row r="119" spans="1:20" x14ac:dyDescent="0.25">
      <c r="C119" s="6"/>
      <c r="F119" s="1"/>
      <c r="G119" s="2"/>
      <c r="H119" s="2"/>
      <c r="I119" s="2"/>
      <c r="J119" s="4"/>
      <c r="K119" s="4"/>
      <c r="L119" s="4"/>
      <c r="M119" s="3"/>
      <c r="N119" s="3"/>
      <c r="R119" s="1"/>
      <c r="T119" s="1"/>
    </row>
    <row r="120" spans="1:20" x14ac:dyDescent="0.25">
      <c r="C120" s="6"/>
      <c r="F120" s="1"/>
      <c r="G120" s="2"/>
      <c r="H120" s="2"/>
      <c r="I120" s="2"/>
      <c r="J120" s="4"/>
      <c r="K120" s="4"/>
      <c r="L120" s="4"/>
      <c r="M120" s="3"/>
      <c r="N120" s="3"/>
      <c r="R120" s="1"/>
      <c r="T120" s="1"/>
    </row>
    <row r="121" spans="1:20" x14ac:dyDescent="0.25">
      <c r="C121" s="6"/>
      <c r="F121" s="1"/>
      <c r="G121" s="2"/>
      <c r="H121" s="2"/>
      <c r="I121" s="2"/>
      <c r="J121" s="4"/>
      <c r="K121" s="4"/>
      <c r="L121" s="4"/>
      <c r="M121" s="3"/>
      <c r="N121" s="3"/>
      <c r="R121" s="1"/>
      <c r="T121" s="1"/>
    </row>
    <row r="122" spans="1:20" x14ac:dyDescent="0.25">
      <c r="A122" t="s">
        <v>28</v>
      </c>
      <c r="B122" t="s">
        <v>68</v>
      </c>
      <c r="C122" s="6"/>
      <c r="F122" s="1"/>
      <c r="G122" s="2"/>
      <c r="H122" s="2"/>
      <c r="I122" s="2"/>
      <c r="J122" s="4"/>
      <c r="K122" s="4"/>
      <c r="L122" s="4"/>
      <c r="M122" s="3"/>
      <c r="N122" s="3"/>
      <c r="R122" s="1"/>
      <c r="T122" s="1"/>
    </row>
    <row r="123" spans="1:20" x14ac:dyDescent="0.25">
      <c r="A123" t="s">
        <v>51</v>
      </c>
      <c r="B123" t="s">
        <v>11</v>
      </c>
      <c r="C123" s="6" t="s">
        <v>22</v>
      </c>
      <c r="D123" t="str">
        <f>CONCATENATE("COMP_",ROW())</f>
        <v>COMP_123</v>
      </c>
      <c r="F123" s="1">
        <v>0</v>
      </c>
      <c r="G123" s="2">
        <v>0</v>
      </c>
      <c r="H123" s="2">
        <v>0</v>
      </c>
      <c r="I123" s="2">
        <v>0</v>
      </c>
      <c r="J123" s="4">
        <v>0</v>
      </c>
      <c r="K123" s="4">
        <v>0</v>
      </c>
      <c r="L123" s="4">
        <v>0</v>
      </c>
      <c r="M123" s="3">
        <v>26.67</v>
      </c>
      <c r="N123" s="3">
        <v>2.87</v>
      </c>
      <c r="Q123" t="str">
        <f>D112</f>
        <v>PIPE_112</v>
      </c>
      <c r="R123" s="1">
        <v>0.5</v>
      </c>
      <c r="S123" t="str">
        <f ca="1">OFFSET($A$1,ROW()+1,3)</f>
        <v>PIPE_125</v>
      </c>
      <c r="T123" s="1" t="s">
        <v>66</v>
      </c>
    </row>
    <row r="124" spans="1:20" x14ac:dyDescent="0.25">
      <c r="C124" s="6"/>
      <c r="F124" s="1"/>
      <c r="G124" s="2"/>
      <c r="H124" s="2"/>
      <c r="I124" s="2"/>
      <c r="J124" s="4"/>
      <c r="K124" s="4"/>
      <c r="L124" s="4"/>
      <c r="M124" s="3"/>
      <c r="N124" s="3"/>
      <c r="R124" s="1"/>
      <c r="T124" s="1"/>
    </row>
    <row r="125" spans="1:20" x14ac:dyDescent="0.25">
      <c r="A125" t="s">
        <v>7</v>
      </c>
      <c r="B125" t="s">
        <v>7</v>
      </c>
      <c r="C125" s="6" t="s">
        <v>7</v>
      </c>
      <c r="D125" t="str">
        <f t="shared" ref="D125:D133" si="5">CONCATENATE("PIPE_",ROW())</f>
        <v>PIPE_125</v>
      </c>
      <c r="F125" s="1">
        <v>0.1</v>
      </c>
      <c r="G125" s="2">
        <v>90</v>
      </c>
      <c r="H125" s="2">
        <v>0</v>
      </c>
      <c r="I125" s="2">
        <v>0</v>
      </c>
      <c r="J125" s="4">
        <v>0</v>
      </c>
      <c r="K125" s="4">
        <v>0</v>
      </c>
      <c r="L125" s="4">
        <v>0</v>
      </c>
      <c r="M125" s="3">
        <v>26.67</v>
      </c>
      <c r="N125" s="3">
        <v>2.87</v>
      </c>
      <c r="O125" s="8">
        <v>1.5</v>
      </c>
      <c r="R125" s="1"/>
      <c r="T125" s="1"/>
    </row>
    <row r="126" spans="1:20" x14ac:dyDescent="0.25">
      <c r="C126" s="6"/>
      <c r="F126" s="1"/>
      <c r="G126" s="2"/>
      <c r="H126" s="2"/>
      <c r="I126" s="2"/>
      <c r="J126" s="4"/>
      <c r="K126" s="4"/>
      <c r="L126" s="4"/>
      <c r="M126" s="3"/>
      <c r="N126" s="3"/>
      <c r="R126" s="1"/>
      <c r="T126" s="1"/>
    </row>
    <row r="127" spans="1:20" x14ac:dyDescent="0.25">
      <c r="A127" t="s">
        <v>51</v>
      </c>
      <c r="B127" t="s">
        <v>9</v>
      </c>
      <c r="C127" s="6" t="s">
        <v>11</v>
      </c>
      <c r="D127" t="str">
        <f>CONCATENATE("COMP_",ROW())</f>
        <v>COMP_127</v>
      </c>
      <c r="F127" s="1">
        <v>0.03</v>
      </c>
      <c r="G127" s="2">
        <v>90</v>
      </c>
      <c r="H127" s="2">
        <v>0</v>
      </c>
      <c r="I127" s="2">
        <v>0</v>
      </c>
      <c r="J127" s="4">
        <v>0</v>
      </c>
      <c r="K127" s="4">
        <v>0</v>
      </c>
      <c r="L127" s="4">
        <v>0</v>
      </c>
      <c r="M127" s="3">
        <v>26.67</v>
      </c>
      <c r="N127" s="3">
        <v>2.87</v>
      </c>
      <c r="O127" s="8">
        <v>2.1299999999999999E-2</v>
      </c>
      <c r="Q127" t="str">
        <f ca="1">OFFSET($A$1,ROW()-3,3)</f>
        <v>PIPE_125</v>
      </c>
      <c r="R127" s="1" t="s">
        <v>67</v>
      </c>
      <c r="S127" t="str">
        <f ca="1">OFFSET($A$1,ROW()+1,3)</f>
        <v>PIPE_129</v>
      </c>
      <c r="T127" s="1" t="s">
        <v>66</v>
      </c>
    </row>
    <row r="128" spans="1:20" x14ac:dyDescent="0.25">
      <c r="C128" s="6"/>
      <c r="F128" s="1"/>
      <c r="G128" s="2"/>
      <c r="H128" s="2"/>
      <c r="I128" s="2"/>
      <c r="J128" s="4"/>
      <c r="K128" s="4"/>
      <c r="L128" s="4"/>
      <c r="M128" s="3"/>
      <c r="N128" s="3"/>
      <c r="R128" s="1"/>
      <c r="T128" s="1"/>
    </row>
    <row r="129" spans="1:20" x14ac:dyDescent="0.25">
      <c r="A129" t="s">
        <v>7</v>
      </c>
      <c r="B129" t="s">
        <v>7</v>
      </c>
      <c r="C129" s="6" t="s">
        <v>7</v>
      </c>
      <c r="D129" t="str">
        <f t="shared" si="5"/>
        <v>PIPE_129</v>
      </c>
      <c r="F129" s="1">
        <f>0.29-0.1-0.03</f>
        <v>0.15999999999999998</v>
      </c>
      <c r="G129" s="2">
        <v>90</v>
      </c>
      <c r="H129" s="2">
        <v>0</v>
      </c>
      <c r="I129" s="2">
        <v>0</v>
      </c>
      <c r="J129" s="4">
        <v>0</v>
      </c>
      <c r="K129" s="4">
        <v>0</v>
      </c>
      <c r="L129" s="4">
        <v>0</v>
      </c>
      <c r="M129" s="3">
        <v>21.3</v>
      </c>
      <c r="N129" s="3">
        <v>2.77</v>
      </c>
      <c r="O129" s="8">
        <v>1.5</v>
      </c>
      <c r="R129" s="1"/>
      <c r="T129" s="1"/>
    </row>
    <row r="130" spans="1:20" x14ac:dyDescent="0.25">
      <c r="A130" t="s">
        <v>7</v>
      </c>
      <c r="B130" t="s">
        <v>7</v>
      </c>
      <c r="C130" s="6" t="s">
        <v>7</v>
      </c>
      <c r="D130" t="str">
        <f t="shared" si="5"/>
        <v>PIPE_130</v>
      </c>
      <c r="F130" s="1">
        <v>0.161</v>
      </c>
      <c r="G130" s="2">
        <f>ATAN(60/150)*180/PI()</f>
        <v>21.801409486351812</v>
      </c>
      <c r="H130" s="2">
        <v>90</v>
      </c>
      <c r="I130" s="2">
        <v>0</v>
      </c>
      <c r="J130" s="4">
        <v>0</v>
      </c>
      <c r="K130" s="4">
        <v>0</v>
      </c>
      <c r="L130" s="4">
        <v>0</v>
      </c>
      <c r="M130" s="3">
        <v>21.3</v>
      </c>
      <c r="N130" s="3">
        <v>2.77</v>
      </c>
      <c r="O130" s="8">
        <v>1.5</v>
      </c>
      <c r="R130" s="1"/>
      <c r="T130" s="1"/>
    </row>
    <row r="131" spans="1:20" x14ac:dyDescent="0.25">
      <c r="A131" t="s">
        <v>7</v>
      </c>
      <c r="B131" t="s">
        <v>7</v>
      </c>
      <c r="C131" s="6" t="s">
        <v>7</v>
      </c>
      <c r="D131" t="str">
        <f t="shared" si="5"/>
        <v>PIPE_131</v>
      </c>
      <c r="F131" s="1">
        <v>0.33</v>
      </c>
      <c r="G131" s="2">
        <f>ATAN(140/358)*180/PI()</f>
        <v>21.358552377060573</v>
      </c>
      <c r="H131" s="2">
        <v>180</v>
      </c>
      <c r="I131" s="2">
        <v>0</v>
      </c>
      <c r="J131" s="4">
        <v>0</v>
      </c>
      <c r="K131" s="4">
        <v>0</v>
      </c>
      <c r="L131" s="4">
        <v>0</v>
      </c>
      <c r="M131" s="3">
        <v>21.3</v>
      </c>
      <c r="N131" s="3">
        <v>2.77</v>
      </c>
      <c r="O131" s="8">
        <v>1.5</v>
      </c>
      <c r="R131" s="1"/>
      <c r="T131" s="1"/>
    </row>
    <row r="132" spans="1:20" x14ac:dyDescent="0.25">
      <c r="A132" t="s">
        <v>7</v>
      </c>
      <c r="B132" t="s">
        <v>7</v>
      </c>
      <c r="C132" s="6" t="s">
        <v>7</v>
      </c>
      <c r="D132" t="str">
        <f t="shared" si="5"/>
        <v>PIPE_132</v>
      </c>
      <c r="F132" s="1">
        <v>0.317</v>
      </c>
      <c r="G132" s="2">
        <f>ATAN(120/293)*180/PI()</f>
        <v>22.271862792135984</v>
      </c>
      <c r="H132" s="2">
        <v>270</v>
      </c>
      <c r="I132" s="2">
        <v>0</v>
      </c>
      <c r="J132" s="4">
        <v>0</v>
      </c>
      <c r="K132" s="4">
        <v>0</v>
      </c>
      <c r="L132" s="4">
        <v>0</v>
      </c>
      <c r="M132" s="3">
        <v>21.3</v>
      </c>
      <c r="N132" s="3">
        <v>2.77</v>
      </c>
      <c r="O132" s="8">
        <v>1.5</v>
      </c>
      <c r="R132" s="1"/>
      <c r="T132" s="1"/>
    </row>
    <row r="133" spans="1:20" x14ac:dyDescent="0.25">
      <c r="A133" t="s">
        <v>7</v>
      </c>
      <c r="B133" t="s">
        <v>7</v>
      </c>
      <c r="C133" s="6" t="s">
        <v>7</v>
      </c>
      <c r="D133" t="str">
        <f t="shared" si="5"/>
        <v>PIPE_133</v>
      </c>
      <c r="F133" s="1">
        <v>0.22800000000000001</v>
      </c>
      <c r="G133" s="2">
        <f>ATAN(90/210)*180/PI()</f>
        <v>23.198590513648188</v>
      </c>
      <c r="H133" s="2">
        <v>0</v>
      </c>
      <c r="I133" s="2">
        <v>0</v>
      </c>
      <c r="J133" s="4">
        <v>0</v>
      </c>
      <c r="K133" s="4">
        <v>0</v>
      </c>
      <c r="L133" s="4">
        <v>0</v>
      </c>
      <c r="M133" s="3">
        <v>21.3</v>
      </c>
      <c r="N133" s="3">
        <v>2.77</v>
      </c>
      <c r="O133" s="8">
        <v>1.5</v>
      </c>
      <c r="R133" s="1"/>
      <c r="T133" s="1"/>
    </row>
    <row r="134" spans="1:20" x14ac:dyDescent="0.25">
      <c r="C134" s="6"/>
      <c r="F134" s="1"/>
      <c r="G134" s="2"/>
      <c r="H134" s="2"/>
      <c r="I134" s="2"/>
      <c r="J134" s="4"/>
      <c r="K134" s="4"/>
      <c r="L134" s="4"/>
      <c r="M134" s="3"/>
      <c r="N134" s="3"/>
      <c r="R134" s="1"/>
      <c r="T134" s="1"/>
    </row>
    <row r="135" spans="1:20" x14ac:dyDescent="0.25">
      <c r="A135" t="s">
        <v>51</v>
      </c>
      <c r="B135" t="s">
        <v>11</v>
      </c>
      <c r="C135" s="6" t="s">
        <v>22</v>
      </c>
      <c r="D135" t="str">
        <f>CONCATENATE("COMP_",ROW())</f>
        <v>COMP_135</v>
      </c>
      <c r="F135" s="1">
        <v>0</v>
      </c>
      <c r="G135" s="2">
        <v>0</v>
      </c>
      <c r="H135" s="2">
        <v>0</v>
      </c>
      <c r="I135" s="2">
        <v>0</v>
      </c>
      <c r="J135" s="4">
        <v>-0.05</v>
      </c>
      <c r="K135" s="4">
        <v>0</v>
      </c>
      <c r="L135" s="4">
        <v>7.0000000000000007E-2</v>
      </c>
      <c r="M135" s="3">
        <v>21.3</v>
      </c>
      <c r="N135" s="3">
        <v>2.77</v>
      </c>
      <c r="Q135" t="str">
        <f ca="1">OFFSET($A$1,ROW()-3,3)</f>
        <v>PIPE_133</v>
      </c>
      <c r="R135" s="1" t="s">
        <v>67</v>
      </c>
      <c r="S135" t="str">
        <f ca="1">OFFSET($A$1,ROW()+1,3)</f>
        <v>VOL_137</v>
      </c>
      <c r="T135" s="1" t="s">
        <v>66</v>
      </c>
    </row>
    <row r="136" spans="1:20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1:20" x14ac:dyDescent="0.25">
      <c r="A137" t="s">
        <v>50</v>
      </c>
      <c r="B137" t="s">
        <v>23</v>
      </c>
      <c r="C137" s="6" t="s">
        <v>79</v>
      </c>
      <c r="D137" t="str">
        <f>CONCATENATE("VOL_",ROW())</f>
        <v>VOL_137</v>
      </c>
      <c r="E137" t="s">
        <v>81</v>
      </c>
      <c r="F137" s="1">
        <f>0.115*2+0.22</f>
        <v>0.45</v>
      </c>
      <c r="G137" s="2">
        <v>0</v>
      </c>
      <c r="H137" s="2">
        <v>0</v>
      </c>
      <c r="I137" s="2">
        <v>0</v>
      </c>
      <c r="J137" s="4">
        <v>0</v>
      </c>
      <c r="K137" s="4">
        <v>0</v>
      </c>
      <c r="L137" s="4">
        <v>0</v>
      </c>
      <c r="M137" s="3">
        <v>273.10000000000002</v>
      </c>
      <c r="N137" s="3">
        <v>4.1900000000000004</v>
      </c>
      <c r="O137" s="8">
        <v>0.27300000000000002</v>
      </c>
      <c r="R137" s="1"/>
      <c r="T137" s="1"/>
    </row>
    <row r="138" spans="1:20" x14ac:dyDescent="0.25"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1:20" x14ac:dyDescent="0.25">
      <c r="A139" t="s">
        <v>51</v>
      </c>
      <c r="B139" t="s">
        <v>11</v>
      </c>
      <c r="C139" s="6" t="s">
        <v>22</v>
      </c>
      <c r="D139" t="str">
        <f>CONCATENATE("COMP_",ROW())</f>
        <v>COMP_139</v>
      </c>
      <c r="F139" s="1">
        <v>0</v>
      </c>
      <c r="G139" s="2">
        <v>0</v>
      </c>
      <c r="H139" s="2">
        <v>0</v>
      </c>
      <c r="I139" s="2">
        <v>0</v>
      </c>
      <c r="J139" s="4">
        <f>-(0.155-0.05)</f>
        <v>-0.105</v>
      </c>
      <c r="K139" s="4">
        <v>0</v>
      </c>
      <c r="L139" s="4">
        <f>0.2731/2</f>
        <v>0.13655</v>
      </c>
      <c r="M139" s="3">
        <v>21.3</v>
      </c>
      <c r="N139" s="3">
        <v>2.77</v>
      </c>
      <c r="Q139" t="str">
        <f ca="1">OFFSET($A$1,ROW()-3,3)</f>
        <v>VOL_137</v>
      </c>
      <c r="R139" s="1" t="s">
        <v>67</v>
      </c>
      <c r="S139" t="str">
        <f ca="1">OFFSET($A$1,ROW()+1,3)</f>
        <v>PIPE_141</v>
      </c>
      <c r="T139" s="1" t="s">
        <v>66</v>
      </c>
    </row>
    <row r="140" spans="1:20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1:20" x14ac:dyDescent="0.25">
      <c r="A141" t="s">
        <v>7</v>
      </c>
      <c r="B141" t="s">
        <v>7</v>
      </c>
      <c r="C141" s="6" t="s">
        <v>7</v>
      </c>
      <c r="D141" t="str">
        <f t="shared" ref="D141:D145" si="6">CONCATENATE("PIPE_",ROW())</f>
        <v>PIPE_141</v>
      </c>
      <c r="F141" s="1">
        <v>0.1</v>
      </c>
      <c r="G141" s="2">
        <v>85</v>
      </c>
      <c r="H141" s="2">
        <v>180</v>
      </c>
      <c r="I141" s="2">
        <v>0</v>
      </c>
      <c r="J141" s="4">
        <v>0</v>
      </c>
      <c r="K141" s="4">
        <v>0</v>
      </c>
      <c r="L141" s="4">
        <v>0</v>
      </c>
      <c r="M141" s="3">
        <v>21.3</v>
      </c>
      <c r="N141" s="3">
        <v>2.77</v>
      </c>
      <c r="O141" s="8">
        <v>1.5</v>
      </c>
      <c r="R141" s="1"/>
      <c r="T141" s="1"/>
    </row>
    <row r="142" spans="1:20" x14ac:dyDescent="0.25">
      <c r="A142" t="s">
        <v>7</v>
      </c>
      <c r="B142" t="s">
        <v>7</v>
      </c>
      <c r="C142" s="6" t="s">
        <v>7</v>
      </c>
      <c r="D142" t="str">
        <f t="shared" si="6"/>
        <v>PIPE_142</v>
      </c>
      <c r="F142" s="1">
        <v>0.7</v>
      </c>
      <c r="G142" s="2">
        <f>GetAngle_DyDz(1,10)</f>
        <v>5.7105931376628636</v>
      </c>
      <c r="H142" s="2">
        <f>270+45</f>
        <v>315</v>
      </c>
      <c r="I142" s="2">
        <v>0</v>
      </c>
      <c r="J142" s="4">
        <v>0</v>
      </c>
      <c r="K142" s="4">
        <v>0</v>
      </c>
      <c r="L142" s="4">
        <v>0</v>
      </c>
      <c r="M142" s="3">
        <v>21.3</v>
      </c>
      <c r="N142" s="3">
        <v>2.77</v>
      </c>
      <c r="O142" s="8">
        <v>1.5</v>
      </c>
      <c r="R142" s="1"/>
      <c r="T142" s="1"/>
    </row>
    <row r="143" spans="1:20" x14ac:dyDescent="0.25">
      <c r="A143" t="s">
        <v>7</v>
      </c>
      <c r="B143" t="s">
        <v>7</v>
      </c>
      <c r="C143" s="6" t="s">
        <v>7</v>
      </c>
      <c r="D143" t="str">
        <f t="shared" si="6"/>
        <v>PIPE_143</v>
      </c>
      <c r="F143" s="1">
        <v>0.52</v>
      </c>
      <c r="G143" s="2">
        <f>GetAngle_DyDz(1,10)</f>
        <v>5.7105931376628636</v>
      </c>
      <c r="H143" s="2">
        <v>270</v>
      </c>
      <c r="I143" s="2">
        <v>0</v>
      </c>
      <c r="J143" s="4">
        <v>0</v>
      </c>
      <c r="K143" s="4">
        <v>0</v>
      </c>
      <c r="L143" s="4">
        <v>0</v>
      </c>
      <c r="M143" s="3">
        <v>21.3</v>
      </c>
      <c r="N143" s="3">
        <v>2.77</v>
      </c>
      <c r="O143" s="8">
        <v>1.5</v>
      </c>
      <c r="R143" s="1"/>
      <c r="T143" s="1"/>
    </row>
    <row r="144" spans="1:20" x14ac:dyDescent="0.25">
      <c r="A144" t="s">
        <v>7</v>
      </c>
      <c r="B144" t="s">
        <v>7</v>
      </c>
      <c r="C144" s="6" t="s">
        <v>7</v>
      </c>
      <c r="D144" t="str">
        <f t="shared" si="6"/>
        <v>PIPE_144</v>
      </c>
      <c r="F144" s="1">
        <v>1</v>
      </c>
      <c r="G144" s="2">
        <v>90</v>
      </c>
      <c r="H144" s="2">
        <v>0</v>
      </c>
      <c r="I144" s="2">
        <v>0</v>
      </c>
      <c r="J144" s="4">
        <v>0</v>
      </c>
      <c r="K144" s="4">
        <v>0</v>
      </c>
      <c r="L144" s="4">
        <v>0</v>
      </c>
      <c r="M144" s="3">
        <v>21.3</v>
      </c>
      <c r="N144" s="3">
        <v>2.77</v>
      </c>
      <c r="O144" s="8">
        <v>1.5</v>
      </c>
      <c r="R144" s="1"/>
      <c r="T144" s="1"/>
    </row>
    <row r="145" spans="1:20" x14ac:dyDescent="0.25">
      <c r="A145" t="s">
        <v>7</v>
      </c>
      <c r="B145" t="s">
        <v>7</v>
      </c>
      <c r="C145" s="6" t="s">
        <v>7</v>
      </c>
      <c r="D145" t="str">
        <f t="shared" si="6"/>
        <v>PIPE_145</v>
      </c>
      <c r="F145" s="1">
        <v>0.5</v>
      </c>
      <c r="G145" s="2">
        <f>GetAngle_DyDz(1,10)</f>
        <v>5.7105931376628636</v>
      </c>
      <c r="H145" s="2">
        <v>180</v>
      </c>
      <c r="I145" s="2">
        <v>0</v>
      </c>
      <c r="J145" s="4">
        <v>0</v>
      </c>
      <c r="K145" s="4">
        <v>0</v>
      </c>
      <c r="L145" s="4">
        <v>0</v>
      </c>
      <c r="M145" s="3">
        <v>21.3</v>
      </c>
      <c r="N145" s="3">
        <v>2.77</v>
      </c>
      <c r="O145" s="8">
        <v>1.5</v>
      </c>
      <c r="R145" s="1"/>
      <c r="T145" s="1"/>
    </row>
    <row r="146" spans="1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1:20" x14ac:dyDescent="0.25">
      <c r="A147" t="s">
        <v>51</v>
      </c>
      <c r="B147" t="s">
        <v>10</v>
      </c>
      <c r="C147" s="6" t="s">
        <v>11</v>
      </c>
      <c r="D147" t="str">
        <f>CONCATENATE("COMP_",ROW())</f>
        <v>COMP_147</v>
      </c>
      <c r="F147" s="1">
        <v>0.05</v>
      </c>
      <c r="G147" s="2">
        <f>GetAngle_DyDz(1,10)</f>
        <v>5.7105931376628636</v>
      </c>
      <c r="H147" s="2">
        <v>180</v>
      </c>
      <c r="I147" s="2">
        <v>0</v>
      </c>
      <c r="J147" s="4">
        <v>0</v>
      </c>
      <c r="K147" s="4">
        <v>0</v>
      </c>
      <c r="L147" s="4">
        <v>0</v>
      </c>
      <c r="M147" s="3">
        <v>21.3</v>
      </c>
      <c r="N147" s="3">
        <v>2.77</v>
      </c>
      <c r="Q147" t="str">
        <f ca="1">OFFSET($A$1,ROW()-3,3)</f>
        <v>PIPE_145</v>
      </c>
      <c r="R147" s="1" t="s">
        <v>67</v>
      </c>
      <c r="S147" t="str">
        <f ca="1">OFFSET($A$1,ROW()+1,3)</f>
        <v>PIPE_149</v>
      </c>
      <c r="T147" s="1" t="s">
        <v>66</v>
      </c>
    </row>
    <row r="148" spans="1:20" x14ac:dyDescent="0.25"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1:20" x14ac:dyDescent="0.25">
      <c r="A149" t="s">
        <v>7</v>
      </c>
      <c r="B149" t="s">
        <v>7</v>
      </c>
      <c r="C149" s="6" t="s">
        <v>7</v>
      </c>
      <c r="D149" t="str">
        <f t="shared" ref="D149:D158" si="7">CONCATENATE("PIPE_",ROW())</f>
        <v>PIPE_149</v>
      </c>
      <c r="F149" s="1">
        <f>2.475-0.5</f>
        <v>1.9750000000000001</v>
      </c>
      <c r="G149" s="2">
        <f>GetAngle_DyDz(1,10)</f>
        <v>5.7105931376628636</v>
      </c>
      <c r="H149" s="2">
        <v>180</v>
      </c>
      <c r="I149" s="2">
        <v>0</v>
      </c>
      <c r="J149" s="4">
        <v>0</v>
      </c>
      <c r="K149" s="4">
        <v>0</v>
      </c>
      <c r="L149" s="4">
        <v>0</v>
      </c>
      <c r="M149" s="3">
        <v>21.3</v>
      </c>
      <c r="N149" s="3">
        <v>2.77</v>
      </c>
      <c r="O149" s="8">
        <v>1.5</v>
      </c>
      <c r="R149" s="1"/>
      <c r="T149" s="1"/>
    </row>
    <row r="150" spans="1:20" x14ac:dyDescent="0.25">
      <c r="A150" t="s">
        <v>7</v>
      </c>
      <c r="B150" t="s">
        <v>7</v>
      </c>
      <c r="C150" s="6" t="s">
        <v>7</v>
      </c>
      <c r="D150" t="str">
        <f t="shared" si="7"/>
        <v>PIPE_150</v>
      </c>
      <c r="F150" s="1">
        <f>SQRT(0.2^2+0.1^2)</f>
        <v>0.22360679774997899</v>
      </c>
      <c r="G150" s="2">
        <f>GetAngle_DyDz(200,100)</f>
        <v>63.434948824735109</v>
      </c>
      <c r="H150" s="2">
        <v>270</v>
      </c>
      <c r="I150" s="2">
        <v>0</v>
      </c>
      <c r="J150" s="4">
        <v>0</v>
      </c>
      <c r="K150" s="4">
        <v>0</v>
      </c>
      <c r="L150" s="4">
        <v>0</v>
      </c>
      <c r="M150" s="3">
        <v>21.3</v>
      </c>
      <c r="N150" s="3">
        <v>2.77</v>
      </c>
      <c r="O150" s="8">
        <v>1.5</v>
      </c>
      <c r="R150" s="1"/>
      <c r="T150" s="1"/>
    </row>
    <row r="151" spans="1:20" x14ac:dyDescent="0.25">
      <c r="A151" t="s">
        <v>7</v>
      </c>
      <c r="B151" t="s">
        <v>7</v>
      </c>
      <c r="C151" s="6" t="s">
        <v>7</v>
      </c>
      <c r="D151" t="str">
        <f t="shared" si="7"/>
        <v>PIPE_151</v>
      </c>
      <c r="F151" s="1">
        <f>1.42-0.2</f>
        <v>1.22</v>
      </c>
      <c r="G151" s="2">
        <v>90</v>
      </c>
      <c r="H151" s="2">
        <v>0</v>
      </c>
      <c r="I151" s="2">
        <v>0</v>
      </c>
      <c r="J151" s="4">
        <v>0</v>
      </c>
      <c r="K151" s="4">
        <v>0</v>
      </c>
      <c r="L151" s="4">
        <v>0</v>
      </c>
      <c r="M151" s="3">
        <v>21.3</v>
      </c>
      <c r="N151" s="3">
        <v>2.77</v>
      </c>
      <c r="O151" s="8">
        <v>1.5</v>
      </c>
      <c r="R151" s="1"/>
      <c r="T151" s="1"/>
    </row>
    <row r="152" spans="1:20" x14ac:dyDescent="0.25">
      <c r="A152" t="s">
        <v>7</v>
      </c>
      <c r="B152" t="s">
        <v>7</v>
      </c>
      <c r="C152" s="6" t="s">
        <v>7</v>
      </c>
      <c r="D152" t="str">
        <f t="shared" si="7"/>
        <v>PIPE_152</v>
      </c>
      <c r="F152" s="1">
        <v>0.57499999999999996</v>
      </c>
      <c r="G152" s="2">
        <f>GetAngle_DyDz(1,10)</f>
        <v>5.7105931376628636</v>
      </c>
      <c r="H152" s="2">
        <v>90</v>
      </c>
      <c r="I152" s="2">
        <v>0</v>
      </c>
      <c r="J152" s="4">
        <v>0</v>
      </c>
      <c r="K152" s="4">
        <v>0</v>
      </c>
      <c r="L152" s="4">
        <v>0</v>
      </c>
      <c r="M152" s="3">
        <v>21.3</v>
      </c>
      <c r="N152" s="3">
        <v>2.77</v>
      </c>
      <c r="O152" s="8">
        <v>1.5</v>
      </c>
      <c r="R152" s="1"/>
      <c r="T152" s="1"/>
    </row>
    <row r="153" spans="1:20" x14ac:dyDescent="0.25">
      <c r="A153" t="s">
        <v>7</v>
      </c>
      <c r="B153" t="s">
        <v>7</v>
      </c>
      <c r="C153" s="6" t="s">
        <v>7</v>
      </c>
      <c r="D153" t="str">
        <f t="shared" si="7"/>
        <v>PIPE_153</v>
      </c>
      <c r="F153" s="1">
        <f>110.9-109.28</f>
        <v>1.6200000000000045</v>
      </c>
      <c r="G153" s="2">
        <v>90</v>
      </c>
      <c r="H153" s="2">
        <v>0</v>
      </c>
      <c r="I153" s="2">
        <v>0</v>
      </c>
      <c r="J153" s="4">
        <v>0</v>
      </c>
      <c r="K153" s="4">
        <v>0</v>
      </c>
      <c r="L153" s="4">
        <v>0</v>
      </c>
      <c r="M153" s="3">
        <v>21.3</v>
      </c>
      <c r="N153" s="3">
        <v>2.77</v>
      </c>
      <c r="O153" s="8">
        <v>1.5</v>
      </c>
      <c r="R153" s="1"/>
      <c r="T153" s="1"/>
    </row>
    <row r="154" spans="1:20" x14ac:dyDescent="0.25">
      <c r="A154" t="s">
        <v>7</v>
      </c>
      <c r="B154" t="s">
        <v>7</v>
      </c>
      <c r="C154" s="6" t="s">
        <v>7</v>
      </c>
      <c r="D154" t="str">
        <f t="shared" si="7"/>
        <v>PIPE_154</v>
      </c>
      <c r="F154" s="1">
        <v>0.15</v>
      </c>
      <c r="G154" s="2">
        <f>GetAngle_DyDz(1,10)</f>
        <v>5.7105931376628636</v>
      </c>
      <c r="H154" s="2">
        <v>270</v>
      </c>
      <c r="I154" s="2">
        <v>0</v>
      </c>
      <c r="J154" s="4">
        <v>0</v>
      </c>
      <c r="K154" s="4">
        <v>0</v>
      </c>
      <c r="L154" s="4">
        <v>0</v>
      </c>
      <c r="M154" s="3">
        <v>21.3</v>
      </c>
      <c r="N154" s="3">
        <v>2.77</v>
      </c>
      <c r="O154" s="8">
        <v>1.5</v>
      </c>
      <c r="R154" s="1"/>
      <c r="T154" s="1"/>
    </row>
    <row r="155" spans="1:20" x14ac:dyDescent="0.25">
      <c r="A155" t="s">
        <v>7</v>
      </c>
      <c r="B155" t="s">
        <v>7</v>
      </c>
      <c r="C155" s="6" t="s">
        <v>7</v>
      </c>
      <c r="D155" t="str">
        <f t="shared" si="7"/>
        <v>PIPE_155</v>
      </c>
      <c r="F155" s="1">
        <v>3.05</v>
      </c>
      <c r="G155" s="2">
        <f>GetAngle_DyDz(1,10)</f>
        <v>5.7105931376628636</v>
      </c>
      <c r="H155" s="2">
        <v>180</v>
      </c>
      <c r="I155" s="2">
        <v>0</v>
      </c>
      <c r="J155" s="4">
        <v>0</v>
      </c>
      <c r="K155" s="4">
        <v>0</v>
      </c>
      <c r="L155" s="4">
        <v>0</v>
      </c>
      <c r="M155" s="3">
        <v>21.3</v>
      </c>
      <c r="N155" s="3">
        <v>2.77</v>
      </c>
      <c r="O155" s="8">
        <v>1.5</v>
      </c>
      <c r="R155" s="1"/>
      <c r="T155" s="1"/>
    </row>
    <row r="156" spans="1:20" x14ac:dyDescent="0.25">
      <c r="A156" t="s">
        <v>7</v>
      </c>
      <c r="B156" t="s">
        <v>7</v>
      </c>
      <c r="C156" s="6" t="s">
        <v>7</v>
      </c>
      <c r="D156" t="str">
        <f t="shared" si="7"/>
        <v>PIPE_156</v>
      </c>
      <c r="F156" s="1">
        <v>2.1</v>
      </c>
      <c r="G156" s="2">
        <v>90</v>
      </c>
      <c r="H156" s="2">
        <v>0</v>
      </c>
      <c r="I156" s="2">
        <v>0</v>
      </c>
      <c r="J156" s="4">
        <v>0</v>
      </c>
      <c r="K156" s="4">
        <v>0</v>
      </c>
      <c r="L156" s="4">
        <v>0</v>
      </c>
      <c r="M156" s="3">
        <v>21.3</v>
      </c>
      <c r="N156" s="3">
        <v>2.77</v>
      </c>
      <c r="O156" s="8">
        <v>1.5</v>
      </c>
      <c r="R156" s="1"/>
      <c r="T156" s="1"/>
    </row>
    <row r="157" spans="1:20" x14ac:dyDescent="0.25">
      <c r="A157" t="s">
        <v>7</v>
      </c>
      <c r="B157" t="s">
        <v>7</v>
      </c>
      <c r="C157" s="6" t="s">
        <v>7</v>
      </c>
      <c r="D157" t="str">
        <f t="shared" si="7"/>
        <v>PIPE_157</v>
      </c>
      <c r="F157" s="1">
        <v>0.28199999999999997</v>
      </c>
      <c r="G157" s="2">
        <v>45</v>
      </c>
      <c r="H157" s="2">
        <v>90</v>
      </c>
      <c r="I157" s="2">
        <v>0</v>
      </c>
      <c r="J157" s="4">
        <v>0</v>
      </c>
      <c r="K157" s="4">
        <v>0</v>
      </c>
      <c r="L157" s="4">
        <v>0</v>
      </c>
      <c r="M157" s="3">
        <v>21.3</v>
      </c>
      <c r="N157" s="3">
        <v>2.77</v>
      </c>
      <c r="O157" s="8">
        <v>1.5</v>
      </c>
      <c r="R157" s="1"/>
      <c r="T157" s="1"/>
    </row>
    <row r="158" spans="1:20" x14ac:dyDescent="0.25">
      <c r="A158" t="s">
        <v>7</v>
      </c>
      <c r="B158" t="s">
        <v>7</v>
      </c>
      <c r="C158" s="6" t="s">
        <v>7</v>
      </c>
      <c r="D158" t="str">
        <f t="shared" si="7"/>
        <v>PIPE_158</v>
      </c>
      <c r="F158" s="1">
        <f>0.79-0.1</f>
        <v>0.69000000000000006</v>
      </c>
      <c r="G158" s="2">
        <v>90</v>
      </c>
      <c r="H158" s="2">
        <v>0</v>
      </c>
      <c r="I158" s="2">
        <v>0</v>
      </c>
      <c r="J158" s="4">
        <v>0</v>
      </c>
      <c r="K158" s="4">
        <v>0</v>
      </c>
      <c r="L158" s="4">
        <v>0</v>
      </c>
      <c r="M158" s="3">
        <v>21.3</v>
      </c>
      <c r="N158" s="3">
        <v>2.77</v>
      </c>
      <c r="O158" s="8">
        <v>1.5</v>
      </c>
      <c r="R158" s="1"/>
      <c r="T158" s="1"/>
    </row>
    <row r="159" spans="1:20" x14ac:dyDescent="0.25">
      <c r="C159" s="6"/>
      <c r="F159" s="1"/>
      <c r="G159" s="2"/>
      <c r="H159" s="2"/>
      <c r="I159" s="2"/>
      <c r="J159" s="4"/>
      <c r="K159" s="4"/>
      <c r="L159" s="4"/>
      <c r="M159" s="3"/>
      <c r="N159" s="3"/>
      <c r="R159" s="1"/>
      <c r="T159" s="1"/>
    </row>
    <row r="160" spans="1:20" x14ac:dyDescent="0.25">
      <c r="A160" t="s">
        <v>51</v>
      </c>
      <c r="B160" t="s">
        <v>10</v>
      </c>
      <c r="C160" s="6" t="s">
        <v>11</v>
      </c>
      <c r="D160" t="str">
        <f>CONCATENATE("COMP_",ROW())</f>
        <v>COMP_160</v>
      </c>
      <c r="E160" t="s">
        <v>80</v>
      </c>
      <c r="F160" s="1">
        <v>0.1</v>
      </c>
      <c r="G160" s="2">
        <v>90</v>
      </c>
      <c r="H160" s="2">
        <v>0</v>
      </c>
      <c r="I160" s="2">
        <v>0</v>
      </c>
      <c r="J160" s="4">
        <v>0.01</v>
      </c>
      <c r="K160" s="4">
        <v>0</v>
      </c>
      <c r="L160" s="4">
        <v>0</v>
      </c>
      <c r="M160" s="3">
        <v>60</v>
      </c>
      <c r="N160" s="3">
        <v>2.77</v>
      </c>
      <c r="Q160" t="str">
        <f ca="1">OFFSET($A$1,ROW()-3,3)</f>
        <v>PIPE_158</v>
      </c>
      <c r="R160" s="1" t="s">
        <v>67</v>
      </c>
      <c r="S160" t="str">
        <f ca="1">OFFSET($A$1,ROW()+1,3)</f>
        <v>PIPE_162</v>
      </c>
      <c r="T160" s="1" t="s">
        <v>66</v>
      </c>
    </row>
    <row r="161" spans="1:20" x14ac:dyDescent="0.25">
      <c r="C161" s="6"/>
      <c r="F161" s="1"/>
      <c r="G161" s="2"/>
      <c r="H161" s="2"/>
      <c r="I161" s="2"/>
      <c r="J161" s="4"/>
      <c r="K161" s="4"/>
      <c r="L161" s="4"/>
      <c r="M161" s="3"/>
      <c r="N161" s="3"/>
      <c r="R161" s="1"/>
      <c r="T161" s="1"/>
    </row>
    <row r="162" spans="1:20" x14ac:dyDescent="0.25">
      <c r="A162" t="s">
        <v>7</v>
      </c>
      <c r="B162" t="s">
        <v>7</v>
      </c>
      <c r="C162" s="6" t="s">
        <v>7</v>
      </c>
      <c r="D162" t="str">
        <f t="shared" ref="D162" si="8">CONCATENATE("PIPE_",ROW())</f>
        <v>PIPE_162</v>
      </c>
      <c r="F162" s="1">
        <v>0.28199999999999997</v>
      </c>
      <c r="G162" s="2">
        <v>90</v>
      </c>
      <c r="H162" s="2">
        <v>0</v>
      </c>
      <c r="I162" s="2">
        <v>0</v>
      </c>
      <c r="J162" s="4">
        <v>0</v>
      </c>
      <c r="K162" s="4">
        <v>0</v>
      </c>
      <c r="L162" s="4">
        <v>0</v>
      </c>
      <c r="M162" s="3">
        <v>21.3</v>
      </c>
      <c r="N162" s="3">
        <v>2.77</v>
      </c>
      <c r="O162" s="8">
        <v>1.5</v>
      </c>
      <c r="R162" s="1"/>
      <c r="T162" s="1"/>
    </row>
    <row r="163" spans="1:20" x14ac:dyDescent="0.25">
      <c r="C163" s="6"/>
      <c r="F163" s="1"/>
      <c r="G163" s="2"/>
      <c r="H163" s="2"/>
      <c r="I163" s="2"/>
      <c r="J163" s="4"/>
      <c r="K163" s="4"/>
      <c r="L163" s="4"/>
      <c r="M163" s="3"/>
      <c r="N163" s="3"/>
      <c r="R163" s="1"/>
      <c r="T163" s="1"/>
    </row>
    <row r="164" spans="1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1:20" x14ac:dyDescent="0.25">
      <c r="C165" s="6"/>
      <c r="F165" s="1"/>
      <c r="G165" s="2"/>
      <c r="H165" s="2"/>
      <c r="I165" s="2"/>
      <c r="J165" s="4"/>
      <c r="K165" s="4"/>
      <c r="L165" s="4"/>
      <c r="M165" s="3"/>
      <c r="N165" s="3"/>
      <c r="R165" s="1"/>
      <c r="T165" s="1"/>
    </row>
    <row r="166" spans="1:20" x14ac:dyDescent="0.25">
      <c r="A166" t="s">
        <v>28</v>
      </c>
      <c r="B166" t="s">
        <v>82</v>
      </c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1:20" x14ac:dyDescent="0.25">
      <c r="A167" t="s">
        <v>51</v>
      </c>
      <c r="B167" t="s">
        <v>11</v>
      </c>
      <c r="C167" s="6" t="s">
        <v>22</v>
      </c>
      <c r="D167" t="str">
        <f>CONCATENATE("COMP_",ROW())</f>
        <v>COMP_167</v>
      </c>
      <c r="F167" s="1">
        <v>0</v>
      </c>
      <c r="G167" s="2">
        <v>0</v>
      </c>
      <c r="H167" s="2">
        <v>0</v>
      </c>
      <c r="I167" s="2">
        <v>0</v>
      </c>
      <c r="J167" s="4">
        <v>-0.05</v>
      </c>
      <c r="K167" s="4">
        <v>0</v>
      </c>
      <c r="L167" s="4">
        <v>0.1</v>
      </c>
      <c r="M167" s="3">
        <v>21.3</v>
      </c>
      <c r="N167" s="3">
        <v>2.77</v>
      </c>
      <c r="Q167" t="str">
        <f>D137</f>
        <v>VOL_137</v>
      </c>
      <c r="R167" s="1" t="s">
        <v>67</v>
      </c>
      <c r="S167" t="str">
        <f ca="1">OFFSET($A$1,ROW()+1,3)</f>
        <v>PIPE_169</v>
      </c>
      <c r="T167" s="1" t="s">
        <v>66</v>
      </c>
    </row>
    <row r="168" spans="1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1:20" x14ac:dyDescent="0.25">
      <c r="A169" t="s">
        <v>7</v>
      </c>
      <c r="B169" t="s">
        <v>7</v>
      </c>
      <c r="C169" s="6" t="s">
        <v>7</v>
      </c>
      <c r="D169" t="str">
        <f t="shared" ref="D169:D175" si="9">CONCATENATE("PIPE_",ROW())</f>
        <v>PIPE_169</v>
      </c>
      <c r="F169" s="1">
        <v>0.1</v>
      </c>
      <c r="G169" s="2">
        <v>33</v>
      </c>
      <c r="H169" s="2">
        <v>0</v>
      </c>
      <c r="I169" s="2">
        <v>0</v>
      </c>
      <c r="J169" s="4">
        <v>0</v>
      </c>
      <c r="K169" s="4">
        <v>0</v>
      </c>
      <c r="L169" s="4">
        <v>0</v>
      </c>
      <c r="M169" s="3">
        <v>21.3</v>
      </c>
      <c r="N169" s="3">
        <v>2.77</v>
      </c>
      <c r="O169" s="8">
        <v>1.5</v>
      </c>
      <c r="R169" s="1"/>
      <c r="T169" s="1"/>
    </row>
    <row r="170" spans="1:20" x14ac:dyDescent="0.25">
      <c r="A170" t="s">
        <v>7</v>
      </c>
      <c r="B170" t="s">
        <v>7</v>
      </c>
      <c r="C170" s="6" t="s">
        <v>7</v>
      </c>
      <c r="D170" t="str">
        <f t="shared" si="9"/>
        <v>PIPE_170</v>
      </c>
      <c r="F170" s="1">
        <v>0.2</v>
      </c>
      <c r="G170" s="2">
        <v>20</v>
      </c>
      <c r="H170" s="2">
        <v>270</v>
      </c>
      <c r="I170" s="2">
        <v>0</v>
      </c>
      <c r="J170" s="4">
        <v>0</v>
      </c>
      <c r="K170" s="4">
        <v>0</v>
      </c>
      <c r="L170" s="4">
        <v>0</v>
      </c>
      <c r="M170" s="3">
        <v>21.3</v>
      </c>
      <c r="N170" s="3">
        <v>2.77</v>
      </c>
      <c r="O170" s="8">
        <v>1.5</v>
      </c>
      <c r="R170" s="1"/>
      <c r="T170" s="1"/>
    </row>
    <row r="171" spans="1:20" x14ac:dyDescent="0.25">
      <c r="A171" t="s">
        <v>7</v>
      </c>
      <c r="B171" t="s">
        <v>7</v>
      </c>
      <c r="C171" s="6" t="s">
        <v>7</v>
      </c>
      <c r="D171" t="str">
        <f t="shared" si="9"/>
        <v>PIPE_171</v>
      </c>
      <c r="F171" s="1">
        <v>0.43</v>
      </c>
      <c r="G171" s="2">
        <v>0</v>
      </c>
      <c r="H171" s="2">
        <f>270+45</f>
        <v>315</v>
      </c>
      <c r="I171" s="2">
        <v>0</v>
      </c>
      <c r="J171" s="4">
        <v>0</v>
      </c>
      <c r="K171" s="4">
        <v>0</v>
      </c>
      <c r="L171" s="4">
        <v>0</v>
      </c>
      <c r="M171" s="3">
        <v>21.3</v>
      </c>
      <c r="N171" s="3">
        <v>2.77</v>
      </c>
      <c r="O171" s="8">
        <v>1.5</v>
      </c>
      <c r="R171" s="1"/>
      <c r="T171" s="1"/>
    </row>
    <row r="172" spans="1:20" x14ac:dyDescent="0.25">
      <c r="A172" t="s">
        <v>7</v>
      </c>
      <c r="B172" t="s">
        <v>7</v>
      </c>
      <c r="C172" s="6" t="s">
        <v>7</v>
      </c>
      <c r="D172" t="str">
        <f t="shared" si="9"/>
        <v>PIPE_172</v>
      </c>
      <c r="F172" s="1">
        <v>0.56999999999999995</v>
      </c>
      <c r="G172" s="2">
        <f>GetAngle_DyDz(1,10)</f>
        <v>5.7105931376628636</v>
      </c>
      <c r="H172" s="2">
        <v>270</v>
      </c>
      <c r="I172" s="2">
        <v>0</v>
      </c>
      <c r="J172" s="4">
        <v>0</v>
      </c>
      <c r="K172" s="4">
        <v>0</v>
      </c>
      <c r="L172" s="4">
        <v>0</v>
      </c>
      <c r="M172" s="3">
        <v>21.3</v>
      </c>
      <c r="N172" s="3">
        <v>2.77</v>
      </c>
      <c r="O172" s="8">
        <v>1.5</v>
      </c>
      <c r="R172" s="1"/>
      <c r="T172" s="1"/>
    </row>
    <row r="173" spans="1:20" x14ac:dyDescent="0.25">
      <c r="A173" t="s">
        <v>7</v>
      </c>
      <c r="B173" t="s">
        <v>7</v>
      </c>
      <c r="C173" s="6" t="s">
        <v>7</v>
      </c>
      <c r="D173" t="str">
        <f t="shared" si="9"/>
        <v>PIPE_173</v>
      </c>
      <c r="F173" s="1">
        <v>0.85</v>
      </c>
      <c r="G173" s="2">
        <v>90</v>
      </c>
      <c r="H173" s="2">
        <v>0</v>
      </c>
      <c r="I173" s="2">
        <v>0</v>
      </c>
      <c r="J173" s="4">
        <v>0</v>
      </c>
      <c r="K173" s="4">
        <v>0</v>
      </c>
      <c r="L173" s="4">
        <v>0</v>
      </c>
      <c r="M173" s="3">
        <v>21.3</v>
      </c>
      <c r="N173" s="3">
        <v>2.77</v>
      </c>
      <c r="O173" s="8">
        <v>1.5</v>
      </c>
      <c r="R173" s="1"/>
      <c r="T173" s="1"/>
    </row>
    <row r="174" spans="1:20" x14ac:dyDescent="0.25">
      <c r="A174" t="s">
        <v>7</v>
      </c>
      <c r="B174" t="s">
        <v>7</v>
      </c>
      <c r="C174" s="6" t="s">
        <v>7</v>
      </c>
      <c r="D174" t="str">
        <f t="shared" si="9"/>
        <v>PIPE_174</v>
      </c>
      <c r="F174" s="1">
        <v>0.85</v>
      </c>
      <c r="G174" s="2">
        <v>90</v>
      </c>
      <c r="H174" s="2">
        <v>0</v>
      </c>
      <c r="I174" s="2">
        <v>0</v>
      </c>
      <c r="J174" s="4">
        <v>0</v>
      </c>
      <c r="K174" s="4">
        <v>0</v>
      </c>
      <c r="L174" s="4">
        <v>0</v>
      </c>
      <c r="M174" s="3">
        <v>21.3</v>
      </c>
      <c r="N174" s="3">
        <v>2.77</v>
      </c>
      <c r="O174" s="8">
        <v>1.5</v>
      </c>
      <c r="R174" s="1"/>
      <c r="T174" s="1"/>
    </row>
    <row r="175" spans="1:20" x14ac:dyDescent="0.25">
      <c r="A175" t="s">
        <v>7</v>
      </c>
      <c r="B175" t="s">
        <v>7</v>
      </c>
      <c r="C175" s="6" t="s">
        <v>7</v>
      </c>
      <c r="D175" t="str">
        <f t="shared" si="9"/>
        <v>PIPE_175</v>
      </c>
      <c r="F175" s="1">
        <v>0.17</v>
      </c>
      <c r="G175" s="2">
        <f>GetAngle_DyDz(38,170)</f>
        <v>12.600159826440812</v>
      </c>
      <c r="H175" s="2">
        <v>0</v>
      </c>
      <c r="I175" s="2">
        <v>0</v>
      </c>
      <c r="J175" s="4">
        <v>0</v>
      </c>
      <c r="K175" s="4">
        <v>0</v>
      </c>
      <c r="L175" s="4">
        <v>0</v>
      </c>
      <c r="M175" s="3">
        <v>21.3</v>
      </c>
      <c r="N175" s="3">
        <v>2.77</v>
      </c>
      <c r="O175" s="8">
        <v>1.5</v>
      </c>
      <c r="R175" s="1"/>
      <c r="T175" s="1"/>
    </row>
    <row r="176" spans="1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</sheetData>
  <mergeCells count="3">
    <mergeCell ref="A6:C6"/>
    <mergeCell ref="D6:G6"/>
    <mergeCell ref="A8:C8"/>
  </mergeCells>
  <conditionalFormatting sqref="M16">
    <cfRule type="expression" dxfId="623" priority="777" stopIfTrue="1">
      <formula>$A16="Pipe"</formula>
    </cfRule>
  </conditionalFormatting>
  <conditionalFormatting sqref="J22:J128 U22:U128 A22:A128 O22:O128 S22:S128 Q22:Q128 M134 O133:O138 A133:A138 U133:U138 J133:J138 M22:M128 M136:M138 S133:S138 Q133:Q138 Q146:Q148 S146:S148 M146 J146:J148 U146:U148 A146:A148 O146:O148 M148 M159 O159 A159 U159 J159 S159 Q159 Q161 S161 J161 U161 A161 O161 M161 M163:M166 O163:O166 A163:A166 U163:U166 J163:J166 S163:S166 Q163:Q166 Q140 S140 M140 J140 U140 A140 O140 Q176:Q355 S176:S355 J176:J355 U176:U355 A176:A355 O176:O355 M176:M355">
    <cfRule type="expression" dxfId="622" priority="774">
      <formula>OR($A22="Pipe",$A22="Component",$A22="Volume")</formula>
    </cfRule>
  </conditionalFormatting>
  <conditionalFormatting sqref="T22:T23 E22:E128 I22:I128 L22:L128 P22:P128 V22:V128 R22:R128 T26:T128 N134 V133:V138 P133:P138 L133:L138 I133:I138 E133:E138 N22:N128 N136:N138 R133:R138 T133:T138 T146:T148 R146:R148 N146 E146:E148 I146 L146:L148 P146:P148 V146:V148 N148 I148 I159 N159 V159 P159 L159 E159 R159 T159 T161 R161 E161 L161 P161 V161 N161 I161 I163:I166 N163:N166 V163:V166 P163:P166 L163:L166 E163:E166 R163:R166 T163:T166 T140 R140 N140 E140 I140 L140 P140 V140 T176:T355 R176:R355 E176:E355 L176:L355 P176:P355 V176:V355 N176:N355 I176:I355">
    <cfRule type="expression" dxfId="621" priority="775">
      <formula>OR($A22="Pipe",$A22="Component",$A22="Volume")</formula>
    </cfRule>
  </conditionalFormatting>
  <conditionalFormatting sqref="G22:H128 K22:K128 B22:D128 B133:D138 K133:K138 G134:H138 H133 G146:H146 K146:K148 B146:D148 G148:H148 G159:H159 B159:D159 K159 K161 B161:D161 G161:H161 G163:H166 B163:D166 K163:K166 G140:H140 K140 B140:D140 K176:K355 B176:D355 G176:H355">
    <cfRule type="expression" dxfId="620" priority="773">
      <formula>OR($A22="Pipe",$A22="Component",$A22="Volume")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619" priority="772">
      <formula>$A22="Pipe"</formula>
    </cfRule>
  </conditionalFormatting>
  <conditionalFormatting sqref="Q22:T23 Q24:S25 Q26:T128 Q133:T138 Q146:T148 Q159:T159 Q161:T161 Q163:T166 Q140:T140 Q176:T355">
    <cfRule type="expression" dxfId="618" priority="771">
      <formula>OR($A22="Volume",$A22="Pipe")</formula>
    </cfRule>
  </conditionalFormatting>
  <conditionalFormatting sqref="A22:V23 A24:S25 U24:V25 A134:V134 A133:F133 H133:L133 A26:V128 O133:V133 A136:V138 A135:L135 O135:V135 A146:V146 A148:V148 A147:F147 O147:V147 J147:L147 A159:V159 A161:V161 A163:V166 A140:V140 A176:V355">
    <cfRule type="expression" dxfId="617" priority="770">
      <formula>$A22="Component"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616" priority="769">
      <formula>$A22="Volume"</formula>
    </cfRule>
  </conditionalFormatting>
  <conditionalFormatting sqref="J22:L128 J133:L138 J146:L148 J159:L159 J161:L161 J163:L166 J140:L140 J176:L355">
    <cfRule type="cellIs" dxfId="615" priority="751" operator="notEqual">
      <formula>0</formula>
    </cfRule>
  </conditionalFormatting>
  <conditionalFormatting sqref="B22:C24">
    <cfRule type="expression" dxfId="614" priority="768">
      <formula>OR($A22="Pipe",$A22="Valve",$A22="Connection",$A22="Tank",$A22="Reducer")</formula>
    </cfRule>
  </conditionalFormatting>
  <conditionalFormatting sqref="F22:F128 F133:F138 F146:F148 F159 F161 F163:F166 F140 F176:F355">
    <cfRule type="expression" dxfId="613" priority="776">
      <formula>OR($A22="Pipe",$A22="Component",$A22="Volume")</formula>
    </cfRule>
  </conditionalFormatting>
  <conditionalFormatting sqref="T24:T25">
    <cfRule type="expression" dxfId="612" priority="747">
      <formula>OR($A24="Pipe",$A24="Component",$A24="Volume")</formula>
    </cfRule>
  </conditionalFormatting>
  <conditionalFormatting sqref="T24:T25">
    <cfRule type="expression" dxfId="611" priority="746">
      <formula>OR($A24="Volume",$A24="Pipe")</formula>
    </cfRule>
  </conditionalFormatting>
  <conditionalFormatting sqref="T24:T25">
    <cfRule type="expression" dxfId="610" priority="745">
      <formula>$A24="Component"</formula>
    </cfRule>
  </conditionalFormatting>
  <conditionalFormatting sqref="Q130 S130 O130 A130 U130 J130">
    <cfRule type="expression" dxfId="609" priority="556">
      <formula>OR($A130="Pipe",$A130="Component",$A130="Volume")</formula>
    </cfRule>
  </conditionalFormatting>
  <conditionalFormatting sqref="T130 R130 V130 P130 L130 I130 E130">
    <cfRule type="expression" dxfId="608" priority="557">
      <formula>OR($A130="Pipe",$A130="Component",$A130="Volume")</formula>
    </cfRule>
  </conditionalFormatting>
  <conditionalFormatting sqref="B130:D130 K130 G130:H130">
    <cfRule type="expression" dxfId="607" priority="555">
      <formula>OR($A130="Pipe",$A130="Component",$A130="Volume")</formula>
    </cfRule>
  </conditionalFormatting>
  <conditionalFormatting sqref="A130:L130 U130:V130 O130:P130">
    <cfRule type="expression" dxfId="606" priority="554">
      <formula>$A130="Pipe"</formula>
    </cfRule>
  </conditionalFormatting>
  <conditionalFormatting sqref="Q130:T130">
    <cfRule type="expression" dxfId="605" priority="553">
      <formula>OR($A130="Volume",$A130="Pipe")</formula>
    </cfRule>
  </conditionalFormatting>
  <conditionalFormatting sqref="A130:L130 O130:V130">
    <cfRule type="expression" dxfId="604" priority="552">
      <formula>$A130="Component"</formula>
    </cfRule>
  </conditionalFormatting>
  <conditionalFormatting sqref="A130:L130 U130:V130 O130:P130">
    <cfRule type="expression" dxfId="603" priority="551">
      <formula>$A130="Volume"</formula>
    </cfRule>
  </conditionalFormatting>
  <conditionalFormatting sqref="J130:L130">
    <cfRule type="cellIs" dxfId="602" priority="550" operator="notEqual">
      <formula>0</formula>
    </cfRule>
  </conditionalFormatting>
  <conditionalFormatting sqref="F130">
    <cfRule type="expression" dxfId="601" priority="558">
      <formula>OR($A130="Pipe",$A130="Component",$A130="Volume")</formula>
    </cfRule>
  </conditionalFormatting>
  <conditionalFormatting sqref="G133">
    <cfRule type="expression" dxfId="600" priority="549">
      <formula>OR($A133="Pipe",$A133="Component",$A133="Volume")</formula>
    </cfRule>
  </conditionalFormatting>
  <conditionalFormatting sqref="G133">
    <cfRule type="expression" dxfId="599" priority="548">
      <formula>$A133="Pipe"</formula>
    </cfRule>
  </conditionalFormatting>
  <conditionalFormatting sqref="G133">
    <cfRule type="expression" dxfId="598" priority="547">
      <formula>$A133="Component"</formula>
    </cfRule>
  </conditionalFormatting>
  <conditionalFormatting sqref="G133">
    <cfRule type="expression" dxfId="597" priority="546">
      <formula>$A133="Volume"</formula>
    </cfRule>
  </conditionalFormatting>
  <conditionalFormatting sqref="Q131 S131 O131 A131 U131 J131">
    <cfRule type="expression" dxfId="596" priority="543">
      <formula>OR($A131="Pipe",$A131="Component",$A131="Volume")</formula>
    </cfRule>
  </conditionalFormatting>
  <conditionalFormatting sqref="T131 R131 V131 P131 L131 I131 E131">
    <cfRule type="expression" dxfId="595" priority="544">
      <formula>OR($A131="Pipe",$A131="Component",$A131="Volume")</formula>
    </cfRule>
  </conditionalFormatting>
  <conditionalFormatting sqref="B131:D131 K131 H131">
    <cfRule type="expression" dxfId="594" priority="542">
      <formula>OR($A131="Pipe",$A131="Component",$A131="Volume")</formula>
    </cfRule>
  </conditionalFormatting>
  <conditionalFormatting sqref="U131:V131 A131:F131 H131:L131 O131:P131">
    <cfRule type="expression" dxfId="593" priority="541">
      <formula>$A131="Pipe"</formula>
    </cfRule>
  </conditionalFormatting>
  <conditionalFormatting sqref="Q131:T131">
    <cfRule type="expression" dxfId="592" priority="540">
      <formula>OR($A131="Volume",$A131="Pipe")</formula>
    </cfRule>
  </conditionalFormatting>
  <conditionalFormatting sqref="A131:F131 H131:L131 O131:V131">
    <cfRule type="expression" dxfId="591" priority="539">
      <formula>$A131="Component"</formula>
    </cfRule>
  </conditionalFormatting>
  <conditionalFormatting sqref="U131:V131 A131:F131 H131:L131 O131:P131">
    <cfRule type="expression" dxfId="590" priority="538">
      <formula>$A131="Volume"</formula>
    </cfRule>
  </conditionalFormatting>
  <conditionalFormatting sqref="J131:L131">
    <cfRule type="cellIs" dxfId="589" priority="537" operator="notEqual">
      <formula>0</formula>
    </cfRule>
  </conditionalFormatting>
  <conditionalFormatting sqref="F131">
    <cfRule type="expression" dxfId="588" priority="545">
      <formula>OR($A131="Pipe",$A131="Component",$A131="Volume")</formula>
    </cfRule>
  </conditionalFormatting>
  <conditionalFormatting sqref="G131">
    <cfRule type="expression" dxfId="587" priority="536">
      <formula>OR($A131="Pipe",$A131="Component",$A131="Volume")</formula>
    </cfRule>
  </conditionalFormatting>
  <conditionalFormatting sqref="G131">
    <cfRule type="expression" dxfId="586" priority="535">
      <formula>$A131="Pipe"</formula>
    </cfRule>
  </conditionalFormatting>
  <conditionalFormatting sqref="G131">
    <cfRule type="expression" dxfId="585" priority="534">
      <formula>$A131="Component"</formula>
    </cfRule>
  </conditionalFormatting>
  <conditionalFormatting sqref="G131">
    <cfRule type="expression" dxfId="584" priority="533">
      <formula>$A131="Volume"</formula>
    </cfRule>
  </conditionalFormatting>
  <conditionalFormatting sqref="Q132 S132 O132 A132 U132 J132">
    <cfRule type="expression" dxfId="583" priority="530">
      <formula>OR($A132="Pipe",$A132="Component",$A132="Volume")</formula>
    </cfRule>
  </conditionalFormatting>
  <conditionalFormatting sqref="T132 R132 V132 P132 L132 I132 E132">
    <cfRule type="expression" dxfId="582" priority="531">
      <formula>OR($A132="Pipe",$A132="Component",$A132="Volume")</formula>
    </cfRule>
  </conditionalFormatting>
  <conditionalFormatting sqref="B132:D132 K132 H132">
    <cfRule type="expression" dxfId="581" priority="529">
      <formula>OR($A132="Pipe",$A132="Component",$A132="Volume")</formula>
    </cfRule>
  </conditionalFormatting>
  <conditionalFormatting sqref="U132:V132 A132:F132 H132:L132 O132:P132">
    <cfRule type="expression" dxfId="580" priority="528">
      <formula>$A132="Pipe"</formula>
    </cfRule>
  </conditionalFormatting>
  <conditionalFormatting sqref="Q132:T132">
    <cfRule type="expression" dxfId="579" priority="527">
      <formula>OR($A132="Volume",$A132="Pipe")</formula>
    </cfRule>
  </conditionalFormatting>
  <conditionalFormatting sqref="A132:F132 H132:L132 O132:V132">
    <cfRule type="expression" dxfId="578" priority="526">
      <formula>$A132="Component"</formula>
    </cfRule>
  </conditionalFormatting>
  <conditionalFormatting sqref="U132:V132 A132:F132 H132:L132 O132:P132">
    <cfRule type="expression" dxfId="577" priority="525">
      <formula>$A132="Volume"</formula>
    </cfRule>
  </conditionalFormatting>
  <conditionalFormatting sqref="J132:L132">
    <cfRule type="cellIs" dxfId="576" priority="524" operator="notEqual">
      <formula>0</formula>
    </cfRule>
  </conditionalFormatting>
  <conditionalFormatting sqref="F132">
    <cfRule type="expression" dxfId="575" priority="532">
      <formula>OR($A132="Pipe",$A132="Component",$A132="Volume")</formula>
    </cfRule>
  </conditionalFormatting>
  <conditionalFormatting sqref="G132">
    <cfRule type="expression" dxfId="574" priority="523">
      <formula>OR($A132="Pipe",$A132="Component",$A132="Volume")</formula>
    </cfRule>
  </conditionalFormatting>
  <conditionalFormatting sqref="G132">
    <cfRule type="expression" dxfId="573" priority="522">
      <formula>$A132="Pipe"</formula>
    </cfRule>
  </conditionalFormatting>
  <conditionalFormatting sqref="G132">
    <cfRule type="expression" dxfId="572" priority="521">
      <formula>$A132="Component"</formula>
    </cfRule>
  </conditionalFormatting>
  <conditionalFormatting sqref="G132">
    <cfRule type="expression" dxfId="571" priority="520">
      <formula>$A132="Volume"</formula>
    </cfRule>
  </conditionalFormatting>
  <conditionalFormatting sqref="M129 Q129 S129 O129 A129 U129 J129">
    <cfRule type="expression" dxfId="570" priority="517">
      <formula>OR($A129="Pipe",$A129="Component",$A129="Volume")</formula>
    </cfRule>
  </conditionalFormatting>
  <conditionalFormatting sqref="N129 T129 R129 V129 P129 L129 I129 E129">
    <cfRule type="expression" dxfId="569" priority="518">
      <formula>OR($A129="Pipe",$A129="Component",$A129="Volume")</formula>
    </cfRule>
  </conditionalFormatting>
  <conditionalFormatting sqref="B129:D129 K129 G129:H129">
    <cfRule type="expression" dxfId="568" priority="516">
      <formula>OR($A129="Pipe",$A129="Component",$A129="Volume")</formula>
    </cfRule>
  </conditionalFormatting>
  <conditionalFormatting sqref="A129:P129 U129:V129">
    <cfRule type="expression" dxfId="567" priority="515">
      <formula>$A129="Pipe"</formula>
    </cfRule>
  </conditionalFormatting>
  <conditionalFormatting sqref="Q129:T129">
    <cfRule type="expression" dxfId="566" priority="514">
      <formula>OR($A129="Volume",$A129="Pipe")</formula>
    </cfRule>
  </conditionalFormatting>
  <conditionalFormatting sqref="A129:V129">
    <cfRule type="expression" dxfId="565" priority="513">
      <formula>$A129="Component"</formula>
    </cfRule>
  </conditionalFormatting>
  <conditionalFormatting sqref="A129:P129 U129:V129">
    <cfRule type="expression" dxfId="564" priority="512">
      <formula>$A129="Volume"</formula>
    </cfRule>
  </conditionalFormatting>
  <conditionalFormatting sqref="J129:L129">
    <cfRule type="cellIs" dxfId="563" priority="511" operator="notEqual">
      <formula>0</formula>
    </cfRule>
  </conditionalFormatting>
  <conditionalFormatting sqref="F129">
    <cfRule type="expression" dxfId="562" priority="519">
      <formula>OR($A129="Pipe",$A129="Component",$A129="Volume")</formula>
    </cfRule>
  </conditionalFormatting>
  <conditionalFormatting sqref="M130:M133">
    <cfRule type="expression" dxfId="561" priority="509">
      <formula>OR($A130="Pipe",$A130="Component",$A130="Volume")</formula>
    </cfRule>
  </conditionalFormatting>
  <conditionalFormatting sqref="N130:N133">
    <cfRule type="expression" dxfId="560" priority="510">
      <formula>OR($A130="Pipe",$A130="Component",$A130="Volume")</formula>
    </cfRule>
  </conditionalFormatting>
  <conditionalFormatting sqref="M130:N133">
    <cfRule type="expression" dxfId="559" priority="508">
      <formula>$A130="Pipe"</formula>
    </cfRule>
  </conditionalFormatting>
  <conditionalFormatting sqref="M130:N133">
    <cfRule type="expression" dxfId="558" priority="507">
      <formula>$A130="Component"</formula>
    </cfRule>
  </conditionalFormatting>
  <conditionalFormatting sqref="M130:N133">
    <cfRule type="expression" dxfId="557" priority="506">
      <formula>$A130="Volume"</formula>
    </cfRule>
  </conditionalFormatting>
  <conditionalFormatting sqref="M135">
    <cfRule type="expression" dxfId="556" priority="504">
      <formula>OR($A135="Pipe",$A135="Component",$A135="Volume")</formula>
    </cfRule>
  </conditionalFormatting>
  <conditionalFormatting sqref="N135">
    <cfRule type="expression" dxfId="555" priority="505">
      <formula>OR($A135="Pipe",$A135="Component",$A135="Volume")</formula>
    </cfRule>
  </conditionalFormatting>
  <conditionalFormatting sqref="M135:N135">
    <cfRule type="expression" dxfId="554" priority="503">
      <formula>$A135="Pipe"</formula>
    </cfRule>
  </conditionalFormatting>
  <conditionalFormatting sqref="M135:N135">
    <cfRule type="expression" dxfId="553" priority="502">
      <formula>$A135="Component"</formula>
    </cfRule>
  </conditionalFormatting>
  <conditionalFormatting sqref="M135:N135">
    <cfRule type="expression" dxfId="552" priority="501">
      <formula>$A135="Volume"</formula>
    </cfRule>
  </conditionalFormatting>
  <conditionalFormatting sqref="O141 A141 U141 J141 S141 Q141">
    <cfRule type="expression" dxfId="551" priority="498">
      <formula>OR($A141="Pipe",$A141="Component",$A141="Volume")</formula>
    </cfRule>
  </conditionalFormatting>
  <conditionalFormatting sqref="V141 P141 L141 I141 E141 R141 T141">
    <cfRule type="expression" dxfId="550" priority="499">
      <formula>OR($A141="Pipe",$A141="Component",$A141="Volume")</formula>
    </cfRule>
  </conditionalFormatting>
  <conditionalFormatting sqref="B141:D141 K141 H141">
    <cfRule type="expression" dxfId="549" priority="497">
      <formula>OR($A141="Pipe",$A141="Component",$A141="Volume")</formula>
    </cfRule>
  </conditionalFormatting>
  <conditionalFormatting sqref="U141:V141 A141:F141 H141:L141 O141:P141">
    <cfRule type="expression" dxfId="548" priority="496">
      <formula>$A141="Pipe"</formula>
    </cfRule>
  </conditionalFormatting>
  <conditionalFormatting sqref="Q141:T141">
    <cfRule type="expression" dxfId="547" priority="495">
      <formula>OR($A141="Volume",$A141="Pipe")</formula>
    </cfRule>
  </conditionalFormatting>
  <conditionalFormatting sqref="A141:F141 H141:L141 O141:V141">
    <cfRule type="expression" dxfId="546" priority="494">
      <formula>$A141="Component"</formula>
    </cfRule>
  </conditionalFormatting>
  <conditionalFormatting sqref="U141:V141 A141:F141 H141:L141 O141:P141">
    <cfRule type="expression" dxfId="545" priority="493">
      <formula>$A141="Volume"</formula>
    </cfRule>
  </conditionalFormatting>
  <conditionalFormatting sqref="J141:L141">
    <cfRule type="cellIs" dxfId="544" priority="492" operator="notEqual">
      <formula>0</formula>
    </cfRule>
  </conditionalFormatting>
  <conditionalFormatting sqref="F141">
    <cfRule type="expression" dxfId="543" priority="500">
      <formula>OR($A141="Pipe",$A141="Component",$A141="Volume")</formula>
    </cfRule>
  </conditionalFormatting>
  <conditionalFormatting sqref="G141">
    <cfRule type="expression" dxfId="542" priority="491">
      <formula>OR($A141="Pipe",$A141="Component",$A141="Volume")</formula>
    </cfRule>
  </conditionalFormatting>
  <conditionalFormatting sqref="G141">
    <cfRule type="expression" dxfId="541" priority="490">
      <formula>$A141="Pipe"</formula>
    </cfRule>
  </conditionalFormatting>
  <conditionalFormatting sqref="G141">
    <cfRule type="expression" dxfId="540" priority="489">
      <formula>$A141="Component"</formula>
    </cfRule>
  </conditionalFormatting>
  <conditionalFormatting sqref="G141">
    <cfRule type="expression" dxfId="539" priority="488">
      <formula>$A141="Volume"</formula>
    </cfRule>
  </conditionalFormatting>
  <conditionalFormatting sqref="M141">
    <cfRule type="expression" dxfId="538" priority="486">
      <formula>OR($A141="Pipe",$A141="Component",$A141="Volume")</formula>
    </cfRule>
  </conditionalFormatting>
  <conditionalFormatting sqref="N141">
    <cfRule type="expression" dxfId="537" priority="487">
      <formula>OR($A141="Pipe",$A141="Component",$A141="Volume")</formula>
    </cfRule>
  </conditionalFormatting>
  <conditionalFormatting sqref="M141:N141">
    <cfRule type="expression" dxfId="536" priority="485">
      <formula>$A141="Pipe"</formula>
    </cfRule>
  </conditionalFormatting>
  <conditionalFormatting sqref="M141:N141">
    <cfRule type="expression" dxfId="535" priority="484">
      <formula>$A141="Component"</formula>
    </cfRule>
  </conditionalFormatting>
  <conditionalFormatting sqref="M141:N141">
    <cfRule type="expression" dxfId="534" priority="483">
      <formula>$A141="Volume"</formula>
    </cfRule>
  </conditionalFormatting>
  <conditionalFormatting sqref="O142 A142 U142 J142 S142 Q142">
    <cfRule type="expression" dxfId="533" priority="480">
      <formula>OR($A142="Pipe",$A142="Component",$A142="Volume")</formula>
    </cfRule>
  </conditionalFormatting>
  <conditionalFormatting sqref="V142 P142 L142 I142 E142 R142 T142">
    <cfRule type="expression" dxfId="532" priority="481">
      <formula>OR($A142="Pipe",$A142="Component",$A142="Volume")</formula>
    </cfRule>
  </conditionalFormatting>
  <conditionalFormatting sqref="B142:D142 K142 H142">
    <cfRule type="expression" dxfId="531" priority="479">
      <formula>OR($A142="Pipe",$A142="Component",$A142="Volume")</formula>
    </cfRule>
  </conditionalFormatting>
  <conditionalFormatting sqref="U142:V142 A142:F142 H142:L142 O142:P142">
    <cfRule type="expression" dxfId="530" priority="478">
      <formula>$A142="Pipe"</formula>
    </cfRule>
  </conditionalFormatting>
  <conditionalFormatting sqref="Q142:T142">
    <cfRule type="expression" dxfId="529" priority="477">
      <formula>OR($A142="Volume",$A142="Pipe")</formula>
    </cfRule>
  </conditionalFormatting>
  <conditionalFormatting sqref="A142:F142 H142:L142 O142:V142">
    <cfRule type="expression" dxfId="528" priority="476">
      <formula>$A142="Component"</formula>
    </cfRule>
  </conditionalFormatting>
  <conditionalFormatting sqref="U142:V142 A142:F142 H142:L142 O142:P142">
    <cfRule type="expression" dxfId="527" priority="475">
      <formula>$A142="Volume"</formula>
    </cfRule>
  </conditionalFormatting>
  <conditionalFormatting sqref="J142:L142">
    <cfRule type="cellIs" dxfId="526" priority="474" operator="notEqual">
      <formula>0</formula>
    </cfRule>
  </conditionalFormatting>
  <conditionalFormatting sqref="F142">
    <cfRule type="expression" dxfId="525" priority="482">
      <formula>OR($A142="Pipe",$A142="Component",$A142="Volume")</formula>
    </cfRule>
  </conditionalFormatting>
  <conditionalFormatting sqref="G142">
    <cfRule type="expression" dxfId="524" priority="473">
      <formula>OR($A142="Pipe",$A142="Component",$A142="Volume")</formula>
    </cfRule>
  </conditionalFormatting>
  <conditionalFormatting sqref="G142">
    <cfRule type="expression" dxfId="523" priority="472">
      <formula>$A142="Pipe"</formula>
    </cfRule>
  </conditionalFormatting>
  <conditionalFormatting sqref="G142">
    <cfRule type="expression" dxfId="522" priority="471">
      <formula>$A142="Component"</formula>
    </cfRule>
  </conditionalFormatting>
  <conditionalFormatting sqref="G142">
    <cfRule type="expression" dxfId="521" priority="470">
      <formula>$A142="Volume"</formula>
    </cfRule>
  </conditionalFormatting>
  <conditionalFormatting sqref="M142">
    <cfRule type="expression" dxfId="520" priority="468">
      <formula>OR($A142="Pipe",$A142="Component",$A142="Volume")</formula>
    </cfRule>
  </conditionalFormatting>
  <conditionalFormatting sqref="N142">
    <cfRule type="expression" dxfId="519" priority="469">
      <formula>OR($A142="Pipe",$A142="Component",$A142="Volume")</formula>
    </cfRule>
  </conditionalFormatting>
  <conditionalFormatting sqref="M142:N142">
    <cfRule type="expression" dxfId="518" priority="467">
      <formula>$A142="Pipe"</formula>
    </cfRule>
  </conditionalFormatting>
  <conditionalFormatting sqref="M142:N142">
    <cfRule type="expression" dxfId="517" priority="466">
      <formula>$A142="Component"</formula>
    </cfRule>
  </conditionalFormatting>
  <conditionalFormatting sqref="M142:N142">
    <cfRule type="expression" dxfId="516" priority="465">
      <formula>$A142="Volume"</formula>
    </cfRule>
  </conditionalFormatting>
  <conditionalFormatting sqref="O143 A143 U143 J143 S143 Q143">
    <cfRule type="expression" dxfId="515" priority="462">
      <formula>OR($A143="Pipe",$A143="Component",$A143="Volume")</formula>
    </cfRule>
  </conditionalFormatting>
  <conditionalFormatting sqref="V143 P143 L143 I143 E143 R143 T143">
    <cfRule type="expression" dxfId="514" priority="463">
      <formula>OR($A143="Pipe",$A143="Component",$A143="Volume")</formula>
    </cfRule>
  </conditionalFormatting>
  <conditionalFormatting sqref="B143:D143 K143 H143">
    <cfRule type="expression" dxfId="513" priority="461">
      <formula>OR($A143="Pipe",$A143="Component",$A143="Volume")</formula>
    </cfRule>
  </conditionalFormatting>
  <conditionalFormatting sqref="U143:V143 A143:F143 H143:L143 O143:P143">
    <cfRule type="expression" dxfId="512" priority="460">
      <formula>$A143="Pipe"</formula>
    </cfRule>
  </conditionalFormatting>
  <conditionalFormatting sqref="Q143:T143">
    <cfRule type="expression" dxfId="511" priority="459">
      <formula>OR($A143="Volume",$A143="Pipe")</formula>
    </cfRule>
  </conditionalFormatting>
  <conditionalFormatting sqref="A143:F143 H143:L143 O143:V143">
    <cfRule type="expression" dxfId="510" priority="458">
      <formula>$A143="Component"</formula>
    </cfRule>
  </conditionalFormatting>
  <conditionalFormatting sqref="U143:V143 A143:F143 H143:L143 O143:P143">
    <cfRule type="expression" dxfId="509" priority="457">
      <formula>$A143="Volume"</formula>
    </cfRule>
  </conditionalFormatting>
  <conditionalFormatting sqref="J143:L143">
    <cfRule type="cellIs" dxfId="508" priority="456" operator="notEqual">
      <formula>0</formula>
    </cfRule>
  </conditionalFormatting>
  <conditionalFormatting sqref="F143">
    <cfRule type="expression" dxfId="507" priority="464">
      <formula>OR($A143="Pipe",$A143="Component",$A143="Volume")</formula>
    </cfRule>
  </conditionalFormatting>
  <conditionalFormatting sqref="G143">
    <cfRule type="expression" dxfId="506" priority="455">
      <formula>OR($A143="Pipe",$A143="Component",$A143="Volume")</formula>
    </cfRule>
  </conditionalFormatting>
  <conditionalFormatting sqref="G143">
    <cfRule type="expression" dxfId="505" priority="454">
      <formula>$A143="Pipe"</formula>
    </cfRule>
  </conditionalFormatting>
  <conditionalFormatting sqref="G143">
    <cfRule type="expression" dxfId="504" priority="453">
      <formula>$A143="Component"</formula>
    </cfRule>
  </conditionalFormatting>
  <conditionalFormatting sqref="G143">
    <cfRule type="expression" dxfId="503" priority="452">
      <formula>$A143="Volume"</formula>
    </cfRule>
  </conditionalFormatting>
  <conditionalFormatting sqref="M143">
    <cfRule type="expression" dxfId="502" priority="450">
      <formula>OR($A143="Pipe",$A143="Component",$A143="Volume")</formula>
    </cfRule>
  </conditionalFormatting>
  <conditionalFormatting sqref="N143">
    <cfRule type="expression" dxfId="501" priority="451">
      <formula>OR($A143="Pipe",$A143="Component",$A143="Volume")</formula>
    </cfRule>
  </conditionalFormatting>
  <conditionalFormatting sqref="M143:N143">
    <cfRule type="expression" dxfId="500" priority="449">
      <formula>$A143="Pipe"</formula>
    </cfRule>
  </conditionalFormatting>
  <conditionalFormatting sqref="M143:N143">
    <cfRule type="expression" dxfId="499" priority="448">
      <formula>$A143="Component"</formula>
    </cfRule>
  </conditionalFormatting>
  <conditionalFormatting sqref="M143:N143">
    <cfRule type="expression" dxfId="498" priority="447">
      <formula>$A143="Volume"</formula>
    </cfRule>
  </conditionalFormatting>
  <conditionalFormatting sqref="O144 A144 U144 J144 S144 Q144">
    <cfRule type="expression" dxfId="497" priority="444">
      <formula>OR($A144="Pipe",$A144="Component",$A144="Volume")</formula>
    </cfRule>
  </conditionalFormatting>
  <conditionalFormatting sqref="V144 P144 L144 I144 E144 R144 T144">
    <cfRule type="expression" dxfId="496" priority="445">
      <formula>OR($A144="Pipe",$A144="Component",$A144="Volume")</formula>
    </cfRule>
  </conditionalFormatting>
  <conditionalFormatting sqref="B144:D144 K144 H144">
    <cfRule type="expression" dxfId="495" priority="443">
      <formula>OR($A144="Pipe",$A144="Component",$A144="Volume")</formula>
    </cfRule>
  </conditionalFormatting>
  <conditionalFormatting sqref="U144:V144 A144:F144 H144:L144 O144:P144">
    <cfRule type="expression" dxfId="494" priority="442">
      <formula>$A144="Pipe"</formula>
    </cfRule>
  </conditionalFormatting>
  <conditionalFormatting sqref="Q144:T144">
    <cfRule type="expression" dxfId="493" priority="441">
      <formula>OR($A144="Volume",$A144="Pipe")</formula>
    </cfRule>
  </conditionalFormatting>
  <conditionalFormatting sqref="A144:F144 H144:L144 O144:V144">
    <cfRule type="expression" dxfId="492" priority="440">
      <formula>$A144="Component"</formula>
    </cfRule>
  </conditionalFormatting>
  <conditionalFormatting sqref="U144:V144 A144:F144 H144:L144 O144:P144">
    <cfRule type="expression" dxfId="491" priority="439">
      <formula>$A144="Volume"</formula>
    </cfRule>
  </conditionalFormatting>
  <conditionalFormatting sqref="J144:L144">
    <cfRule type="cellIs" dxfId="490" priority="438" operator="notEqual">
      <formula>0</formula>
    </cfRule>
  </conditionalFormatting>
  <conditionalFormatting sqref="F144">
    <cfRule type="expression" dxfId="489" priority="446">
      <formula>OR($A144="Pipe",$A144="Component",$A144="Volume")</formula>
    </cfRule>
  </conditionalFormatting>
  <conditionalFormatting sqref="G144">
    <cfRule type="expression" dxfId="488" priority="437">
      <formula>OR($A144="Pipe",$A144="Component",$A144="Volume")</formula>
    </cfRule>
  </conditionalFormatting>
  <conditionalFormatting sqref="G144">
    <cfRule type="expression" dxfId="487" priority="436">
      <formula>$A144="Pipe"</formula>
    </cfRule>
  </conditionalFormatting>
  <conditionalFormatting sqref="G144">
    <cfRule type="expression" dxfId="486" priority="435">
      <formula>$A144="Component"</formula>
    </cfRule>
  </conditionalFormatting>
  <conditionalFormatting sqref="G144">
    <cfRule type="expression" dxfId="485" priority="434">
      <formula>$A144="Volume"</formula>
    </cfRule>
  </conditionalFormatting>
  <conditionalFormatting sqref="M144">
    <cfRule type="expression" dxfId="484" priority="432">
      <formula>OR($A144="Pipe",$A144="Component",$A144="Volume")</formula>
    </cfRule>
  </conditionalFormatting>
  <conditionalFormatting sqref="N144">
    <cfRule type="expression" dxfId="483" priority="433">
      <formula>OR($A144="Pipe",$A144="Component",$A144="Volume")</formula>
    </cfRule>
  </conditionalFormatting>
  <conditionalFormatting sqref="M144:N144">
    <cfRule type="expression" dxfId="482" priority="431">
      <formula>$A144="Pipe"</formula>
    </cfRule>
  </conditionalFormatting>
  <conditionalFormatting sqref="M144:N144">
    <cfRule type="expression" dxfId="481" priority="430">
      <formula>$A144="Component"</formula>
    </cfRule>
  </conditionalFormatting>
  <conditionalFormatting sqref="M144:N144">
    <cfRule type="expression" dxfId="480" priority="429">
      <formula>$A144="Volume"</formula>
    </cfRule>
  </conditionalFormatting>
  <conditionalFormatting sqref="O145 A145 U145 J145 S145 Q145">
    <cfRule type="expression" dxfId="479" priority="426">
      <formula>OR($A145="Pipe",$A145="Component",$A145="Volume")</formula>
    </cfRule>
  </conditionalFormatting>
  <conditionalFormatting sqref="V145 P145 L145 I145 E145 R145 T145">
    <cfRule type="expression" dxfId="478" priority="427">
      <formula>OR($A145="Pipe",$A145="Component",$A145="Volume")</formula>
    </cfRule>
  </conditionalFormatting>
  <conditionalFormatting sqref="B145:D145 K145 H145">
    <cfRule type="expression" dxfId="477" priority="425">
      <formula>OR($A145="Pipe",$A145="Component",$A145="Volume")</formula>
    </cfRule>
  </conditionalFormatting>
  <conditionalFormatting sqref="U145:V145 A145:F145 H145:L145 O145:P145">
    <cfRule type="expression" dxfId="476" priority="424">
      <formula>$A145="Pipe"</formula>
    </cfRule>
  </conditionalFormatting>
  <conditionalFormatting sqref="Q145:T145">
    <cfRule type="expression" dxfId="475" priority="423">
      <formula>OR($A145="Volume",$A145="Pipe")</formula>
    </cfRule>
  </conditionalFormatting>
  <conditionalFormatting sqref="A145:F145 H145:L145 O145:V145">
    <cfRule type="expression" dxfId="474" priority="422">
      <formula>$A145="Component"</formula>
    </cfRule>
  </conditionalFormatting>
  <conditionalFormatting sqref="U145:V145 A145:F145 H145:L145 O145:P145">
    <cfRule type="expression" dxfId="473" priority="421">
      <formula>$A145="Volume"</formula>
    </cfRule>
  </conditionalFormatting>
  <conditionalFormatting sqref="J145:L145">
    <cfRule type="cellIs" dxfId="472" priority="420" operator="notEqual">
      <formula>0</formula>
    </cfRule>
  </conditionalFormatting>
  <conditionalFormatting sqref="F145">
    <cfRule type="expression" dxfId="471" priority="428">
      <formula>OR($A145="Pipe",$A145="Component",$A145="Volume")</formula>
    </cfRule>
  </conditionalFormatting>
  <conditionalFormatting sqref="G145">
    <cfRule type="expression" dxfId="470" priority="419">
      <formula>OR($A145="Pipe",$A145="Component",$A145="Volume")</formula>
    </cfRule>
  </conditionalFormatting>
  <conditionalFormatting sqref="G145">
    <cfRule type="expression" dxfId="469" priority="418">
      <formula>$A145="Pipe"</formula>
    </cfRule>
  </conditionalFormatting>
  <conditionalFormatting sqref="G145">
    <cfRule type="expression" dxfId="468" priority="417">
      <formula>$A145="Component"</formula>
    </cfRule>
  </conditionalFormatting>
  <conditionalFormatting sqref="G145">
    <cfRule type="expression" dxfId="467" priority="416">
      <formula>$A145="Volume"</formula>
    </cfRule>
  </conditionalFormatting>
  <conditionalFormatting sqref="M145">
    <cfRule type="expression" dxfId="466" priority="414">
      <formula>OR($A145="Pipe",$A145="Component",$A145="Volume")</formula>
    </cfRule>
  </conditionalFormatting>
  <conditionalFormatting sqref="N145">
    <cfRule type="expression" dxfId="465" priority="415">
      <formula>OR($A145="Pipe",$A145="Component",$A145="Volume")</formula>
    </cfRule>
  </conditionalFormatting>
  <conditionalFormatting sqref="M145:N145">
    <cfRule type="expression" dxfId="464" priority="413">
      <formula>$A145="Pipe"</formula>
    </cfRule>
  </conditionalFormatting>
  <conditionalFormatting sqref="M145:N145">
    <cfRule type="expression" dxfId="463" priority="412">
      <formula>$A145="Component"</formula>
    </cfRule>
  </conditionalFormatting>
  <conditionalFormatting sqref="M145:N145">
    <cfRule type="expression" dxfId="462" priority="411">
      <formula>$A145="Volume"</formula>
    </cfRule>
  </conditionalFormatting>
  <conditionalFormatting sqref="M147">
    <cfRule type="expression" dxfId="461" priority="409">
      <formula>OR($A147="Pipe",$A147="Component",$A147="Volume")</formula>
    </cfRule>
  </conditionalFormatting>
  <conditionalFormatting sqref="N147">
    <cfRule type="expression" dxfId="460" priority="410">
      <formula>OR($A147="Pipe",$A147="Component",$A147="Volume")</formula>
    </cfRule>
  </conditionalFormatting>
  <conditionalFormatting sqref="M147:N147">
    <cfRule type="expression" dxfId="459" priority="408">
      <formula>$A147="Pipe"</formula>
    </cfRule>
  </conditionalFormatting>
  <conditionalFormatting sqref="M147:N147">
    <cfRule type="expression" dxfId="458" priority="407">
      <formula>$A147="Component"</formula>
    </cfRule>
  </conditionalFormatting>
  <conditionalFormatting sqref="M147:N147">
    <cfRule type="expression" dxfId="457" priority="406">
      <formula>$A147="Volume"</formula>
    </cfRule>
  </conditionalFormatting>
  <conditionalFormatting sqref="I147">
    <cfRule type="expression" dxfId="456" priority="405">
      <formula>OR($A147="Pipe",$A147="Component",$A147="Volume")</formula>
    </cfRule>
  </conditionalFormatting>
  <conditionalFormatting sqref="H147">
    <cfRule type="expression" dxfId="455" priority="404">
      <formula>OR($A147="Pipe",$A147="Component",$A147="Volume")</formula>
    </cfRule>
  </conditionalFormatting>
  <conditionalFormatting sqref="H147:I147">
    <cfRule type="expression" dxfId="454" priority="403">
      <formula>$A147="Pipe"</formula>
    </cfRule>
  </conditionalFormatting>
  <conditionalFormatting sqref="H147:I147">
    <cfRule type="expression" dxfId="453" priority="402">
      <formula>$A147="Component"</formula>
    </cfRule>
  </conditionalFormatting>
  <conditionalFormatting sqref="H147:I147">
    <cfRule type="expression" dxfId="452" priority="401">
      <formula>$A147="Volume"</formula>
    </cfRule>
  </conditionalFormatting>
  <conditionalFormatting sqref="G147">
    <cfRule type="expression" dxfId="451" priority="400">
      <formula>OR($A147="Pipe",$A147="Component",$A147="Volume")</formula>
    </cfRule>
  </conditionalFormatting>
  <conditionalFormatting sqref="G147">
    <cfRule type="expression" dxfId="450" priority="399">
      <formula>$A147="Pipe"</formula>
    </cfRule>
  </conditionalFormatting>
  <conditionalFormatting sqref="G147">
    <cfRule type="expression" dxfId="449" priority="398">
      <formula>$A147="Component"</formula>
    </cfRule>
  </conditionalFormatting>
  <conditionalFormatting sqref="G147">
    <cfRule type="expression" dxfId="448" priority="397">
      <formula>$A147="Volume"</formula>
    </cfRule>
  </conditionalFormatting>
  <conditionalFormatting sqref="O149 A149 U149 J149 S149 Q149">
    <cfRule type="expression" dxfId="447" priority="394">
      <formula>OR($A149="Pipe",$A149="Component",$A149="Volume")</formula>
    </cfRule>
  </conditionalFormatting>
  <conditionalFormatting sqref="V149 P149 L149 I149 E149 R149 T149">
    <cfRule type="expression" dxfId="446" priority="395">
      <formula>OR($A149="Pipe",$A149="Component",$A149="Volume")</formula>
    </cfRule>
  </conditionalFormatting>
  <conditionalFormatting sqref="B149:D149 K149 H149">
    <cfRule type="expression" dxfId="445" priority="393">
      <formula>OR($A149="Pipe",$A149="Component",$A149="Volume")</formula>
    </cfRule>
  </conditionalFormatting>
  <conditionalFormatting sqref="U149:V149 A149:F149 H149:L149 O149:P149">
    <cfRule type="expression" dxfId="444" priority="392">
      <formula>$A149="Pipe"</formula>
    </cfRule>
  </conditionalFormatting>
  <conditionalFormatting sqref="Q149:T149">
    <cfRule type="expression" dxfId="443" priority="391">
      <formula>OR($A149="Volume",$A149="Pipe")</formula>
    </cfRule>
  </conditionalFormatting>
  <conditionalFormatting sqref="A149:F149 H149:L149 O149:V149">
    <cfRule type="expression" dxfId="442" priority="390">
      <formula>$A149="Component"</formula>
    </cfRule>
  </conditionalFormatting>
  <conditionalFormatting sqref="U149:V149 A149:F149 H149:L149 O149:P149">
    <cfRule type="expression" dxfId="441" priority="389">
      <formula>$A149="Volume"</formula>
    </cfRule>
  </conditionalFormatting>
  <conditionalFormatting sqref="J149:L149">
    <cfRule type="cellIs" dxfId="440" priority="388" operator="notEqual">
      <formula>0</formula>
    </cfRule>
  </conditionalFormatting>
  <conditionalFormatting sqref="F149">
    <cfRule type="expression" dxfId="439" priority="396">
      <formula>OR($A149="Pipe",$A149="Component",$A149="Volume")</formula>
    </cfRule>
  </conditionalFormatting>
  <conditionalFormatting sqref="G149">
    <cfRule type="expression" dxfId="438" priority="387">
      <formula>OR($A149="Pipe",$A149="Component",$A149="Volume")</formula>
    </cfRule>
  </conditionalFormatting>
  <conditionalFormatting sqref="G149">
    <cfRule type="expression" dxfId="437" priority="386">
      <formula>$A149="Pipe"</formula>
    </cfRule>
  </conditionalFormatting>
  <conditionalFormatting sqref="G149">
    <cfRule type="expression" dxfId="436" priority="385">
      <formula>$A149="Component"</formula>
    </cfRule>
  </conditionalFormatting>
  <conditionalFormatting sqref="G149">
    <cfRule type="expression" dxfId="435" priority="384">
      <formula>$A149="Volume"</formula>
    </cfRule>
  </conditionalFormatting>
  <conditionalFormatting sqref="M149">
    <cfRule type="expression" dxfId="434" priority="382">
      <formula>OR($A149="Pipe",$A149="Component",$A149="Volume")</formula>
    </cfRule>
  </conditionalFormatting>
  <conditionalFormatting sqref="N149">
    <cfRule type="expression" dxfId="433" priority="383">
      <formula>OR($A149="Pipe",$A149="Component",$A149="Volume")</formula>
    </cfRule>
  </conditionalFormatting>
  <conditionalFormatting sqref="M149:N149">
    <cfRule type="expression" dxfId="432" priority="381">
      <formula>$A149="Pipe"</formula>
    </cfRule>
  </conditionalFormatting>
  <conditionalFormatting sqref="M149:N149">
    <cfRule type="expression" dxfId="431" priority="380">
      <formula>$A149="Component"</formula>
    </cfRule>
  </conditionalFormatting>
  <conditionalFormatting sqref="M149:N149">
    <cfRule type="expression" dxfId="430" priority="379">
      <formula>$A149="Volume"</formula>
    </cfRule>
  </conditionalFormatting>
  <conditionalFormatting sqref="O151 A151 U151 J151 S151 Q151">
    <cfRule type="expression" dxfId="429" priority="376">
      <formula>OR($A151="Pipe",$A151="Component",$A151="Volume")</formula>
    </cfRule>
  </conditionalFormatting>
  <conditionalFormatting sqref="V151 P151 L151 I151 E151 R151 T151">
    <cfRule type="expression" dxfId="428" priority="377">
      <formula>OR($A151="Pipe",$A151="Component",$A151="Volume")</formula>
    </cfRule>
  </conditionalFormatting>
  <conditionalFormatting sqref="B151:D151 K151 H151">
    <cfRule type="expression" dxfId="427" priority="375">
      <formula>OR($A151="Pipe",$A151="Component",$A151="Volume")</formula>
    </cfRule>
  </conditionalFormatting>
  <conditionalFormatting sqref="U151:V151 A151:F151 H151:L151 O151:P151">
    <cfRule type="expression" dxfId="426" priority="374">
      <formula>$A151="Pipe"</formula>
    </cfRule>
  </conditionalFormatting>
  <conditionalFormatting sqref="Q151:T151">
    <cfRule type="expression" dxfId="425" priority="373">
      <formula>OR($A151="Volume",$A151="Pipe")</formula>
    </cfRule>
  </conditionalFormatting>
  <conditionalFormatting sqref="A151:F151 H151:L151 O151:V151">
    <cfRule type="expression" dxfId="424" priority="372">
      <formula>$A151="Component"</formula>
    </cfRule>
  </conditionalFormatting>
  <conditionalFormatting sqref="U151:V151 A151:F151 H151:L151 O151:P151">
    <cfRule type="expression" dxfId="423" priority="371">
      <formula>$A151="Volume"</formula>
    </cfRule>
  </conditionalFormatting>
  <conditionalFormatting sqref="J151:L151">
    <cfRule type="cellIs" dxfId="422" priority="370" operator="notEqual">
      <formula>0</formula>
    </cfRule>
  </conditionalFormatting>
  <conditionalFormatting sqref="F151">
    <cfRule type="expression" dxfId="421" priority="378">
      <formula>OR($A151="Pipe",$A151="Component",$A151="Volume")</formula>
    </cfRule>
  </conditionalFormatting>
  <conditionalFormatting sqref="G151">
    <cfRule type="expression" dxfId="420" priority="369">
      <formula>OR($A151="Pipe",$A151="Component",$A151="Volume")</formula>
    </cfRule>
  </conditionalFormatting>
  <conditionalFormatting sqref="G151">
    <cfRule type="expression" dxfId="419" priority="368">
      <formula>$A151="Pipe"</formula>
    </cfRule>
  </conditionalFormatting>
  <conditionalFormatting sqref="G151">
    <cfRule type="expression" dxfId="418" priority="367">
      <formula>$A151="Component"</formula>
    </cfRule>
  </conditionalFormatting>
  <conditionalFormatting sqref="G151">
    <cfRule type="expression" dxfId="417" priority="366">
      <formula>$A151="Volume"</formula>
    </cfRule>
  </conditionalFormatting>
  <conditionalFormatting sqref="M151">
    <cfRule type="expression" dxfId="416" priority="364">
      <formula>OR($A151="Pipe",$A151="Component",$A151="Volume")</formula>
    </cfRule>
  </conditionalFormatting>
  <conditionalFormatting sqref="N151">
    <cfRule type="expression" dxfId="415" priority="365">
      <formula>OR($A151="Pipe",$A151="Component",$A151="Volume")</formula>
    </cfRule>
  </conditionalFormatting>
  <conditionalFormatting sqref="M151:N151">
    <cfRule type="expression" dxfId="414" priority="363">
      <formula>$A151="Pipe"</formula>
    </cfRule>
  </conditionalFormatting>
  <conditionalFormatting sqref="M151:N151">
    <cfRule type="expression" dxfId="413" priority="362">
      <formula>$A151="Component"</formula>
    </cfRule>
  </conditionalFormatting>
  <conditionalFormatting sqref="M151:N151">
    <cfRule type="expression" dxfId="412" priority="361">
      <formula>$A151="Volume"</formula>
    </cfRule>
  </conditionalFormatting>
  <conditionalFormatting sqref="O150 A150 U150 J150 S150 Q150">
    <cfRule type="expression" dxfId="411" priority="358">
      <formula>OR($A150="Pipe",$A150="Component",$A150="Volume")</formula>
    </cfRule>
  </conditionalFormatting>
  <conditionalFormatting sqref="V150 P150 L150 I150 E150 R150 T150">
    <cfRule type="expression" dxfId="410" priority="359">
      <formula>OR($A150="Pipe",$A150="Component",$A150="Volume")</formula>
    </cfRule>
  </conditionalFormatting>
  <conditionalFormatting sqref="B150:D150 K150 H150">
    <cfRule type="expression" dxfId="409" priority="357">
      <formula>OR($A150="Pipe",$A150="Component",$A150="Volume")</formula>
    </cfRule>
  </conditionalFormatting>
  <conditionalFormatting sqref="U150:V150 A150:F150 H150:L150 O150:P150">
    <cfRule type="expression" dxfId="408" priority="356">
      <formula>$A150="Pipe"</formula>
    </cfRule>
  </conditionalFormatting>
  <conditionalFormatting sqref="Q150:T150">
    <cfRule type="expression" dxfId="407" priority="355">
      <formula>OR($A150="Volume",$A150="Pipe")</formula>
    </cfRule>
  </conditionalFormatting>
  <conditionalFormatting sqref="A150:F150 H150:L150 O150:V150">
    <cfRule type="expression" dxfId="406" priority="354">
      <formula>$A150="Component"</formula>
    </cfRule>
  </conditionalFormatting>
  <conditionalFormatting sqref="U150:V150 A150:F150 H150:L150 O150:P150">
    <cfRule type="expression" dxfId="405" priority="353">
      <formula>$A150="Volume"</formula>
    </cfRule>
  </conditionalFormatting>
  <conditionalFormatting sqref="J150:L150">
    <cfRule type="cellIs" dxfId="404" priority="352" operator="notEqual">
      <formula>0</formula>
    </cfRule>
  </conditionalFormatting>
  <conditionalFormatting sqref="F150">
    <cfRule type="expression" dxfId="403" priority="360">
      <formula>OR($A150="Pipe",$A150="Component",$A150="Volume")</formula>
    </cfRule>
  </conditionalFormatting>
  <conditionalFormatting sqref="G150">
    <cfRule type="expression" dxfId="402" priority="351">
      <formula>OR($A150="Pipe",$A150="Component",$A150="Volume")</formula>
    </cfRule>
  </conditionalFormatting>
  <conditionalFormatting sqref="G150">
    <cfRule type="expression" dxfId="401" priority="350">
      <formula>$A150="Pipe"</formula>
    </cfRule>
  </conditionalFormatting>
  <conditionalFormatting sqref="G150">
    <cfRule type="expression" dxfId="400" priority="349">
      <formula>$A150="Component"</formula>
    </cfRule>
  </conditionalFormatting>
  <conditionalFormatting sqref="G150">
    <cfRule type="expression" dxfId="399" priority="348">
      <formula>$A150="Volume"</formula>
    </cfRule>
  </conditionalFormatting>
  <conditionalFormatting sqref="M150">
    <cfRule type="expression" dxfId="398" priority="346">
      <formula>OR($A150="Pipe",$A150="Component",$A150="Volume")</formula>
    </cfRule>
  </conditionalFormatting>
  <conditionalFormatting sqref="N150">
    <cfRule type="expression" dxfId="397" priority="347">
      <formula>OR($A150="Pipe",$A150="Component",$A150="Volume")</formula>
    </cfRule>
  </conditionalFormatting>
  <conditionalFormatting sqref="M150:N150">
    <cfRule type="expression" dxfId="396" priority="345">
      <formula>$A150="Pipe"</formula>
    </cfRule>
  </conditionalFormatting>
  <conditionalFormatting sqref="M150:N150">
    <cfRule type="expression" dxfId="395" priority="344">
      <formula>$A150="Component"</formula>
    </cfRule>
  </conditionalFormatting>
  <conditionalFormatting sqref="M150:N150">
    <cfRule type="expression" dxfId="394" priority="343">
      <formula>$A150="Volume"</formula>
    </cfRule>
  </conditionalFormatting>
  <conditionalFormatting sqref="O154 A154 U154 J154 S154 Q154">
    <cfRule type="expression" dxfId="393" priority="340">
      <formula>OR($A154="Pipe",$A154="Component",$A154="Volume")</formula>
    </cfRule>
  </conditionalFormatting>
  <conditionalFormatting sqref="V154 P154 L154 I154 E154 R154 T154">
    <cfRule type="expression" dxfId="392" priority="341">
      <formula>OR($A154="Pipe",$A154="Component",$A154="Volume")</formula>
    </cfRule>
  </conditionalFormatting>
  <conditionalFormatting sqref="B154:D154 K154 H154">
    <cfRule type="expression" dxfId="391" priority="339">
      <formula>OR($A154="Pipe",$A154="Component",$A154="Volume")</formula>
    </cfRule>
  </conditionalFormatting>
  <conditionalFormatting sqref="U154:V154 A154:F154 H154:L154 O154:P154">
    <cfRule type="expression" dxfId="390" priority="338">
      <formula>$A154="Pipe"</formula>
    </cfRule>
  </conditionalFormatting>
  <conditionalFormatting sqref="Q154:T154">
    <cfRule type="expression" dxfId="389" priority="337">
      <formula>OR($A154="Volume",$A154="Pipe")</formula>
    </cfRule>
  </conditionalFormatting>
  <conditionalFormatting sqref="A154:F154 H154:L154 O154:V154">
    <cfRule type="expression" dxfId="388" priority="336">
      <formula>$A154="Component"</formula>
    </cfRule>
  </conditionalFormatting>
  <conditionalFormatting sqref="U154:V154 A154:F154 H154:L154 O154:P154">
    <cfRule type="expression" dxfId="387" priority="335">
      <formula>$A154="Volume"</formula>
    </cfRule>
  </conditionalFormatting>
  <conditionalFormatting sqref="J154:L154">
    <cfRule type="cellIs" dxfId="386" priority="334" operator="notEqual">
      <formula>0</formula>
    </cfRule>
  </conditionalFormatting>
  <conditionalFormatting sqref="F154">
    <cfRule type="expression" dxfId="385" priority="342">
      <formula>OR($A154="Pipe",$A154="Component",$A154="Volume")</formula>
    </cfRule>
  </conditionalFormatting>
  <conditionalFormatting sqref="M154">
    <cfRule type="expression" dxfId="384" priority="328">
      <formula>OR($A154="Pipe",$A154="Component",$A154="Volume")</formula>
    </cfRule>
  </conditionalFormatting>
  <conditionalFormatting sqref="N154">
    <cfRule type="expression" dxfId="383" priority="329">
      <formula>OR($A154="Pipe",$A154="Component",$A154="Volume")</formula>
    </cfRule>
  </conditionalFormatting>
  <conditionalFormatting sqref="M154:N154">
    <cfRule type="expression" dxfId="382" priority="327">
      <formula>$A154="Pipe"</formula>
    </cfRule>
  </conditionalFormatting>
  <conditionalFormatting sqref="M154:N154">
    <cfRule type="expression" dxfId="381" priority="326">
      <formula>$A154="Component"</formula>
    </cfRule>
  </conditionalFormatting>
  <conditionalFormatting sqref="M154:N154">
    <cfRule type="expression" dxfId="380" priority="325">
      <formula>$A154="Volume"</formula>
    </cfRule>
  </conditionalFormatting>
  <conditionalFormatting sqref="G154">
    <cfRule type="expression" dxfId="379" priority="284">
      <formula>OR($A154="Pipe",$A154="Component",$A154="Volume")</formula>
    </cfRule>
  </conditionalFormatting>
  <conditionalFormatting sqref="G154">
    <cfRule type="expression" dxfId="378" priority="283">
      <formula>$A154="Pipe"</formula>
    </cfRule>
  </conditionalFormatting>
  <conditionalFormatting sqref="G154">
    <cfRule type="expression" dxfId="377" priority="282">
      <formula>$A154="Component"</formula>
    </cfRule>
  </conditionalFormatting>
  <conditionalFormatting sqref="G154">
    <cfRule type="expression" dxfId="376" priority="281">
      <formula>$A154="Volume"</formula>
    </cfRule>
  </conditionalFormatting>
  <conditionalFormatting sqref="O152 A152 U152 J152 S152 Q152">
    <cfRule type="expression" dxfId="375" priority="318">
      <formula>OR($A152="Pipe",$A152="Component",$A152="Volume")</formula>
    </cfRule>
  </conditionalFormatting>
  <conditionalFormatting sqref="V152 P152 L152 I152 E152 R152 T152">
    <cfRule type="expression" dxfId="374" priority="319">
      <formula>OR($A152="Pipe",$A152="Component",$A152="Volume")</formula>
    </cfRule>
  </conditionalFormatting>
  <conditionalFormatting sqref="B152:D152 K152 H152">
    <cfRule type="expression" dxfId="373" priority="317">
      <formula>OR($A152="Pipe",$A152="Component",$A152="Volume")</formula>
    </cfRule>
  </conditionalFormatting>
  <conditionalFormatting sqref="U152:V152 A152:F152 H152:L152 O152:P152">
    <cfRule type="expression" dxfId="372" priority="316">
      <formula>$A152="Pipe"</formula>
    </cfRule>
  </conditionalFormatting>
  <conditionalFormatting sqref="Q152:T152">
    <cfRule type="expression" dxfId="371" priority="315">
      <formula>OR($A152="Volume",$A152="Pipe")</formula>
    </cfRule>
  </conditionalFormatting>
  <conditionalFormatting sqref="A152:F152 H152:L152 O152:V152">
    <cfRule type="expression" dxfId="370" priority="314">
      <formula>$A152="Component"</formula>
    </cfRule>
  </conditionalFormatting>
  <conditionalFormatting sqref="U152:V152 A152:F152 H152:L152 O152:P152">
    <cfRule type="expression" dxfId="369" priority="313">
      <formula>$A152="Volume"</formula>
    </cfRule>
  </conditionalFormatting>
  <conditionalFormatting sqref="J152:L152">
    <cfRule type="cellIs" dxfId="368" priority="312" operator="notEqual">
      <formula>0</formula>
    </cfRule>
  </conditionalFormatting>
  <conditionalFormatting sqref="F152">
    <cfRule type="expression" dxfId="367" priority="320">
      <formula>OR($A152="Pipe",$A152="Component",$A152="Volume")</formula>
    </cfRule>
  </conditionalFormatting>
  <conditionalFormatting sqref="M152">
    <cfRule type="expression" dxfId="366" priority="310">
      <formula>OR($A152="Pipe",$A152="Component",$A152="Volume")</formula>
    </cfRule>
  </conditionalFormatting>
  <conditionalFormatting sqref="N152">
    <cfRule type="expression" dxfId="365" priority="311">
      <formula>OR($A152="Pipe",$A152="Component",$A152="Volume")</formula>
    </cfRule>
  </conditionalFormatting>
  <conditionalFormatting sqref="M152:N152">
    <cfRule type="expression" dxfId="364" priority="309">
      <formula>$A152="Pipe"</formula>
    </cfRule>
  </conditionalFormatting>
  <conditionalFormatting sqref="M152:N152">
    <cfRule type="expression" dxfId="363" priority="308">
      <formula>$A152="Component"</formula>
    </cfRule>
  </conditionalFormatting>
  <conditionalFormatting sqref="M152:N152">
    <cfRule type="expression" dxfId="362" priority="307">
      <formula>$A152="Volume"</formula>
    </cfRule>
  </conditionalFormatting>
  <conditionalFormatting sqref="G152">
    <cfRule type="expression" dxfId="361" priority="306">
      <formula>OR($A152="Pipe",$A152="Component",$A152="Volume")</formula>
    </cfRule>
  </conditionalFormatting>
  <conditionalFormatting sqref="G152">
    <cfRule type="expression" dxfId="360" priority="305">
      <formula>$A152="Pipe"</formula>
    </cfRule>
  </conditionalFormatting>
  <conditionalFormatting sqref="G152">
    <cfRule type="expression" dxfId="359" priority="304">
      <formula>$A152="Component"</formula>
    </cfRule>
  </conditionalFormatting>
  <conditionalFormatting sqref="G152">
    <cfRule type="expression" dxfId="358" priority="303">
      <formula>$A152="Volume"</formula>
    </cfRule>
  </conditionalFormatting>
  <conditionalFormatting sqref="O153 A153 U153 J153 S153 Q153">
    <cfRule type="expression" dxfId="357" priority="300">
      <formula>OR($A153="Pipe",$A153="Component",$A153="Volume")</formula>
    </cfRule>
  </conditionalFormatting>
  <conditionalFormatting sqref="V153 P153 L153 I153 E153 R153 T153">
    <cfRule type="expression" dxfId="356" priority="301">
      <formula>OR($A153="Pipe",$A153="Component",$A153="Volume")</formula>
    </cfRule>
  </conditionalFormatting>
  <conditionalFormatting sqref="B153:D153 K153 H153">
    <cfRule type="expression" dxfId="355" priority="299">
      <formula>OR($A153="Pipe",$A153="Component",$A153="Volume")</formula>
    </cfRule>
  </conditionalFormatting>
  <conditionalFormatting sqref="U153:V153 A153:F153 H153:L153 O153:P153">
    <cfRule type="expression" dxfId="354" priority="298">
      <formula>$A153="Pipe"</formula>
    </cfRule>
  </conditionalFormatting>
  <conditionalFormatting sqref="Q153:T153">
    <cfRule type="expression" dxfId="353" priority="297">
      <formula>OR($A153="Volume",$A153="Pipe")</formula>
    </cfRule>
  </conditionalFormatting>
  <conditionalFormatting sqref="A153:F153 H153:L153 O153:V153">
    <cfRule type="expression" dxfId="352" priority="296">
      <formula>$A153="Component"</formula>
    </cfRule>
  </conditionalFormatting>
  <conditionalFormatting sqref="U153:V153 A153:F153 H153:L153 O153:P153">
    <cfRule type="expression" dxfId="351" priority="295">
      <formula>$A153="Volume"</formula>
    </cfRule>
  </conditionalFormatting>
  <conditionalFormatting sqref="J153:L153">
    <cfRule type="cellIs" dxfId="350" priority="294" operator="notEqual">
      <formula>0</formula>
    </cfRule>
  </conditionalFormatting>
  <conditionalFormatting sqref="F153">
    <cfRule type="expression" dxfId="349" priority="302">
      <formula>OR($A153="Pipe",$A153="Component",$A153="Volume")</formula>
    </cfRule>
  </conditionalFormatting>
  <conditionalFormatting sqref="M153">
    <cfRule type="expression" dxfId="348" priority="292">
      <formula>OR($A153="Pipe",$A153="Component",$A153="Volume")</formula>
    </cfRule>
  </conditionalFormatting>
  <conditionalFormatting sqref="N153">
    <cfRule type="expression" dxfId="347" priority="293">
      <formula>OR($A153="Pipe",$A153="Component",$A153="Volume")</formula>
    </cfRule>
  </conditionalFormatting>
  <conditionalFormatting sqref="M153:N153">
    <cfRule type="expression" dxfId="346" priority="291">
      <formula>$A153="Pipe"</formula>
    </cfRule>
  </conditionalFormatting>
  <conditionalFormatting sqref="M153:N153">
    <cfRule type="expression" dxfId="345" priority="290">
      <formula>$A153="Component"</formula>
    </cfRule>
  </conditionalFormatting>
  <conditionalFormatting sqref="M153:N153">
    <cfRule type="expression" dxfId="344" priority="289">
      <formula>$A153="Volume"</formula>
    </cfRule>
  </conditionalFormatting>
  <conditionalFormatting sqref="G153">
    <cfRule type="expression" dxfId="343" priority="288">
      <formula>OR($A153="Pipe",$A153="Component",$A153="Volume")</formula>
    </cfRule>
  </conditionalFormatting>
  <conditionalFormatting sqref="G153">
    <cfRule type="expression" dxfId="342" priority="287">
      <formula>$A153="Pipe"</formula>
    </cfRule>
  </conditionalFormatting>
  <conditionalFormatting sqref="G153">
    <cfRule type="expression" dxfId="341" priority="286">
      <formula>$A153="Component"</formula>
    </cfRule>
  </conditionalFormatting>
  <conditionalFormatting sqref="G153">
    <cfRule type="expression" dxfId="340" priority="285">
      <formula>$A153="Volume"</formula>
    </cfRule>
  </conditionalFormatting>
  <conditionalFormatting sqref="O155 A155 U155 J155 S155 Q155">
    <cfRule type="expression" dxfId="339" priority="278">
      <formula>OR($A155="Pipe",$A155="Component",$A155="Volume")</formula>
    </cfRule>
  </conditionalFormatting>
  <conditionalFormatting sqref="V155 P155 L155 I155 E155 R155 T155">
    <cfRule type="expression" dxfId="338" priority="279">
      <formula>OR($A155="Pipe",$A155="Component",$A155="Volume")</formula>
    </cfRule>
  </conditionalFormatting>
  <conditionalFormatting sqref="B155:D155 K155 H155">
    <cfRule type="expression" dxfId="337" priority="277">
      <formula>OR($A155="Pipe",$A155="Component",$A155="Volume")</formula>
    </cfRule>
  </conditionalFormatting>
  <conditionalFormatting sqref="U155:V155 A155:F155 H155:L155 O155:P155">
    <cfRule type="expression" dxfId="336" priority="276">
      <formula>$A155="Pipe"</formula>
    </cfRule>
  </conditionalFormatting>
  <conditionalFormatting sqref="Q155:T155">
    <cfRule type="expression" dxfId="335" priority="275">
      <formula>OR($A155="Volume",$A155="Pipe")</formula>
    </cfRule>
  </conditionalFormatting>
  <conditionalFormatting sqref="A155:F155 H155:L155 O155:V155">
    <cfRule type="expression" dxfId="334" priority="274">
      <formula>$A155="Component"</formula>
    </cfRule>
  </conditionalFormatting>
  <conditionalFormatting sqref="U155:V155 A155:F155 H155:L155 O155:P155">
    <cfRule type="expression" dxfId="333" priority="273">
      <formula>$A155="Volume"</formula>
    </cfRule>
  </conditionalFormatting>
  <conditionalFormatting sqref="J155:L155">
    <cfRule type="cellIs" dxfId="332" priority="272" operator="notEqual">
      <formula>0</formula>
    </cfRule>
  </conditionalFormatting>
  <conditionalFormatting sqref="F155">
    <cfRule type="expression" dxfId="331" priority="280">
      <formula>OR($A155="Pipe",$A155="Component",$A155="Volume")</formula>
    </cfRule>
  </conditionalFormatting>
  <conditionalFormatting sqref="M155">
    <cfRule type="expression" dxfId="330" priority="270">
      <formula>OR($A155="Pipe",$A155="Component",$A155="Volume")</formula>
    </cfRule>
  </conditionalFormatting>
  <conditionalFormatting sqref="N155">
    <cfRule type="expression" dxfId="329" priority="271">
      <formula>OR($A155="Pipe",$A155="Component",$A155="Volume")</formula>
    </cfRule>
  </conditionalFormatting>
  <conditionalFormatting sqref="M155:N155">
    <cfRule type="expression" dxfId="328" priority="269">
      <formula>$A155="Pipe"</formula>
    </cfRule>
  </conditionalFormatting>
  <conditionalFormatting sqref="M155:N155">
    <cfRule type="expression" dxfId="327" priority="268">
      <formula>$A155="Component"</formula>
    </cfRule>
  </conditionalFormatting>
  <conditionalFormatting sqref="M155:N155">
    <cfRule type="expression" dxfId="326" priority="267">
      <formula>$A155="Volume"</formula>
    </cfRule>
  </conditionalFormatting>
  <conditionalFormatting sqref="G155">
    <cfRule type="expression" dxfId="325" priority="266">
      <formula>OR($A155="Pipe",$A155="Component",$A155="Volume")</formula>
    </cfRule>
  </conditionalFormatting>
  <conditionalFormatting sqref="G155">
    <cfRule type="expression" dxfId="324" priority="265">
      <formula>$A155="Pipe"</formula>
    </cfRule>
  </conditionalFormatting>
  <conditionalFormatting sqref="G155">
    <cfRule type="expression" dxfId="323" priority="264">
      <formula>$A155="Component"</formula>
    </cfRule>
  </conditionalFormatting>
  <conditionalFormatting sqref="G155">
    <cfRule type="expression" dxfId="322" priority="263">
      <formula>$A155="Volume"</formula>
    </cfRule>
  </conditionalFormatting>
  <conditionalFormatting sqref="O157 A157 U157 J157 S157 Q157">
    <cfRule type="expression" dxfId="321" priority="260">
      <formula>OR($A157="Pipe",$A157="Component",$A157="Volume")</formula>
    </cfRule>
  </conditionalFormatting>
  <conditionalFormatting sqref="V157 P157 L157 I157 E157 R157 T157">
    <cfRule type="expression" dxfId="320" priority="261">
      <formula>OR($A157="Pipe",$A157="Component",$A157="Volume")</formula>
    </cfRule>
  </conditionalFormatting>
  <conditionalFormatting sqref="B157:D157 K157 H157">
    <cfRule type="expression" dxfId="319" priority="259">
      <formula>OR($A157="Pipe",$A157="Component",$A157="Volume")</formula>
    </cfRule>
  </conditionalFormatting>
  <conditionalFormatting sqref="U157:V157 A157:F157 H157:L157 O157:P157">
    <cfRule type="expression" dxfId="318" priority="258">
      <formula>$A157="Pipe"</formula>
    </cfRule>
  </conditionalFormatting>
  <conditionalFormatting sqref="Q157:T157">
    <cfRule type="expression" dxfId="317" priority="257">
      <formula>OR($A157="Volume",$A157="Pipe")</formula>
    </cfRule>
  </conditionalFormatting>
  <conditionalFormatting sqref="A157:F157 H157:L157 O157:V157">
    <cfRule type="expression" dxfId="316" priority="256">
      <formula>$A157="Component"</formula>
    </cfRule>
  </conditionalFormatting>
  <conditionalFormatting sqref="U157:V157 A157:F157 H157:L157 O157:P157">
    <cfRule type="expression" dxfId="315" priority="255">
      <formula>$A157="Volume"</formula>
    </cfRule>
  </conditionalFormatting>
  <conditionalFormatting sqref="J157:L157">
    <cfRule type="cellIs" dxfId="314" priority="254" operator="notEqual">
      <formula>0</formula>
    </cfRule>
  </conditionalFormatting>
  <conditionalFormatting sqref="F157">
    <cfRule type="expression" dxfId="313" priority="262">
      <formula>OR($A157="Pipe",$A157="Component",$A157="Volume")</formula>
    </cfRule>
  </conditionalFormatting>
  <conditionalFormatting sqref="M157">
    <cfRule type="expression" dxfId="312" priority="252">
      <formula>OR($A157="Pipe",$A157="Component",$A157="Volume")</formula>
    </cfRule>
  </conditionalFormatting>
  <conditionalFormatting sqref="N157">
    <cfRule type="expression" dxfId="311" priority="253">
      <formula>OR($A157="Pipe",$A157="Component",$A157="Volume")</formula>
    </cfRule>
  </conditionalFormatting>
  <conditionalFormatting sqref="M157:N157">
    <cfRule type="expression" dxfId="310" priority="251">
      <formula>$A157="Pipe"</formula>
    </cfRule>
  </conditionalFormatting>
  <conditionalFormatting sqref="M157:N157">
    <cfRule type="expression" dxfId="309" priority="250">
      <formula>$A157="Component"</formula>
    </cfRule>
  </conditionalFormatting>
  <conditionalFormatting sqref="M157:N157">
    <cfRule type="expression" dxfId="308" priority="249">
      <formula>$A157="Volume"</formula>
    </cfRule>
  </conditionalFormatting>
  <conditionalFormatting sqref="G157">
    <cfRule type="expression" dxfId="307" priority="248">
      <formula>OR($A157="Pipe",$A157="Component",$A157="Volume")</formula>
    </cfRule>
  </conditionalFormatting>
  <conditionalFormatting sqref="G157">
    <cfRule type="expression" dxfId="306" priority="247">
      <formula>$A157="Pipe"</formula>
    </cfRule>
  </conditionalFormatting>
  <conditionalFormatting sqref="G157">
    <cfRule type="expression" dxfId="305" priority="246">
      <formula>$A157="Component"</formula>
    </cfRule>
  </conditionalFormatting>
  <conditionalFormatting sqref="G157">
    <cfRule type="expression" dxfId="304" priority="245">
      <formula>$A157="Volume"</formula>
    </cfRule>
  </conditionalFormatting>
  <conditionalFormatting sqref="O156 A156 U156 J156 S156 Q156">
    <cfRule type="expression" dxfId="303" priority="242">
      <formula>OR($A156="Pipe",$A156="Component",$A156="Volume")</formula>
    </cfRule>
  </conditionalFormatting>
  <conditionalFormatting sqref="V156 P156 L156 I156 E156 R156 T156">
    <cfRule type="expression" dxfId="302" priority="243">
      <formula>OR($A156="Pipe",$A156="Component",$A156="Volume")</formula>
    </cfRule>
  </conditionalFormatting>
  <conditionalFormatting sqref="B156:D156 K156 H156">
    <cfRule type="expression" dxfId="301" priority="241">
      <formula>OR($A156="Pipe",$A156="Component",$A156="Volume")</formula>
    </cfRule>
  </conditionalFormatting>
  <conditionalFormatting sqref="U156:V156 A156:F156 H156:L156 O156:P156">
    <cfRule type="expression" dxfId="300" priority="240">
      <formula>$A156="Pipe"</formula>
    </cfRule>
  </conditionalFormatting>
  <conditionalFormatting sqref="Q156:T156">
    <cfRule type="expression" dxfId="299" priority="239">
      <formula>OR($A156="Volume",$A156="Pipe")</formula>
    </cfRule>
  </conditionalFormatting>
  <conditionalFormatting sqref="A156:F156 H156:L156 O156:V156">
    <cfRule type="expression" dxfId="298" priority="238">
      <formula>$A156="Component"</formula>
    </cfRule>
  </conditionalFormatting>
  <conditionalFormatting sqref="U156:V156 A156:F156 H156:L156 O156:P156">
    <cfRule type="expression" dxfId="297" priority="237">
      <formula>$A156="Volume"</formula>
    </cfRule>
  </conditionalFormatting>
  <conditionalFormatting sqref="J156:L156">
    <cfRule type="cellIs" dxfId="296" priority="236" operator="notEqual">
      <formula>0</formula>
    </cfRule>
  </conditionalFormatting>
  <conditionalFormatting sqref="F156">
    <cfRule type="expression" dxfId="295" priority="244">
      <formula>OR($A156="Pipe",$A156="Component",$A156="Volume")</formula>
    </cfRule>
  </conditionalFormatting>
  <conditionalFormatting sqref="M156">
    <cfRule type="expression" dxfId="294" priority="234">
      <formula>OR($A156="Pipe",$A156="Component",$A156="Volume")</formula>
    </cfRule>
  </conditionalFormatting>
  <conditionalFormatting sqref="N156">
    <cfRule type="expression" dxfId="293" priority="235">
      <formula>OR($A156="Pipe",$A156="Component",$A156="Volume")</formula>
    </cfRule>
  </conditionalFormatting>
  <conditionalFormatting sqref="M156:N156">
    <cfRule type="expression" dxfId="292" priority="233">
      <formula>$A156="Pipe"</formula>
    </cfRule>
  </conditionalFormatting>
  <conditionalFormatting sqref="M156:N156">
    <cfRule type="expression" dxfId="291" priority="232">
      <formula>$A156="Component"</formula>
    </cfRule>
  </conditionalFormatting>
  <conditionalFormatting sqref="M156:N156">
    <cfRule type="expression" dxfId="290" priority="231">
      <formula>$A156="Volume"</formula>
    </cfRule>
  </conditionalFormatting>
  <conditionalFormatting sqref="G156">
    <cfRule type="expression" dxfId="289" priority="230">
      <formula>OR($A156="Pipe",$A156="Component",$A156="Volume")</formula>
    </cfRule>
  </conditionalFormatting>
  <conditionalFormatting sqref="G156">
    <cfRule type="expression" dxfId="288" priority="229">
      <formula>$A156="Pipe"</formula>
    </cfRule>
  </conditionalFormatting>
  <conditionalFormatting sqref="G156">
    <cfRule type="expression" dxfId="287" priority="228">
      <formula>$A156="Component"</formula>
    </cfRule>
  </conditionalFormatting>
  <conditionalFormatting sqref="G156">
    <cfRule type="expression" dxfId="286" priority="227">
      <formula>$A156="Volume"</formula>
    </cfRule>
  </conditionalFormatting>
  <conditionalFormatting sqref="O158 A158 U158 J158 S158 Q158">
    <cfRule type="expression" dxfId="285" priority="224">
      <formula>OR($A158="Pipe",$A158="Component",$A158="Volume")</formula>
    </cfRule>
  </conditionalFormatting>
  <conditionalFormatting sqref="V158 P158 L158 I158 E158 R158 T158">
    <cfRule type="expression" dxfId="284" priority="225">
      <formula>OR($A158="Pipe",$A158="Component",$A158="Volume")</formula>
    </cfRule>
  </conditionalFormatting>
  <conditionalFormatting sqref="B158:D158 K158 H158">
    <cfRule type="expression" dxfId="283" priority="223">
      <formula>OR($A158="Pipe",$A158="Component",$A158="Volume")</formula>
    </cfRule>
  </conditionalFormatting>
  <conditionalFormatting sqref="U158:V158 A158:F158 H158:L158 O158:P158">
    <cfRule type="expression" dxfId="282" priority="222">
      <formula>$A158="Pipe"</formula>
    </cfRule>
  </conditionalFormatting>
  <conditionalFormatting sqref="Q158:T158">
    <cfRule type="expression" dxfId="281" priority="221">
      <formula>OR($A158="Volume",$A158="Pipe")</formula>
    </cfRule>
  </conditionalFormatting>
  <conditionalFormatting sqref="A158:F158 H158:L158 O158:V158">
    <cfRule type="expression" dxfId="280" priority="220">
      <formula>$A158="Component"</formula>
    </cfRule>
  </conditionalFormatting>
  <conditionalFormatting sqref="U158:V158 A158:F158 H158:L158 O158:P158">
    <cfRule type="expression" dxfId="279" priority="219">
      <formula>$A158="Volume"</formula>
    </cfRule>
  </conditionalFormatting>
  <conditionalFormatting sqref="J158:L158">
    <cfRule type="cellIs" dxfId="278" priority="218" operator="notEqual">
      <formula>0</formula>
    </cfRule>
  </conditionalFormatting>
  <conditionalFormatting sqref="F158">
    <cfRule type="expression" dxfId="277" priority="226">
      <formula>OR($A158="Pipe",$A158="Component",$A158="Volume")</formula>
    </cfRule>
  </conditionalFormatting>
  <conditionalFormatting sqref="M158">
    <cfRule type="expression" dxfId="276" priority="216">
      <formula>OR($A158="Pipe",$A158="Component",$A158="Volume")</formula>
    </cfRule>
  </conditionalFormatting>
  <conditionalFormatting sqref="N158">
    <cfRule type="expression" dxfId="275" priority="217">
      <formula>OR($A158="Pipe",$A158="Component",$A158="Volume")</formula>
    </cfRule>
  </conditionalFormatting>
  <conditionalFormatting sqref="M158:N158">
    <cfRule type="expression" dxfId="274" priority="215">
      <formula>$A158="Pipe"</formula>
    </cfRule>
  </conditionalFormatting>
  <conditionalFormatting sqref="M158:N158">
    <cfRule type="expression" dxfId="273" priority="214">
      <formula>$A158="Component"</formula>
    </cfRule>
  </conditionalFormatting>
  <conditionalFormatting sqref="M158:N158">
    <cfRule type="expression" dxfId="272" priority="213">
      <formula>$A158="Volume"</formula>
    </cfRule>
  </conditionalFormatting>
  <conditionalFormatting sqref="G158">
    <cfRule type="expression" dxfId="271" priority="212">
      <formula>OR($A158="Pipe",$A158="Component",$A158="Volume")</formula>
    </cfRule>
  </conditionalFormatting>
  <conditionalFormatting sqref="G158">
    <cfRule type="expression" dxfId="270" priority="211">
      <formula>$A158="Pipe"</formula>
    </cfRule>
  </conditionalFormatting>
  <conditionalFormatting sqref="G158">
    <cfRule type="expression" dxfId="269" priority="210">
      <formula>$A158="Component"</formula>
    </cfRule>
  </conditionalFormatting>
  <conditionalFormatting sqref="G158">
    <cfRule type="expression" dxfId="268" priority="209">
      <formula>$A158="Volume"</formula>
    </cfRule>
  </conditionalFormatting>
  <conditionalFormatting sqref="Q160 S160 J160 U160 A160 O160">
    <cfRule type="expression" dxfId="267" priority="206">
      <formula>OR($A160="Pipe",$A160="Component",$A160="Volume")</formula>
    </cfRule>
  </conditionalFormatting>
  <conditionalFormatting sqref="T160 R160 E160 L160 P160 V160">
    <cfRule type="expression" dxfId="266" priority="207">
      <formula>OR($A160="Pipe",$A160="Component",$A160="Volume")</formula>
    </cfRule>
  </conditionalFormatting>
  <conditionalFormatting sqref="K160 B160:D160">
    <cfRule type="expression" dxfId="265" priority="205">
      <formula>OR($A160="Pipe",$A160="Component",$A160="Volume")</formula>
    </cfRule>
  </conditionalFormatting>
  <conditionalFormatting sqref="U160:V160 A160:F160 O160:P160 J160:L160">
    <cfRule type="expression" dxfId="264" priority="204">
      <formula>$A160="Pipe"</formula>
    </cfRule>
  </conditionalFormatting>
  <conditionalFormatting sqref="Q160:T160">
    <cfRule type="expression" dxfId="263" priority="203">
      <formula>OR($A160="Volume",$A160="Pipe")</formula>
    </cfRule>
  </conditionalFormatting>
  <conditionalFormatting sqref="A160:F160 O160:V160 J160:L160">
    <cfRule type="expression" dxfId="262" priority="202">
      <formula>$A160="Component"</formula>
    </cfRule>
  </conditionalFormatting>
  <conditionalFormatting sqref="U160:V160 A160:F160 O160:P160 J160:L160">
    <cfRule type="expression" dxfId="261" priority="201">
      <formula>$A160="Volume"</formula>
    </cfRule>
  </conditionalFormatting>
  <conditionalFormatting sqref="J160:L160">
    <cfRule type="cellIs" dxfId="260" priority="200" operator="notEqual">
      <formula>0</formula>
    </cfRule>
  </conditionalFormatting>
  <conditionalFormatting sqref="F160">
    <cfRule type="expression" dxfId="259" priority="208">
      <formula>OR($A160="Pipe",$A160="Component",$A160="Volume")</formula>
    </cfRule>
  </conditionalFormatting>
  <conditionalFormatting sqref="M160">
    <cfRule type="expression" dxfId="258" priority="198">
      <formula>OR($A160="Pipe",$A160="Component",$A160="Volume")</formula>
    </cfRule>
  </conditionalFormatting>
  <conditionalFormatting sqref="N160">
    <cfRule type="expression" dxfId="257" priority="199">
      <formula>OR($A160="Pipe",$A160="Component",$A160="Volume")</formula>
    </cfRule>
  </conditionalFormatting>
  <conditionalFormatting sqref="M160:N160">
    <cfRule type="expression" dxfId="256" priority="197">
      <formula>$A160="Pipe"</formula>
    </cfRule>
  </conditionalFormatting>
  <conditionalFormatting sqref="M160:N160">
    <cfRule type="expression" dxfId="255" priority="196">
      <formula>$A160="Component"</formula>
    </cfRule>
  </conditionalFormatting>
  <conditionalFormatting sqref="M160:N160">
    <cfRule type="expression" dxfId="254" priority="195">
      <formula>$A160="Volume"</formula>
    </cfRule>
  </conditionalFormatting>
  <conditionalFormatting sqref="I160">
    <cfRule type="expression" dxfId="253" priority="194">
      <formula>OR($A160="Pipe",$A160="Component",$A160="Volume")</formula>
    </cfRule>
  </conditionalFormatting>
  <conditionalFormatting sqref="H160">
    <cfRule type="expression" dxfId="252" priority="193">
      <formula>OR($A160="Pipe",$A160="Component",$A160="Volume")</formula>
    </cfRule>
  </conditionalFormatting>
  <conditionalFormatting sqref="H160:I160">
    <cfRule type="expression" dxfId="251" priority="192">
      <formula>$A160="Pipe"</formula>
    </cfRule>
  </conditionalFormatting>
  <conditionalFormatting sqref="H160:I160">
    <cfRule type="expression" dxfId="250" priority="191">
      <formula>$A160="Component"</formula>
    </cfRule>
  </conditionalFormatting>
  <conditionalFormatting sqref="H160:I160">
    <cfRule type="expression" dxfId="249" priority="190">
      <formula>$A160="Volume"</formula>
    </cfRule>
  </conditionalFormatting>
  <conditionalFormatting sqref="G160">
    <cfRule type="expression" dxfId="248" priority="189">
      <formula>OR($A160="Pipe",$A160="Component",$A160="Volume")</formula>
    </cfRule>
  </conditionalFormatting>
  <conditionalFormatting sqref="G160">
    <cfRule type="expression" dxfId="247" priority="188">
      <formula>$A160="Pipe"</formula>
    </cfRule>
  </conditionalFormatting>
  <conditionalFormatting sqref="G160">
    <cfRule type="expression" dxfId="246" priority="187">
      <formula>$A160="Component"</formula>
    </cfRule>
  </conditionalFormatting>
  <conditionalFormatting sqref="G160">
    <cfRule type="expression" dxfId="245" priority="186">
      <formula>$A160="Volume"</formula>
    </cfRule>
  </conditionalFormatting>
  <conditionalFormatting sqref="O162 A162 U162 J162 S162 Q162">
    <cfRule type="expression" dxfId="244" priority="183">
      <formula>OR($A162="Pipe",$A162="Component",$A162="Volume")</formula>
    </cfRule>
  </conditionalFormatting>
  <conditionalFormatting sqref="V162 P162 L162 I162 E162 R162 T162">
    <cfRule type="expression" dxfId="243" priority="184">
      <formula>OR($A162="Pipe",$A162="Component",$A162="Volume")</formula>
    </cfRule>
  </conditionalFormatting>
  <conditionalFormatting sqref="B162:D162 K162 H162">
    <cfRule type="expression" dxfId="242" priority="182">
      <formula>OR($A162="Pipe",$A162="Component",$A162="Volume")</formula>
    </cfRule>
  </conditionalFormatting>
  <conditionalFormatting sqref="U162:V162 A162:F162 H162:L162 O162:P162">
    <cfRule type="expression" dxfId="241" priority="181">
      <formula>$A162="Pipe"</formula>
    </cfRule>
  </conditionalFormatting>
  <conditionalFormatting sqref="Q162:T162">
    <cfRule type="expression" dxfId="240" priority="180">
      <formula>OR($A162="Volume",$A162="Pipe")</formula>
    </cfRule>
  </conditionalFormatting>
  <conditionalFormatting sqref="A162:F162 H162:L162 O162:V162">
    <cfRule type="expression" dxfId="239" priority="179">
      <formula>$A162="Component"</formula>
    </cfRule>
  </conditionalFormatting>
  <conditionalFormatting sqref="U162:V162 A162:F162 H162:L162 O162:P162">
    <cfRule type="expression" dxfId="238" priority="178">
      <formula>$A162="Volume"</formula>
    </cfRule>
  </conditionalFormatting>
  <conditionalFormatting sqref="J162:L162">
    <cfRule type="cellIs" dxfId="237" priority="177" operator="notEqual">
      <formula>0</formula>
    </cfRule>
  </conditionalFormatting>
  <conditionalFormatting sqref="F162">
    <cfRule type="expression" dxfId="236" priority="185">
      <formula>OR($A162="Pipe",$A162="Component",$A162="Volume")</formula>
    </cfRule>
  </conditionalFormatting>
  <conditionalFormatting sqref="M162">
    <cfRule type="expression" dxfId="235" priority="175">
      <formula>OR($A162="Pipe",$A162="Component",$A162="Volume")</formula>
    </cfRule>
  </conditionalFormatting>
  <conditionalFormatting sqref="N162">
    <cfRule type="expression" dxfId="234" priority="176">
      <formula>OR($A162="Pipe",$A162="Component",$A162="Volume")</formula>
    </cfRule>
  </conditionalFormatting>
  <conditionalFormatting sqref="M162:N162">
    <cfRule type="expression" dxfId="233" priority="174">
      <formula>$A162="Pipe"</formula>
    </cfRule>
  </conditionalFormatting>
  <conditionalFormatting sqref="M162:N162">
    <cfRule type="expression" dxfId="232" priority="173">
      <formula>$A162="Component"</formula>
    </cfRule>
  </conditionalFormatting>
  <conditionalFormatting sqref="M162:N162">
    <cfRule type="expression" dxfId="231" priority="172">
      <formula>$A162="Volume"</formula>
    </cfRule>
  </conditionalFormatting>
  <conditionalFormatting sqref="G162">
    <cfRule type="expression" dxfId="230" priority="171">
      <formula>OR($A162="Pipe",$A162="Component",$A162="Volume")</formula>
    </cfRule>
  </conditionalFormatting>
  <conditionalFormatting sqref="G162">
    <cfRule type="expression" dxfId="229" priority="170">
      <formula>$A162="Pipe"</formula>
    </cfRule>
  </conditionalFormatting>
  <conditionalFormatting sqref="G162">
    <cfRule type="expression" dxfId="228" priority="169">
      <formula>$A162="Component"</formula>
    </cfRule>
  </conditionalFormatting>
  <conditionalFormatting sqref="G162">
    <cfRule type="expression" dxfId="227" priority="168">
      <formula>$A162="Volume"</formula>
    </cfRule>
  </conditionalFormatting>
  <conditionalFormatting sqref="O139 A139 U139 J139 S139 Q139">
    <cfRule type="expression" dxfId="226" priority="165">
      <formula>OR($A139="Pipe",$A139="Component",$A139="Volume")</formula>
    </cfRule>
  </conditionalFormatting>
  <conditionalFormatting sqref="V139 P139 L139 I139 E139 R139 T139">
    <cfRule type="expression" dxfId="225" priority="166">
      <formula>OR($A139="Pipe",$A139="Component",$A139="Volume")</formula>
    </cfRule>
  </conditionalFormatting>
  <conditionalFormatting sqref="B139:D139 K139 G139:H139">
    <cfRule type="expression" dxfId="224" priority="164">
      <formula>OR($A139="Pipe",$A139="Component",$A139="Volume")</formula>
    </cfRule>
  </conditionalFormatting>
  <conditionalFormatting sqref="U139:V139 A139:L139 O139:P139">
    <cfRule type="expression" dxfId="223" priority="163">
      <formula>$A139="Pipe"</formula>
    </cfRule>
  </conditionalFormatting>
  <conditionalFormatting sqref="Q139:T139">
    <cfRule type="expression" dxfId="222" priority="162">
      <formula>OR($A139="Volume",$A139="Pipe")</formula>
    </cfRule>
  </conditionalFormatting>
  <conditionalFormatting sqref="A139:L139 O139:V139">
    <cfRule type="expression" dxfId="221" priority="161">
      <formula>$A139="Component"</formula>
    </cfRule>
  </conditionalFormatting>
  <conditionalFormatting sqref="U139:V139 A139:L139 O139:P139">
    <cfRule type="expression" dxfId="220" priority="160">
      <formula>$A139="Volume"</formula>
    </cfRule>
  </conditionalFormatting>
  <conditionalFormatting sqref="J139:L139">
    <cfRule type="cellIs" dxfId="219" priority="159" operator="notEqual">
      <formula>0</formula>
    </cfRule>
  </conditionalFormatting>
  <conditionalFormatting sqref="F139">
    <cfRule type="expression" dxfId="218" priority="167">
      <formula>OR($A139="Pipe",$A139="Component",$A139="Volume")</formula>
    </cfRule>
  </conditionalFormatting>
  <conditionalFormatting sqref="M139">
    <cfRule type="expression" dxfId="217" priority="157">
      <formula>OR($A139="Pipe",$A139="Component",$A139="Volume")</formula>
    </cfRule>
  </conditionalFormatting>
  <conditionalFormatting sqref="N139">
    <cfRule type="expression" dxfId="216" priority="158">
      <formula>OR($A139="Pipe",$A139="Component",$A139="Volume")</formula>
    </cfRule>
  </conditionalFormatting>
  <conditionalFormatting sqref="M139:N139">
    <cfRule type="expression" dxfId="215" priority="156">
      <formula>$A139="Pipe"</formula>
    </cfRule>
  </conditionalFormatting>
  <conditionalFormatting sqref="M139:N139">
    <cfRule type="expression" dxfId="214" priority="155">
      <formula>$A139="Component"</formula>
    </cfRule>
  </conditionalFormatting>
  <conditionalFormatting sqref="M139:N139">
    <cfRule type="expression" dxfId="213" priority="154">
      <formula>$A139="Volume"</formula>
    </cfRule>
  </conditionalFormatting>
  <conditionalFormatting sqref="Q168 S168 M168 J168 U168 A168 O168">
    <cfRule type="expression" dxfId="212" priority="151">
      <formula>OR($A168="Pipe",$A168="Component",$A168="Volume")</formula>
    </cfRule>
  </conditionalFormatting>
  <conditionalFormatting sqref="T168 R168 N168 E168 I168 L168 P168 V168">
    <cfRule type="expression" dxfId="211" priority="152">
      <formula>OR($A168="Pipe",$A168="Component",$A168="Volume")</formula>
    </cfRule>
  </conditionalFormatting>
  <conditionalFormatting sqref="G168:H168 K168 B168:D168">
    <cfRule type="expression" dxfId="210" priority="150">
      <formula>OR($A168="Pipe",$A168="Component",$A168="Volume")</formula>
    </cfRule>
  </conditionalFormatting>
  <conditionalFormatting sqref="A168:P168 U168:V168">
    <cfRule type="expression" dxfId="209" priority="149">
      <formula>$A168="Pipe"</formula>
    </cfRule>
  </conditionalFormatting>
  <conditionalFormatting sqref="Q168:T168">
    <cfRule type="expression" dxfId="208" priority="148">
      <formula>OR($A168="Volume",$A168="Pipe")</formula>
    </cfRule>
  </conditionalFormatting>
  <conditionalFormatting sqref="A168:V168">
    <cfRule type="expression" dxfId="207" priority="147">
      <formula>$A168="Component"</formula>
    </cfRule>
  </conditionalFormatting>
  <conditionalFormatting sqref="A168:P168 U168:V168">
    <cfRule type="expression" dxfId="206" priority="146">
      <formula>$A168="Volume"</formula>
    </cfRule>
  </conditionalFormatting>
  <conditionalFormatting sqref="J168:L168">
    <cfRule type="cellIs" dxfId="205" priority="145" operator="notEqual">
      <formula>0</formula>
    </cfRule>
  </conditionalFormatting>
  <conditionalFormatting sqref="F168">
    <cfRule type="expression" dxfId="204" priority="153">
      <formula>OR($A168="Pipe",$A168="Component",$A168="Volume")</formula>
    </cfRule>
  </conditionalFormatting>
  <conditionalFormatting sqref="O169 A169 U169 J169 S169 Q169">
    <cfRule type="expression" dxfId="203" priority="142">
      <formula>OR($A169="Pipe",$A169="Component",$A169="Volume")</formula>
    </cfRule>
  </conditionalFormatting>
  <conditionalFormatting sqref="V169 P169 L169 I169 E169 R169 T169">
    <cfRule type="expression" dxfId="202" priority="143">
      <formula>OR($A169="Pipe",$A169="Component",$A169="Volume")</formula>
    </cfRule>
  </conditionalFormatting>
  <conditionalFormatting sqref="B169:D169 K169 H169">
    <cfRule type="expression" dxfId="201" priority="141">
      <formula>OR($A169="Pipe",$A169="Component",$A169="Volume")</formula>
    </cfRule>
  </conditionalFormatting>
  <conditionalFormatting sqref="U169:V169 A169:F169 H169:L169 O169:P169">
    <cfRule type="expression" dxfId="200" priority="140">
      <formula>$A169="Pipe"</formula>
    </cfRule>
  </conditionalFormatting>
  <conditionalFormatting sqref="Q169:T169">
    <cfRule type="expression" dxfId="199" priority="139">
      <formula>OR($A169="Volume",$A169="Pipe")</formula>
    </cfRule>
  </conditionalFormatting>
  <conditionalFormatting sqref="A169:F169 H169:L169 O169:V169">
    <cfRule type="expression" dxfId="198" priority="138">
      <formula>$A169="Component"</formula>
    </cfRule>
  </conditionalFormatting>
  <conditionalFormatting sqref="U169:V169 A169:F169 H169:L169 O169:P169">
    <cfRule type="expression" dxfId="197" priority="137">
      <formula>$A169="Volume"</formula>
    </cfRule>
  </conditionalFormatting>
  <conditionalFormatting sqref="J169:L169">
    <cfRule type="cellIs" dxfId="196" priority="136" operator="notEqual">
      <formula>0</formula>
    </cfRule>
  </conditionalFormatting>
  <conditionalFormatting sqref="F169">
    <cfRule type="expression" dxfId="195" priority="144">
      <formula>OR($A169="Pipe",$A169="Component",$A169="Volume")</formula>
    </cfRule>
  </conditionalFormatting>
  <conditionalFormatting sqref="G169">
    <cfRule type="expression" dxfId="194" priority="135">
      <formula>OR($A169="Pipe",$A169="Component",$A169="Volume")</formula>
    </cfRule>
  </conditionalFormatting>
  <conditionalFormatting sqref="G169">
    <cfRule type="expression" dxfId="193" priority="134">
      <formula>$A169="Pipe"</formula>
    </cfRule>
  </conditionalFormatting>
  <conditionalFormatting sqref="G169">
    <cfRule type="expression" dxfId="192" priority="133">
      <formula>$A169="Component"</formula>
    </cfRule>
  </conditionalFormatting>
  <conditionalFormatting sqref="G169">
    <cfRule type="expression" dxfId="191" priority="132">
      <formula>$A169="Volume"</formula>
    </cfRule>
  </conditionalFormatting>
  <conditionalFormatting sqref="M169">
    <cfRule type="expression" dxfId="190" priority="130">
      <formula>OR($A169="Pipe",$A169="Component",$A169="Volume")</formula>
    </cfRule>
  </conditionalFormatting>
  <conditionalFormatting sqref="N169">
    <cfRule type="expression" dxfId="189" priority="131">
      <formula>OR($A169="Pipe",$A169="Component",$A169="Volume")</formula>
    </cfRule>
  </conditionalFormatting>
  <conditionalFormatting sqref="M169:N169">
    <cfRule type="expression" dxfId="188" priority="129">
      <formula>$A169="Pipe"</formula>
    </cfRule>
  </conditionalFormatting>
  <conditionalFormatting sqref="M169:N169">
    <cfRule type="expression" dxfId="187" priority="128">
      <formula>$A169="Component"</formula>
    </cfRule>
  </conditionalFormatting>
  <conditionalFormatting sqref="M169:N169">
    <cfRule type="expression" dxfId="186" priority="127">
      <formula>$A169="Volume"</formula>
    </cfRule>
  </conditionalFormatting>
  <conditionalFormatting sqref="O170 A170 U170 J170 S170 Q170">
    <cfRule type="expression" dxfId="185" priority="124">
      <formula>OR($A170="Pipe",$A170="Component",$A170="Volume")</formula>
    </cfRule>
  </conditionalFormatting>
  <conditionalFormatting sqref="V170 P170 L170 I170 E170 R170 T170">
    <cfRule type="expression" dxfId="184" priority="125">
      <formula>OR($A170="Pipe",$A170="Component",$A170="Volume")</formula>
    </cfRule>
  </conditionalFormatting>
  <conditionalFormatting sqref="B170:D170 K170 H170">
    <cfRule type="expression" dxfId="183" priority="123">
      <formula>OR($A170="Pipe",$A170="Component",$A170="Volume")</formula>
    </cfRule>
  </conditionalFormatting>
  <conditionalFormatting sqref="U170:V170 A170:F170 H170:L170 O170:P170">
    <cfRule type="expression" dxfId="182" priority="122">
      <formula>$A170="Pipe"</formula>
    </cfRule>
  </conditionalFormatting>
  <conditionalFormatting sqref="Q170:T170">
    <cfRule type="expression" dxfId="181" priority="121">
      <formula>OR($A170="Volume",$A170="Pipe")</formula>
    </cfRule>
  </conditionalFormatting>
  <conditionalFormatting sqref="A170:F170 H170:L170 O170:V170">
    <cfRule type="expression" dxfId="180" priority="120">
      <formula>$A170="Component"</formula>
    </cfRule>
  </conditionalFormatting>
  <conditionalFormatting sqref="U170:V170 A170:F170 H170:L170 O170:P170">
    <cfRule type="expression" dxfId="179" priority="119">
      <formula>$A170="Volume"</formula>
    </cfRule>
  </conditionalFormatting>
  <conditionalFormatting sqref="J170:L170">
    <cfRule type="cellIs" dxfId="178" priority="118" operator="notEqual">
      <formula>0</formula>
    </cfRule>
  </conditionalFormatting>
  <conditionalFormatting sqref="F170">
    <cfRule type="expression" dxfId="177" priority="126">
      <formula>OR($A170="Pipe",$A170="Component",$A170="Volume")</formula>
    </cfRule>
  </conditionalFormatting>
  <conditionalFormatting sqref="G170">
    <cfRule type="expression" dxfId="176" priority="117">
      <formula>OR($A170="Pipe",$A170="Component",$A170="Volume")</formula>
    </cfRule>
  </conditionalFormatting>
  <conditionalFormatting sqref="G170">
    <cfRule type="expression" dxfId="175" priority="116">
      <formula>$A170="Pipe"</formula>
    </cfRule>
  </conditionalFormatting>
  <conditionalFormatting sqref="G170">
    <cfRule type="expression" dxfId="174" priority="115">
      <formula>$A170="Component"</formula>
    </cfRule>
  </conditionalFormatting>
  <conditionalFormatting sqref="G170">
    <cfRule type="expression" dxfId="173" priority="114">
      <formula>$A170="Volume"</formula>
    </cfRule>
  </conditionalFormatting>
  <conditionalFormatting sqref="M170">
    <cfRule type="expression" dxfId="172" priority="112">
      <formula>OR($A170="Pipe",$A170="Component",$A170="Volume")</formula>
    </cfRule>
  </conditionalFormatting>
  <conditionalFormatting sqref="N170">
    <cfRule type="expression" dxfId="171" priority="113">
      <formula>OR($A170="Pipe",$A170="Component",$A170="Volume")</formula>
    </cfRule>
  </conditionalFormatting>
  <conditionalFormatting sqref="M170:N170">
    <cfRule type="expression" dxfId="170" priority="111">
      <formula>$A170="Pipe"</formula>
    </cfRule>
  </conditionalFormatting>
  <conditionalFormatting sqref="M170:N170">
    <cfRule type="expression" dxfId="169" priority="110">
      <formula>$A170="Component"</formula>
    </cfRule>
  </conditionalFormatting>
  <conditionalFormatting sqref="M170:N170">
    <cfRule type="expression" dxfId="168" priority="109">
      <formula>$A170="Volume"</formula>
    </cfRule>
  </conditionalFormatting>
  <conditionalFormatting sqref="O171 A171 U171 J171 S171 Q171">
    <cfRule type="expression" dxfId="167" priority="106">
      <formula>OR($A171="Pipe",$A171="Component",$A171="Volume")</formula>
    </cfRule>
  </conditionalFormatting>
  <conditionalFormatting sqref="V171 P171 L171 I171 E171 R171 T171">
    <cfRule type="expression" dxfId="166" priority="107">
      <formula>OR($A171="Pipe",$A171="Component",$A171="Volume")</formula>
    </cfRule>
  </conditionalFormatting>
  <conditionalFormatting sqref="B171:D171 K171 H171">
    <cfRule type="expression" dxfId="165" priority="105">
      <formula>OR($A171="Pipe",$A171="Component",$A171="Volume")</formula>
    </cfRule>
  </conditionalFormatting>
  <conditionalFormatting sqref="U171:V171 A171:F171 H171:L171 O171:P171">
    <cfRule type="expression" dxfId="164" priority="104">
      <formula>$A171="Pipe"</formula>
    </cfRule>
  </conditionalFormatting>
  <conditionalFormatting sqref="Q171:T171">
    <cfRule type="expression" dxfId="163" priority="103">
      <formula>OR($A171="Volume",$A171="Pipe")</formula>
    </cfRule>
  </conditionalFormatting>
  <conditionalFormatting sqref="A171:F171 H171:L171 O171:V171">
    <cfRule type="expression" dxfId="162" priority="102">
      <formula>$A171="Component"</formula>
    </cfRule>
  </conditionalFormatting>
  <conditionalFormatting sqref="U171:V171 A171:F171 H171:L171 O171:P171">
    <cfRule type="expression" dxfId="161" priority="101">
      <formula>$A171="Volume"</formula>
    </cfRule>
  </conditionalFormatting>
  <conditionalFormatting sqref="J171:L171">
    <cfRule type="cellIs" dxfId="160" priority="100" operator="notEqual">
      <formula>0</formula>
    </cfRule>
  </conditionalFormatting>
  <conditionalFormatting sqref="F171">
    <cfRule type="expression" dxfId="159" priority="108">
      <formula>OR($A171="Pipe",$A171="Component",$A171="Volume")</formula>
    </cfRule>
  </conditionalFormatting>
  <conditionalFormatting sqref="G171">
    <cfRule type="expression" dxfId="158" priority="99">
      <formula>OR($A171="Pipe",$A171="Component",$A171="Volume")</formula>
    </cfRule>
  </conditionalFormatting>
  <conditionalFormatting sqref="G171">
    <cfRule type="expression" dxfId="157" priority="98">
      <formula>$A171="Pipe"</formula>
    </cfRule>
  </conditionalFormatting>
  <conditionalFormatting sqref="G171">
    <cfRule type="expression" dxfId="156" priority="97">
      <formula>$A171="Component"</formula>
    </cfRule>
  </conditionalFormatting>
  <conditionalFormatting sqref="G171">
    <cfRule type="expression" dxfId="155" priority="96">
      <formula>$A171="Volume"</formula>
    </cfRule>
  </conditionalFormatting>
  <conditionalFormatting sqref="M171">
    <cfRule type="expression" dxfId="154" priority="94">
      <formula>OR($A171="Pipe",$A171="Component",$A171="Volume")</formula>
    </cfRule>
  </conditionalFormatting>
  <conditionalFormatting sqref="N171">
    <cfRule type="expression" dxfId="153" priority="95">
      <formula>OR($A171="Pipe",$A171="Component",$A171="Volume")</formula>
    </cfRule>
  </conditionalFormatting>
  <conditionalFormatting sqref="M171:N171">
    <cfRule type="expression" dxfId="152" priority="93">
      <formula>$A171="Pipe"</formula>
    </cfRule>
  </conditionalFormatting>
  <conditionalFormatting sqref="M171:N171">
    <cfRule type="expression" dxfId="151" priority="92">
      <formula>$A171="Component"</formula>
    </cfRule>
  </conditionalFormatting>
  <conditionalFormatting sqref="M171:N171">
    <cfRule type="expression" dxfId="150" priority="91">
      <formula>$A171="Volume"</formula>
    </cfRule>
  </conditionalFormatting>
  <conditionalFormatting sqref="O167 A167 U167 J167 S167 Q167">
    <cfRule type="expression" dxfId="149" priority="88">
      <formula>OR($A167="Pipe",$A167="Component",$A167="Volume")</formula>
    </cfRule>
  </conditionalFormatting>
  <conditionalFormatting sqref="V167 P167 L167 I167 E167 R167 T167">
    <cfRule type="expression" dxfId="148" priority="89">
      <formula>OR($A167="Pipe",$A167="Component",$A167="Volume")</formula>
    </cfRule>
  </conditionalFormatting>
  <conditionalFormatting sqref="B167:D167 K167 G167:H167">
    <cfRule type="expression" dxfId="147" priority="87">
      <formula>OR($A167="Pipe",$A167="Component",$A167="Volume")</formula>
    </cfRule>
  </conditionalFormatting>
  <conditionalFormatting sqref="U167:V167 A167:L167 O167:P167">
    <cfRule type="expression" dxfId="146" priority="86">
      <formula>$A167="Pipe"</formula>
    </cfRule>
  </conditionalFormatting>
  <conditionalFormatting sqref="Q167:T167">
    <cfRule type="expression" dxfId="145" priority="85">
      <formula>OR($A167="Volume",$A167="Pipe")</formula>
    </cfRule>
  </conditionalFormatting>
  <conditionalFormatting sqref="A167:L167 O167:V167">
    <cfRule type="expression" dxfId="144" priority="84">
      <formula>$A167="Component"</formula>
    </cfRule>
  </conditionalFormatting>
  <conditionalFormatting sqref="U167:V167 A167:L167 O167:P167">
    <cfRule type="expression" dxfId="143" priority="83">
      <formula>$A167="Volume"</formula>
    </cfRule>
  </conditionalFormatting>
  <conditionalFormatting sqref="J167:L167">
    <cfRule type="cellIs" dxfId="142" priority="82" operator="notEqual">
      <formula>0</formula>
    </cfRule>
  </conditionalFormatting>
  <conditionalFormatting sqref="F167">
    <cfRule type="expression" dxfId="141" priority="90">
      <formula>OR($A167="Pipe",$A167="Component",$A167="Volume")</formula>
    </cfRule>
  </conditionalFormatting>
  <conditionalFormatting sqref="M167">
    <cfRule type="expression" dxfId="140" priority="80">
      <formula>OR($A167="Pipe",$A167="Component",$A167="Volume")</formula>
    </cfRule>
  </conditionalFormatting>
  <conditionalFormatting sqref="N167">
    <cfRule type="expression" dxfId="139" priority="81">
      <formula>OR($A167="Pipe",$A167="Component",$A167="Volume")</formula>
    </cfRule>
  </conditionalFormatting>
  <conditionalFormatting sqref="M167:N167">
    <cfRule type="expression" dxfId="138" priority="79">
      <formula>$A167="Pipe"</formula>
    </cfRule>
  </conditionalFormatting>
  <conditionalFormatting sqref="M167:N167">
    <cfRule type="expression" dxfId="137" priority="78">
      <formula>$A167="Component"</formula>
    </cfRule>
  </conditionalFormatting>
  <conditionalFormatting sqref="M167:N167">
    <cfRule type="expression" dxfId="136" priority="77">
      <formula>$A167="Volume"</formula>
    </cfRule>
  </conditionalFormatting>
  <conditionalFormatting sqref="O172 A172 U172 J172 S172 Q172">
    <cfRule type="expression" dxfId="135" priority="74">
      <formula>OR($A172="Pipe",$A172="Component",$A172="Volume")</formula>
    </cfRule>
  </conditionalFormatting>
  <conditionalFormatting sqref="V172 P172 L172 I172 E172 R172 T172">
    <cfRule type="expression" dxfId="134" priority="75">
      <formula>OR($A172="Pipe",$A172="Component",$A172="Volume")</formula>
    </cfRule>
  </conditionalFormatting>
  <conditionalFormatting sqref="B172:D172 K172 H172">
    <cfRule type="expression" dxfId="133" priority="73">
      <formula>OR($A172="Pipe",$A172="Component",$A172="Volume")</formula>
    </cfRule>
  </conditionalFormatting>
  <conditionalFormatting sqref="U172:V172 A172:F172 H172:L172 O172:P172">
    <cfRule type="expression" dxfId="132" priority="72">
      <formula>$A172="Pipe"</formula>
    </cfRule>
  </conditionalFormatting>
  <conditionalFormatting sqref="Q172:T172">
    <cfRule type="expression" dxfId="131" priority="71">
      <formula>OR($A172="Volume",$A172="Pipe")</formula>
    </cfRule>
  </conditionalFormatting>
  <conditionalFormatting sqref="A172:F172 H172:L172 O172:V172">
    <cfRule type="expression" dxfId="130" priority="70">
      <formula>$A172="Component"</formula>
    </cfRule>
  </conditionalFormatting>
  <conditionalFormatting sqref="U172:V172 A172:F172 H172:L172 O172:P172">
    <cfRule type="expression" dxfId="129" priority="69">
      <formula>$A172="Volume"</formula>
    </cfRule>
  </conditionalFormatting>
  <conditionalFormatting sqref="J172:L172">
    <cfRule type="cellIs" dxfId="128" priority="68" operator="notEqual">
      <formula>0</formula>
    </cfRule>
  </conditionalFormatting>
  <conditionalFormatting sqref="F172">
    <cfRule type="expression" dxfId="127" priority="76">
      <formula>OR($A172="Pipe",$A172="Component",$A172="Volume")</formula>
    </cfRule>
  </conditionalFormatting>
  <conditionalFormatting sqref="G172">
    <cfRule type="expression" dxfId="126" priority="67">
      <formula>OR($A172="Pipe",$A172="Component",$A172="Volume")</formula>
    </cfRule>
  </conditionalFormatting>
  <conditionalFormatting sqref="G172">
    <cfRule type="expression" dxfId="125" priority="66">
      <formula>$A172="Pipe"</formula>
    </cfRule>
  </conditionalFormatting>
  <conditionalFormatting sqref="G172">
    <cfRule type="expression" dxfId="124" priority="65">
      <formula>$A172="Component"</formula>
    </cfRule>
  </conditionalFormatting>
  <conditionalFormatting sqref="G172">
    <cfRule type="expression" dxfId="123" priority="64">
      <formula>$A172="Volume"</formula>
    </cfRule>
  </conditionalFormatting>
  <conditionalFormatting sqref="M172">
    <cfRule type="expression" dxfId="122" priority="62">
      <formula>OR($A172="Pipe",$A172="Component",$A172="Volume")</formula>
    </cfRule>
  </conditionalFormatting>
  <conditionalFormatting sqref="N172">
    <cfRule type="expression" dxfId="121" priority="63">
      <formula>OR($A172="Pipe",$A172="Component",$A172="Volume")</formula>
    </cfRule>
  </conditionalFormatting>
  <conditionalFormatting sqref="M172:N172">
    <cfRule type="expression" dxfId="120" priority="61">
      <formula>$A172="Pipe"</formula>
    </cfRule>
  </conditionalFormatting>
  <conditionalFormatting sqref="M172:N172">
    <cfRule type="expression" dxfId="119" priority="60">
      <formula>$A172="Component"</formula>
    </cfRule>
  </conditionalFormatting>
  <conditionalFormatting sqref="M172:N172">
    <cfRule type="expression" dxfId="118" priority="59">
      <formula>$A172="Volume"</formula>
    </cfRule>
  </conditionalFormatting>
  <conditionalFormatting sqref="O173 A173 U173 J173 S173 Q173">
    <cfRule type="expression" dxfId="117" priority="56">
      <formula>OR($A173="Pipe",$A173="Component",$A173="Volume")</formula>
    </cfRule>
  </conditionalFormatting>
  <conditionalFormatting sqref="V173 P173 L173 I173 E173 R173 T173">
    <cfRule type="expression" dxfId="116" priority="57">
      <formula>OR($A173="Pipe",$A173="Component",$A173="Volume")</formula>
    </cfRule>
  </conditionalFormatting>
  <conditionalFormatting sqref="B173:D173 K173 H173">
    <cfRule type="expression" dxfId="115" priority="55">
      <formula>OR($A173="Pipe",$A173="Component",$A173="Volume")</formula>
    </cfRule>
  </conditionalFormatting>
  <conditionalFormatting sqref="U173:V173 A173:F173 H173:L173 O173:P173">
    <cfRule type="expression" dxfId="114" priority="54">
      <formula>$A173="Pipe"</formula>
    </cfRule>
  </conditionalFormatting>
  <conditionalFormatting sqref="Q173:T173">
    <cfRule type="expression" dxfId="113" priority="53">
      <formula>OR($A173="Volume",$A173="Pipe")</formula>
    </cfRule>
  </conditionalFormatting>
  <conditionalFormatting sqref="A173:F173 H173:L173 O173:V173">
    <cfRule type="expression" dxfId="112" priority="52">
      <formula>$A173="Component"</formula>
    </cfRule>
  </conditionalFormatting>
  <conditionalFormatting sqref="U173:V173 A173:F173 H173:L173 O173:P173">
    <cfRule type="expression" dxfId="111" priority="51">
      <formula>$A173="Volume"</formula>
    </cfRule>
  </conditionalFormatting>
  <conditionalFormatting sqref="J173:L173">
    <cfRule type="cellIs" dxfId="110" priority="50" operator="notEqual">
      <formula>0</formula>
    </cfRule>
  </conditionalFormatting>
  <conditionalFormatting sqref="F173">
    <cfRule type="expression" dxfId="109" priority="58">
      <formula>OR($A173="Pipe",$A173="Component",$A173="Volume")</formula>
    </cfRule>
  </conditionalFormatting>
  <conditionalFormatting sqref="G173">
    <cfRule type="expression" dxfId="108" priority="49">
      <formula>OR($A173="Pipe",$A173="Component",$A173="Volume")</formula>
    </cfRule>
  </conditionalFormatting>
  <conditionalFormatting sqref="G173">
    <cfRule type="expression" dxfId="107" priority="48">
      <formula>$A173="Pipe"</formula>
    </cfRule>
  </conditionalFormatting>
  <conditionalFormatting sqref="G173">
    <cfRule type="expression" dxfId="106" priority="47">
      <formula>$A173="Component"</formula>
    </cfRule>
  </conditionalFormatting>
  <conditionalFormatting sqref="G173">
    <cfRule type="expression" dxfId="105" priority="46">
      <formula>$A173="Volume"</formula>
    </cfRule>
  </conditionalFormatting>
  <conditionalFormatting sqref="M173">
    <cfRule type="expression" dxfId="104" priority="44">
      <formula>OR($A173="Pipe",$A173="Component",$A173="Volume")</formula>
    </cfRule>
  </conditionalFormatting>
  <conditionalFormatting sqref="N173">
    <cfRule type="expression" dxfId="103" priority="45">
      <formula>OR($A173="Pipe",$A173="Component",$A173="Volume")</formula>
    </cfRule>
  </conditionalFormatting>
  <conditionalFormatting sqref="M173:N173">
    <cfRule type="expression" dxfId="102" priority="43">
      <formula>$A173="Pipe"</formula>
    </cfRule>
  </conditionalFormatting>
  <conditionalFormatting sqref="M173:N173">
    <cfRule type="expression" dxfId="101" priority="42">
      <formula>$A173="Component"</formula>
    </cfRule>
  </conditionalFormatting>
  <conditionalFormatting sqref="M173:N173">
    <cfRule type="expression" dxfId="100" priority="41">
      <formula>$A173="Volume"</formula>
    </cfRule>
  </conditionalFormatting>
  <conditionalFormatting sqref="O174 A174 U174 J174 S174 Q174">
    <cfRule type="expression" dxfId="99" priority="38">
      <formula>OR($A174="Pipe",$A174="Component",$A174="Volume")</formula>
    </cfRule>
  </conditionalFormatting>
  <conditionalFormatting sqref="V174 P174 L174 I174 E174 R174 T174">
    <cfRule type="expression" dxfId="98" priority="39">
      <formula>OR($A174="Pipe",$A174="Component",$A174="Volume")</formula>
    </cfRule>
  </conditionalFormatting>
  <conditionalFormatting sqref="B174:D174 K174 H174">
    <cfRule type="expression" dxfId="97" priority="37">
      <formula>OR($A174="Pipe",$A174="Component",$A174="Volume")</formula>
    </cfRule>
  </conditionalFormatting>
  <conditionalFormatting sqref="U174:V174 A174:F174 H174:L174 O174:P174">
    <cfRule type="expression" dxfId="96" priority="36">
      <formula>$A174="Pipe"</formula>
    </cfRule>
  </conditionalFormatting>
  <conditionalFormatting sqref="Q174:T174">
    <cfRule type="expression" dxfId="95" priority="35">
      <formula>OR($A174="Volume",$A174="Pipe")</formula>
    </cfRule>
  </conditionalFormatting>
  <conditionalFormatting sqref="A174:F174 H174:L174 O174:V174">
    <cfRule type="expression" dxfId="94" priority="34">
      <formula>$A174="Component"</formula>
    </cfRule>
  </conditionalFormatting>
  <conditionalFormatting sqref="U174:V174 A174:F174 H174:L174 O174:P174">
    <cfRule type="expression" dxfId="93" priority="33">
      <formula>$A174="Volume"</formula>
    </cfRule>
  </conditionalFormatting>
  <conditionalFormatting sqref="J174:L174">
    <cfRule type="cellIs" dxfId="92" priority="32" operator="notEqual">
      <formula>0</formula>
    </cfRule>
  </conditionalFormatting>
  <conditionalFormatting sqref="F174">
    <cfRule type="expression" dxfId="91" priority="40">
      <formula>OR($A174="Pipe",$A174="Component",$A174="Volume")</formula>
    </cfRule>
  </conditionalFormatting>
  <conditionalFormatting sqref="G174">
    <cfRule type="expression" dxfId="90" priority="31">
      <formula>OR($A174="Pipe",$A174="Component",$A174="Volume")</formula>
    </cfRule>
  </conditionalFormatting>
  <conditionalFormatting sqref="G174">
    <cfRule type="expression" dxfId="89" priority="30">
      <formula>$A174="Pipe"</formula>
    </cfRule>
  </conditionalFormatting>
  <conditionalFormatting sqref="G174">
    <cfRule type="expression" dxfId="88" priority="29">
      <formula>$A174="Component"</formula>
    </cfRule>
  </conditionalFormatting>
  <conditionalFormatting sqref="G174">
    <cfRule type="expression" dxfId="87" priority="28">
      <formula>$A174="Volume"</formula>
    </cfRule>
  </conditionalFormatting>
  <conditionalFormatting sqref="M174">
    <cfRule type="expression" dxfId="86" priority="26">
      <formula>OR($A174="Pipe",$A174="Component",$A174="Volume")</formula>
    </cfRule>
  </conditionalFormatting>
  <conditionalFormatting sqref="N174">
    <cfRule type="expression" dxfId="85" priority="27">
      <formula>OR($A174="Pipe",$A174="Component",$A174="Volume")</formula>
    </cfRule>
  </conditionalFormatting>
  <conditionalFormatting sqref="M174:N174">
    <cfRule type="expression" dxfId="84" priority="25">
      <formula>$A174="Pipe"</formula>
    </cfRule>
  </conditionalFormatting>
  <conditionalFormatting sqref="M174:N174">
    <cfRule type="expression" dxfId="83" priority="24">
      <formula>$A174="Component"</formula>
    </cfRule>
  </conditionalFormatting>
  <conditionalFormatting sqref="M174:N174">
    <cfRule type="expression" dxfId="82" priority="23">
      <formula>$A174="Volume"</formula>
    </cfRule>
  </conditionalFormatting>
  <conditionalFormatting sqref="O175 A175 U175 J175 S175 Q175">
    <cfRule type="expression" dxfId="81" priority="20">
      <formula>OR($A175="Pipe",$A175="Component",$A175="Volume")</formula>
    </cfRule>
  </conditionalFormatting>
  <conditionalFormatting sqref="V175 P175 L175 I175 E175 R175 T175">
    <cfRule type="expression" dxfId="80" priority="21">
      <formula>OR($A175="Pipe",$A175="Component",$A175="Volume")</formula>
    </cfRule>
  </conditionalFormatting>
  <conditionalFormatting sqref="B175:D175 K175 H175">
    <cfRule type="expression" dxfId="79" priority="19">
      <formula>OR($A175="Pipe",$A175="Component",$A175="Volume")</formula>
    </cfRule>
  </conditionalFormatting>
  <conditionalFormatting sqref="U175:V175 A175:F175 H175:L175 O175:P175">
    <cfRule type="expression" dxfId="78" priority="18">
      <formula>$A175="Pipe"</formula>
    </cfRule>
  </conditionalFormatting>
  <conditionalFormatting sqref="Q175:T175">
    <cfRule type="expression" dxfId="77" priority="17">
      <formula>OR($A175="Volume",$A175="Pipe")</formula>
    </cfRule>
  </conditionalFormatting>
  <conditionalFormatting sqref="A175:F175 H175:L175 O175:V175">
    <cfRule type="expression" dxfId="76" priority="16">
      <formula>$A175="Component"</formula>
    </cfRule>
  </conditionalFormatting>
  <conditionalFormatting sqref="U175:V175 A175:F175 H175:L175 O175:P175">
    <cfRule type="expression" dxfId="75" priority="15">
      <formula>$A175="Volume"</formula>
    </cfRule>
  </conditionalFormatting>
  <conditionalFormatting sqref="J175:L175">
    <cfRule type="cellIs" dxfId="74" priority="14" operator="notEqual">
      <formula>0</formula>
    </cfRule>
  </conditionalFormatting>
  <conditionalFormatting sqref="F175">
    <cfRule type="expression" dxfId="73" priority="22">
      <formula>OR($A175="Pipe",$A175="Component",$A175="Volume")</formula>
    </cfRule>
  </conditionalFormatting>
  <conditionalFormatting sqref="M175">
    <cfRule type="expression" dxfId="72" priority="8">
      <formula>OR($A175="Pipe",$A175="Component",$A175="Volume")</formula>
    </cfRule>
  </conditionalFormatting>
  <conditionalFormatting sqref="N175">
    <cfRule type="expression" dxfId="71" priority="9">
      <formula>OR($A175="Pipe",$A175="Component",$A175="Volume")</formula>
    </cfRule>
  </conditionalFormatting>
  <conditionalFormatting sqref="M175:N175">
    <cfRule type="expression" dxfId="70" priority="7">
      <formula>$A175="Pipe"</formula>
    </cfRule>
  </conditionalFormatting>
  <conditionalFormatting sqref="M175:N175">
    <cfRule type="expression" dxfId="69" priority="6">
      <formula>$A175="Component"</formula>
    </cfRule>
  </conditionalFormatting>
  <conditionalFormatting sqref="M175:N175">
    <cfRule type="expression" dxfId="68" priority="5">
      <formula>$A175="Volume"</formula>
    </cfRule>
  </conditionalFormatting>
  <conditionalFormatting sqref="G175">
    <cfRule type="expression" dxfId="67" priority="4">
      <formula>OR($A175="Pipe",$A175="Component",$A175="Volume")</formula>
    </cfRule>
  </conditionalFormatting>
  <conditionalFormatting sqref="G175">
    <cfRule type="expression" dxfId="66" priority="3">
      <formula>$A175="Pipe"</formula>
    </cfRule>
  </conditionalFormatting>
  <conditionalFormatting sqref="G175">
    <cfRule type="expression" dxfId="65" priority="2">
      <formula>$A175="Component"</formula>
    </cfRule>
  </conditionalFormatting>
  <conditionalFormatting sqref="G175">
    <cfRule type="expression" dxfId="64" priority="1">
      <formula>$A175="Volume"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C:\ProgramLocal\XlsPipePlot\XlsPipePlot.exe,"""C:\Users\Danne\Dropbox\Programmering\XlsPipePlot\XlsPipePlot\bin\Debug\XlsPipePlot.exe"""</x12ac:list>
        </mc:Choice>
        <mc:Fallback>
          <formula1>"C:\ProgramLocal\XlsPipePlot\XlsPipePlot.exe,""C:\Users\Danne\Dropbox\Programmering\XlsPipePlot\XlsPipePlot\bin\Debug\XlsPipePlot.exe"""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mc:AlternateContent xmlns:x12ac="http://schemas.microsoft.com/office/spreadsheetml/2011/1/ac" xmlns:mc="http://schemas.openxmlformats.org/markup-compatibility/2006">
        <mc:Choice Requires="x12ac">
          <x12ac:list>"""-debug""","""-verbose""",""""""</x12ac:list>
        </mc:Choice>
        <mc:Fallback>
          <formula1>"""-debug"",""-verbose"","""""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Component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8" name="Button 26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5:V49"/>
  <sheetViews>
    <sheetView topLeftCell="A7" zoomScale="85" zoomScaleNormal="85" workbookViewId="0">
      <selection activeCell="A43" sqref="A43"/>
    </sheetView>
  </sheetViews>
  <sheetFormatPr defaultRowHeight="15" x14ac:dyDescent="0.25"/>
  <cols>
    <col min="13" max="13" width="11.5703125" bestFit="1" customWidth="1"/>
  </cols>
  <sheetData>
    <row r="15" spans="1:22" x14ac:dyDescent="0.25">
      <c r="A15">
        <v>1</v>
      </c>
      <c r="B15">
        <f>A15+1</f>
        <v>2</v>
      </c>
      <c r="C15">
        <f t="shared" ref="C15:V15" si="0">B15+1</f>
        <v>3</v>
      </c>
      <c r="D15">
        <f t="shared" si="0"/>
        <v>4</v>
      </c>
      <c r="E15">
        <f t="shared" si="0"/>
        <v>5</v>
      </c>
      <c r="F15">
        <f t="shared" si="0"/>
        <v>6</v>
      </c>
      <c r="G15">
        <f t="shared" si="0"/>
        <v>7</v>
      </c>
      <c r="H15">
        <f t="shared" si="0"/>
        <v>8</v>
      </c>
      <c r="I15">
        <f t="shared" si="0"/>
        <v>9</v>
      </c>
      <c r="J15">
        <f t="shared" si="0"/>
        <v>10</v>
      </c>
      <c r="K15">
        <f t="shared" si="0"/>
        <v>11</v>
      </c>
      <c r="L15">
        <f t="shared" si="0"/>
        <v>12</v>
      </c>
      <c r="M15">
        <f t="shared" si="0"/>
        <v>13</v>
      </c>
      <c r="N15">
        <f t="shared" si="0"/>
        <v>14</v>
      </c>
      <c r="O15">
        <f t="shared" si="0"/>
        <v>15</v>
      </c>
      <c r="P15">
        <f t="shared" si="0"/>
        <v>16</v>
      </c>
      <c r="Q15">
        <f t="shared" si="0"/>
        <v>17</v>
      </c>
      <c r="R15">
        <f t="shared" si="0"/>
        <v>18</v>
      </c>
      <c r="S15">
        <f t="shared" si="0"/>
        <v>19</v>
      </c>
      <c r="T15">
        <f t="shared" si="0"/>
        <v>20</v>
      </c>
      <c r="U15">
        <f t="shared" si="0"/>
        <v>21</v>
      </c>
      <c r="V15">
        <f t="shared" si="0"/>
        <v>22</v>
      </c>
    </row>
    <row r="17" spans="1:22" x14ac:dyDescent="0.25">
      <c r="A17" t="s">
        <v>7</v>
      </c>
      <c r="B17" t="s">
        <v>7</v>
      </c>
      <c r="C17" s="6" t="s">
        <v>7</v>
      </c>
      <c r="D17" t="str">
        <f t="shared" ref="D17" si="1">CONCATENATE("PIPE_",ROW())</f>
        <v>PIPE_17</v>
      </c>
      <c r="F17" s="30">
        <v>1.972</v>
      </c>
      <c r="G17" s="2">
        <v>0</v>
      </c>
      <c r="H17" s="2">
        <f>270+ATAN(1000/1700)*180/PI()</f>
        <v>300.46554491945989</v>
      </c>
      <c r="I17" s="2">
        <v>0</v>
      </c>
      <c r="J17" s="4">
        <v>0</v>
      </c>
      <c r="K17" s="4">
        <v>0</v>
      </c>
      <c r="L17" s="4">
        <v>0</v>
      </c>
      <c r="M17" s="3">
        <v>114.3</v>
      </c>
      <c r="N17" s="3">
        <v>3.05</v>
      </c>
      <c r="O17" s="8">
        <v>1.5</v>
      </c>
      <c r="P17" s="8"/>
      <c r="R17" s="1"/>
      <c r="T17" s="1"/>
      <c r="V17" t="s">
        <v>17</v>
      </c>
    </row>
    <row r="18" spans="1:22" x14ac:dyDescent="0.25">
      <c r="F18" s="6"/>
    </row>
    <row r="19" spans="1:22" x14ac:dyDescent="0.25">
      <c r="F19" s="6"/>
    </row>
    <row r="20" spans="1:22" x14ac:dyDescent="0.25">
      <c r="A20" s="7"/>
      <c r="B20" s="7" t="s">
        <v>70</v>
      </c>
      <c r="C20" s="32" t="s">
        <v>71</v>
      </c>
      <c r="D20" s="7"/>
      <c r="E20" s="7"/>
      <c r="F20" s="33"/>
      <c r="G20" s="34"/>
      <c r="H20" s="34"/>
      <c r="I20" s="34"/>
      <c r="J20" s="31"/>
      <c r="K20" s="31"/>
      <c r="L20" s="31"/>
      <c r="M20" s="35"/>
      <c r="N20" s="35"/>
      <c r="O20" s="7"/>
      <c r="P20" s="7"/>
      <c r="Q20" s="7"/>
      <c r="R20" s="33"/>
      <c r="S20" s="7"/>
      <c r="T20" s="33"/>
      <c r="U20" s="7"/>
      <c r="V20" s="7"/>
    </row>
    <row r="21" spans="1:22" x14ac:dyDescent="0.25">
      <c r="A21" s="7"/>
      <c r="B21" s="7"/>
      <c r="C21" s="32"/>
      <c r="D21" s="7"/>
      <c r="E21" s="7"/>
      <c r="F21" s="33"/>
      <c r="G21" s="34"/>
      <c r="H21" s="34"/>
      <c r="I21" s="34"/>
      <c r="J21" s="31"/>
      <c r="K21" s="31"/>
      <c r="L21" s="31"/>
      <c r="M21" s="35"/>
      <c r="N21" s="35"/>
      <c r="O21" s="7"/>
      <c r="P21" s="7"/>
      <c r="Q21" s="7"/>
      <c r="R21" s="33"/>
      <c r="S21" s="7"/>
      <c r="T21" s="33"/>
      <c r="U21" s="7"/>
      <c r="V21" s="7"/>
    </row>
    <row r="22" spans="1:22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7"/>
      <c r="P22" s="7"/>
      <c r="Q22" s="7"/>
      <c r="R22" s="33"/>
      <c r="S22" s="7"/>
      <c r="T22" s="33"/>
      <c r="U22" s="7"/>
      <c r="V22" s="7"/>
    </row>
    <row r="23" spans="1:22" x14ac:dyDescent="0.25">
      <c r="A23" s="7"/>
      <c r="B23" s="7"/>
      <c r="C23" s="32" t="s">
        <v>7</v>
      </c>
      <c r="D23" s="7">
        <v>34</v>
      </c>
      <c r="E23" s="7"/>
      <c r="F23" s="33">
        <v>2</v>
      </c>
      <c r="G23" s="34"/>
      <c r="H23" s="34"/>
      <c r="I23" s="34"/>
      <c r="J23" s="31">
        <v>2</v>
      </c>
      <c r="K23" s="31">
        <v>4</v>
      </c>
      <c r="L23" s="31"/>
      <c r="M23" s="35">
        <v>1200</v>
      </c>
      <c r="N23" s="35">
        <v>2</v>
      </c>
      <c r="O23" s="7"/>
      <c r="P23" s="7"/>
      <c r="Q23" s="7"/>
      <c r="R23" s="33">
        <v>6</v>
      </c>
      <c r="S23" s="7"/>
      <c r="T23" s="33">
        <v>2</v>
      </c>
      <c r="U23" s="7"/>
      <c r="V23" s="7"/>
    </row>
    <row r="24" spans="1:22" x14ac:dyDescent="0.25">
      <c r="A24" s="7" t="s">
        <v>69</v>
      </c>
      <c r="B24" s="7"/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7"/>
      <c r="P24" s="7"/>
      <c r="Q24" s="7"/>
      <c r="R24" s="33"/>
      <c r="S24" s="7"/>
      <c r="T24" s="33"/>
      <c r="U24" s="7"/>
      <c r="V24" s="7"/>
    </row>
    <row r="25" spans="1:22" x14ac:dyDescent="0.25">
      <c r="A25" s="7"/>
      <c r="B25" s="7"/>
      <c r="C25" s="32"/>
      <c r="D25" s="7"/>
      <c r="E25" s="7"/>
      <c r="F25" s="33"/>
      <c r="G25" s="34"/>
      <c r="H25" s="34"/>
      <c r="I25" s="34"/>
      <c r="J25" s="31"/>
      <c r="K25" s="31"/>
      <c r="L25" s="31"/>
      <c r="M25" s="35"/>
      <c r="N25" s="35"/>
      <c r="O25" s="7"/>
      <c r="P25" s="7"/>
      <c r="Q25" s="7"/>
      <c r="R25" s="33"/>
      <c r="S25" s="7"/>
      <c r="T25" s="33"/>
      <c r="U25" s="7"/>
      <c r="V25" s="7"/>
    </row>
    <row r="26" spans="1:22" x14ac:dyDescent="0.25">
      <c r="A26" s="7" t="s">
        <v>7</v>
      </c>
      <c r="B26" s="7" t="s">
        <v>7</v>
      </c>
      <c r="C26" s="32" t="s">
        <v>7</v>
      </c>
      <c r="D26" s="7" t="s">
        <v>72</v>
      </c>
      <c r="E26" s="7"/>
      <c r="F26" s="33">
        <v>1.972</v>
      </c>
      <c r="G26" s="34">
        <v>0</v>
      </c>
      <c r="H26" s="34">
        <v>300.46554491945989</v>
      </c>
      <c r="I26" s="34">
        <v>0</v>
      </c>
      <c r="J26" s="31">
        <v>0</v>
      </c>
      <c r="K26" s="31">
        <v>0</v>
      </c>
      <c r="L26" s="31">
        <v>0</v>
      </c>
      <c r="M26" s="35">
        <v>114.3</v>
      </c>
      <c r="N26" s="35">
        <v>3.05</v>
      </c>
      <c r="O26" s="7">
        <v>1.5</v>
      </c>
      <c r="P26" s="7"/>
      <c r="Q26" s="7"/>
      <c r="R26" s="33"/>
      <c r="S26" s="7"/>
      <c r="T26" s="33"/>
      <c r="U26" s="7"/>
      <c r="V26" s="7"/>
    </row>
    <row r="27" spans="1:22" x14ac:dyDescent="0.25">
      <c r="A27" s="7" t="s">
        <v>50</v>
      </c>
      <c r="B27" s="7"/>
      <c r="C27" s="32"/>
      <c r="D27" s="7"/>
      <c r="E27" s="7"/>
      <c r="F27" s="33"/>
      <c r="G27" s="34"/>
      <c r="H27" s="34"/>
      <c r="I27" s="34"/>
      <c r="J27" s="31"/>
      <c r="K27" s="31"/>
      <c r="L27" s="31"/>
      <c r="M27" s="35"/>
      <c r="N27" s="35"/>
      <c r="O27" s="7"/>
      <c r="P27" s="7"/>
      <c r="Q27" s="7"/>
      <c r="R27" s="33"/>
      <c r="S27" s="7"/>
      <c r="T27" s="33"/>
      <c r="U27" s="7"/>
      <c r="V27" s="7"/>
    </row>
    <row r="28" spans="1:22" x14ac:dyDescent="0.25">
      <c r="A28" s="7" t="s">
        <v>51</v>
      </c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7"/>
      <c r="P28" s="7"/>
      <c r="Q28" s="7"/>
      <c r="R28" s="33"/>
      <c r="S28" s="7"/>
      <c r="T28" s="33"/>
      <c r="U28" s="7"/>
      <c r="V28" s="7"/>
    </row>
    <row r="29" spans="1:22" x14ac:dyDescent="0.25">
      <c r="A29" s="7"/>
      <c r="B29" s="7"/>
      <c r="C29" s="32"/>
      <c r="D29" s="7"/>
      <c r="E29" s="7"/>
      <c r="F29" s="33"/>
      <c r="G29" s="34"/>
      <c r="H29" s="34"/>
      <c r="I29" s="34"/>
      <c r="J29" s="31"/>
      <c r="K29" s="31"/>
      <c r="L29" s="31"/>
      <c r="M29" s="35"/>
      <c r="N29" s="35"/>
      <c r="O29" s="7"/>
      <c r="P29" s="7"/>
      <c r="Q29" s="7"/>
      <c r="R29" s="33"/>
      <c r="S29" s="7"/>
      <c r="T29" s="33"/>
      <c r="U29" s="7"/>
      <c r="V29" s="7"/>
    </row>
    <row r="30" spans="1:22" x14ac:dyDescent="0.25">
      <c r="A30" s="7" t="s">
        <v>50</v>
      </c>
      <c r="B30" s="7"/>
      <c r="C30" s="32"/>
      <c r="D30" s="7"/>
      <c r="E30" s="7"/>
      <c r="F30" s="33"/>
      <c r="G30" s="34"/>
      <c r="H30" s="34"/>
      <c r="I30" s="34"/>
      <c r="J30" s="31"/>
      <c r="K30" s="31"/>
      <c r="L30" s="31"/>
      <c r="M30" s="35"/>
      <c r="N30" s="35"/>
      <c r="O30" s="7"/>
      <c r="P30" s="7"/>
      <c r="Q30" s="7"/>
      <c r="R30" s="33"/>
      <c r="S30" s="7"/>
      <c r="T30" s="33"/>
      <c r="U30" s="7"/>
      <c r="V30" s="7"/>
    </row>
    <row r="31" spans="1:22" x14ac:dyDescent="0.25">
      <c r="A31" s="7"/>
      <c r="B31" s="7"/>
      <c r="C31" s="32"/>
      <c r="D31" s="7"/>
      <c r="E31" s="7"/>
      <c r="F31" s="33"/>
      <c r="G31" s="34"/>
      <c r="H31" s="34"/>
      <c r="I31" s="34"/>
      <c r="J31" s="31"/>
      <c r="K31" s="31"/>
      <c r="L31" s="31"/>
      <c r="M31" s="35"/>
      <c r="N31" s="35"/>
      <c r="O31" s="7"/>
      <c r="P31" s="7"/>
      <c r="Q31" s="7"/>
      <c r="R31" s="33"/>
      <c r="S31" s="7"/>
      <c r="T31" s="33"/>
      <c r="U31" s="7"/>
      <c r="V31" s="7"/>
    </row>
    <row r="32" spans="1:22" x14ac:dyDescent="0.25">
      <c r="A32" s="7"/>
      <c r="B32" s="7"/>
      <c r="C32" s="32"/>
      <c r="D32" s="7"/>
      <c r="E32" s="7"/>
      <c r="F32" s="33"/>
      <c r="G32" s="34"/>
      <c r="H32" s="34"/>
      <c r="I32" s="34"/>
      <c r="J32" s="31"/>
      <c r="K32" s="31"/>
      <c r="L32" s="31"/>
      <c r="M32" s="35"/>
      <c r="N32" s="35"/>
      <c r="O32" s="7"/>
      <c r="P32" s="7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7"/>
      <c r="P33" s="7"/>
      <c r="Q33" s="7"/>
      <c r="R33" s="33"/>
      <c r="S33" s="7"/>
      <c r="T33" s="33"/>
      <c r="U33" s="7"/>
      <c r="V33" s="7"/>
    </row>
    <row r="34" spans="1:22" x14ac:dyDescent="0.25">
      <c r="A34" s="7"/>
      <c r="B34" s="7"/>
      <c r="C34" s="32"/>
      <c r="D34" s="7"/>
      <c r="E34" s="7"/>
      <c r="F34" s="33"/>
      <c r="G34" s="34"/>
      <c r="H34" s="34"/>
      <c r="I34" s="34"/>
      <c r="J34" s="31"/>
      <c r="K34" s="31"/>
      <c r="L34" s="31"/>
      <c r="M34" s="35"/>
      <c r="N34" s="35"/>
      <c r="O34" s="7"/>
      <c r="P34" s="7"/>
      <c r="Q34" s="7"/>
      <c r="R34" s="33"/>
      <c r="S34" s="7"/>
      <c r="T34" s="33"/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7"/>
      <c r="P35" s="7"/>
      <c r="Q35" s="7"/>
      <c r="R35" s="33"/>
      <c r="S35" s="7"/>
      <c r="T35" s="33"/>
      <c r="U35" s="7"/>
      <c r="V35" s="7"/>
    </row>
    <row r="36" spans="1:22" x14ac:dyDescent="0.25">
      <c r="A36" s="7"/>
      <c r="B36" s="7"/>
      <c r="C36" s="7"/>
      <c r="D36" s="7"/>
      <c r="E36" s="7"/>
      <c r="F36" s="33"/>
      <c r="G36" s="34"/>
      <c r="H36" s="34"/>
      <c r="I36" s="34"/>
      <c r="J36" s="31"/>
      <c r="K36" s="31"/>
      <c r="L36" s="31"/>
      <c r="M36" s="35"/>
      <c r="N36" s="35"/>
      <c r="O36" s="7"/>
      <c r="P36" s="7"/>
      <c r="Q36" s="7"/>
      <c r="R36" s="33"/>
      <c r="S36" s="7"/>
      <c r="T36" s="33"/>
      <c r="U36" s="7"/>
      <c r="V36" s="7"/>
    </row>
    <row r="37" spans="1:22" x14ac:dyDescent="0.25">
      <c r="A37" s="7"/>
      <c r="B37" s="7"/>
      <c r="C37" s="7"/>
      <c r="D37" s="7"/>
      <c r="E37" s="7"/>
      <c r="F37" s="33"/>
      <c r="G37" s="34"/>
      <c r="H37" s="34"/>
      <c r="I37" s="34"/>
      <c r="J37" s="31"/>
      <c r="K37" s="31"/>
      <c r="L37" s="31"/>
      <c r="M37" s="35"/>
      <c r="N37" s="35"/>
      <c r="O37" s="7"/>
      <c r="P37" s="7"/>
      <c r="Q37" s="7"/>
      <c r="R37" s="33"/>
      <c r="S37" s="7"/>
      <c r="T37" s="33"/>
      <c r="U37" s="7"/>
      <c r="V37" s="7"/>
    </row>
    <row r="38" spans="1:22" x14ac:dyDescent="0.25">
      <c r="A38" s="7"/>
      <c r="B38" s="7"/>
      <c r="C38" s="7"/>
      <c r="D38" s="7"/>
      <c r="E38" s="7"/>
      <c r="F38" s="33"/>
      <c r="G38" s="34"/>
      <c r="H38" s="34"/>
      <c r="I38" s="34"/>
      <c r="J38" s="31"/>
      <c r="K38" s="31"/>
      <c r="L38" s="31"/>
      <c r="M38" s="35"/>
      <c r="N38" s="35"/>
      <c r="O38" s="7"/>
      <c r="P38" s="7"/>
      <c r="Q38" s="7"/>
      <c r="R38" s="33"/>
      <c r="S38" s="7"/>
      <c r="T38" s="33"/>
      <c r="U38" s="7"/>
      <c r="V38" s="7"/>
    </row>
    <row r="39" spans="1:22" x14ac:dyDescent="0.25">
      <c r="A39" s="7"/>
      <c r="B39" s="7"/>
      <c r="C39" s="7"/>
      <c r="D39" s="7"/>
      <c r="E39" s="7"/>
      <c r="F39" s="33"/>
      <c r="G39" s="34"/>
      <c r="H39" s="34"/>
      <c r="I39" s="34"/>
      <c r="J39" s="31"/>
      <c r="K39" s="31"/>
      <c r="L39" s="31"/>
      <c r="M39" s="35"/>
      <c r="N39" s="35"/>
      <c r="O39" s="7"/>
      <c r="P39" s="7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7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7"/>
      <c r="P40" s="7"/>
      <c r="Q40" s="7"/>
      <c r="R40" s="33"/>
      <c r="S40" s="7"/>
      <c r="T40" s="33"/>
      <c r="U40" s="7"/>
      <c r="V40" s="7"/>
    </row>
    <row r="41" spans="1:22" x14ac:dyDescent="0.25">
      <c r="A41" s="7"/>
      <c r="B41" s="7"/>
      <c r="C41" s="7"/>
      <c r="D41" s="7"/>
      <c r="E41" s="7"/>
      <c r="F41" s="33"/>
      <c r="G41" s="34"/>
      <c r="H41" s="34"/>
      <c r="I41" s="34"/>
      <c r="J41" s="31"/>
      <c r="K41" s="31"/>
      <c r="L41" s="31"/>
      <c r="M41" s="35"/>
      <c r="N41" s="35"/>
      <c r="O41" s="7"/>
      <c r="P41" s="7"/>
      <c r="Q41" s="7"/>
      <c r="R41" s="33"/>
      <c r="S41" s="7"/>
      <c r="T41" s="33"/>
      <c r="U41" s="7"/>
      <c r="V41" s="7"/>
    </row>
    <row r="42" spans="1:22" x14ac:dyDescent="0.25">
      <c r="A42" s="7"/>
      <c r="B42" s="7"/>
      <c r="C42" s="7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7"/>
      <c r="P42" s="7"/>
      <c r="Q42" s="7"/>
      <c r="R42" s="33"/>
      <c r="S42" s="7"/>
      <c r="T42" s="33"/>
      <c r="U42" s="7"/>
      <c r="V42" s="7"/>
    </row>
    <row r="43" spans="1:22" x14ac:dyDescent="0.25">
      <c r="A43" s="7" t="s">
        <v>7</v>
      </c>
      <c r="B43" s="7"/>
      <c r="C43" s="7"/>
      <c r="D43" s="7"/>
      <c r="E43" s="7"/>
      <c r="F43" s="33"/>
      <c r="G43" s="34"/>
      <c r="H43" s="34"/>
      <c r="I43" s="34"/>
      <c r="J43" s="31"/>
      <c r="K43" s="31"/>
      <c r="L43" s="31"/>
      <c r="M43" s="35"/>
      <c r="N43" s="35"/>
      <c r="O43" s="7"/>
      <c r="P43" s="7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7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7"/>
      <c r="P44" s="7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7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7"/>
      <c r="P45" s="7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7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7"/>
      <c r="P46" s="7"/>
      <c r="Q46" s="7"/>
      <c r="R46" s="33"/>
      <c r="S46" s="7"/>
      <c r="T46" s="33"/>
      <c r="U46" s="7"/>
      <c r="V46" s="7"/>
    </row>
    <row r="47" spans="1:22" x14ac:dyDescent="0.25">
      <c r="A47" s="7"/>
      <c r="B47" s="7"/>
      <c r="C47" s="7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7"/>
      <c r="P47" s="7"/>
      <c r="Q47" s="7"/>
      <c r="R47" s="33"/>
      <c r="S47" s="7"/>
      <c r="T47" s="33"/>
      <c r="U47" s="7"/>
      <c r="V47" s="7"/>
    </row>
    <row r="48" spans="1:22" x14ac:dyDescent="0.25">
      <c r="A48" s="7"/>
      <c r="B48" s="7"/>
      <c r="C48" s="7"/>
      <c r="D48" s="7"/>
      <c r="E48" s="7"/>
      <c r="F48" s="33"/>
      <c r="G48" s="34"/>
      <c r="H48" s="34"/>
      <c r="I48" s="34"/>
      <c r="J48" s="31"/>
      <c r="K48" s="31"/>
      <c r="L48" s="31"/>
      <c r="M48" s="35"/>
      <c r="N48" s="35"/>
      <c r="O48" s="7"/>
      <c r="P48" s="7"/>
      <c r="Q48" s="7"/>
      <c r="R48" s="33"/>
      <c r="S48" s="7"/>
      <c r="T48" s="33"/>
      <c r="U48" s="7"/>
      <c r="V48" s="7"/>
    </row>
    <row r="49" spans="1:22" x14ac:dyDescent="0.25">
      <c r="A49" s="7"/>
      <c r="B49" s="7"/>
      <c r="C49" s="7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7"/>
      <c r="P49" s="7"/>
      <c r="Q49" s="7"/>
      <c r="R49" s="33"/>
      <c r="S49" s="7"/>
      <c r="T49" s="33"/>
      <c r="U49" s="7"/>
      <c r="V49" s="7"/>
    </row>
  </sheetData>
  <conditionalFormatting sqref="J17 M17 U17 A17 O17 S17 Q17">
    <cfRule type="expression" dxfId="63" priority="613">
      <formula>OR($A17="Pipe",$A17="Component",$A17="Volume")</formula>
    </cfRule>
  </conditionalFormatting>
  <conditionalFormatting sqref="E17 I17 L17 N17 P17 V17 R17">
    <cfRule type="expression" dxfId="62" priority="614">
      <formula>OR($A17="Pipe",$A17="Component",$A17="Volume")</formula>
    </cfRule>
  </conditionalFormatting>
  <conditionalFormatting sqref="G17:H17 K17 B17:D17">
    <cfRule type="expression" dxfId="61" priority="612">
      <formula>OR($A17="Pipe",$A17="Component",$A17="Volume")</formula>
    </cfRule>
  </conditionalFormatting>
  <conditionalFormatting sqref="U17:V17 A17:P17">
    <cfRule type="expression" dxfId="60" priority="611">
      <formula>$A17="Pipe"</formula>
    </cfRule>
  </conditionalFormatting>
  <conditionalFormatting sqref="Q17:S17">
    <cfRule type="expression" dxfId="59" priority="610">
      <formula>OR($A17="Volume",$A17="Pipe")</formula>
    </cfRule>
  </conditionalFormatting>
  <conditionalFormatting sqref="A17:S17 U17:V17">
    <cfRule type="expression" dxfId="58" priority="609">
      <formula>$A17="Component"</formula>
    </cfRule>
  </conditionalFormatting>
  <conditionalFormatting sqref="U17:V17 A17:P17">
    <cfRule type="expression" dxfId="57" priority="608">
      <formula>$A17="Volume"</formula>
    </cfRule>
  </conditionalFormatting>
  <conditionalFormatting sqref="J17:L17">
    <cfRule type="cellIs" dxfId="56" priority="607" operator="notEqual">
      <formula>0</formula>
    </cfRule>
  </conditionalFormatting>
  <conditionalFormatting sqref="F17">
    <cfRule type="expression" dxfId="55" priority="615">
      <formula>OR($A17="Pipe",$A17="Component",$A17="Volume")</formula>
    </cfRule>
  </conditionalFormatting>
  <conditionalFormatting sqref="T17">
    <cfRule type="expression" dxfId="54" priority="606">
      <formula>OR($A17="Pipe",$A17="Component",$A17="Volume")</formula>
    </cfRule>
  </conditionalFormatting>
  <conditionalFormatting sqref="T17">
    <cfRule type="expression" dxfId="53" priority="605">
      <formula>OR($A17="Volume",$A17="Pipe")</formula>
    </cfRule>
  </conditionalFormatting>
  <conditionalFormatting sqref="T17">
    <cfRule type="expression" dxfId="52" priority="604">
      <formula>$A17="Component"</formula>
    </cfRule>
  </conditionalFormatting>
  <conditionalFormatting sqref="A20:P22">
    <cfRule type="expression" dxfId="51" priority="50">
      <formula>$A20="Volume"</formula>
    </cfRule>
    <cfRule type="expression" dxfId="50" priority="52">
      <formula>$A20="Pipe"</formula>
    </cfRule>
  </conditionalFormatting>
  <conditionalFormatting sqref="T20:V22">
    <cfRule type="expression" dxfId="49" priority="49">
      <formula>$A20="Volume"</formula>
    </cfRule>
    <cfRule type="expression" dxfId="48" priority="51">
      <formula>$A20="Pipe"</formula>
    </cfRule>
  </conditionalFormatting>
  <conditionalFormatting sqref="A20:V22">
    <cfRule type="expression" dxfId="47" priority="48">
      <formula>$A20="Component"</formula>
    </cfRule>
  </conditionalFormatting>
  <conditionalFormatting sqref="Q20:T22">
    <cfRule type="expression" dxfId="46" priority="47">
      <formula>OR($A20="Pipe",$A20="Volume")</formula>
    </cfRule>
  </conditionalFormatting>
  <conditionalFormatting sqref="B20:D22">
    <cfRule type="expression" dxfId="45" priority="46">
      <formula>OR($A20="Component",$A20="Pipe",$A20="Volume")</formula>
    </cfRule>
  </conditionalFormatting>
  <conditionalFormatting sqref="F20:F22">
    <cfRule type="expression" dxfId="44" priority="45">
      <formula>OR($A20="Component",$A20="Pipe",$A20="Volume")</formula>
    </cfRule>
  </conditionalFormatting>
  <conditionalFormatting sqref="H20:H22">
    <cfRule type="expression" dxfId="43" priority="44">
      <formula>OR($A20="Component",$A20="Pipe",$A20="Volume")</formula>
    </cfRule>
  </conditionalFormatting>
  <conditionalFormatting sqref="K20:K22">
    <cfRule type="expression" dxfId="42" priority="43">
      <formula>OR($A20="Component",$A20="Pipe",$A20="Volume")</formula>
    </cfRule>
  </conditionalFormatting>
  <conditionalFormatting sqref="A20:A22">
    <cfRule type="expression" dxfId="41" priority="42">
      <formula>OR($A20="Component",$A20="Pipe",$A20="Volume")</formula>
    </cfRule>
  </conditionalFormatting>
  <conditionalFormatting sqref="G20:G22">
    <cfRule type="expression" dxfId="40" priority="41">
      <formula>OR($A20="Component",$A20="Pipe",$A20="Volume")</formula>
    </cfRule>
  </conditionalFormatting>
  <conditionalFormatting sqref="J20:J22">
    <cfRule type="expression" dxfId="39" priority="40">
      <formula>OR($A20="Component",$A20="Pipe",$A20="Volume")</formula>
    </cfRule>
  </conditionalFormatting>
  <conditionalFormatting sqref="M20:M22">
    <cfRule type="expression" dxfId="38" priority="39">
      <formula>OR($A20="Component",$A20="Pipe",$A20="Volume")</formula>
    </cfRule>
  </conditionalFormatting>
  <conditionalFormatting sqref="O20:O22">
    <cfRule type="expression" dxfId="37" priority="38">
      <formula>OR($A20="Component",$A20="Pipe",$A20="Volume")</formula>
    </cfRule>
  </conditionalFormatting>
  <conditionalFormatting sqref="Q20:Q22">
    <cfRule type="expression" dxfId="36" priority="37">
      <formula>OR($A20="Component",$A20="Pipe",$A20="Volume")</formula>
    </cfRule>
  </conditionalFormatting>
  <conditionalFormatting sqref="S20:S22">
    <cfRule type="expression" dxfId="35" priority="36">
      <formula>OR($A20="Component",$A20="Pipe",$A20="Volume")</formula>
    </cfRule>
  </conditionalFormatting>
  <conditionalFormatting sqref="U20:U22">
    <cfRule type="expression" dxfId="34" priority="35">
      <formula>OR($A20="Component",$A20="Pipe",$A20="Volume")</formula>
    </cfRule>
  </conditionalFormatting>
  <conditionalFormatting sqref="E20:E22">
    <cfRule type="expression" dxfId="33" priority="34">
      <formula>OR($A20="Component",$A20="Pipe",$A20="Volume")</formula>
    </cfRule>
  </conditionalFormatting>
  <conditionalFormatting sqref="I20:I22">
    <cfRule type="expression" dxfId="32" priority="33">
      <formula>OR($A20="Component",$A20="Pipe",$A20="Volume")</formula>
    </cfRule>
  </conditionalFormatting>
  <conditionalFormatting sqref="L20:L22">
    <cfRule type="expression" dxfId="31" priority="32">
      <formula>OR($A20="Component",$A20="Pipe",$A20="Volume")</formula>
    </cfRule>
  </conditionalFormatting>
  <conditionalFormatting sqref="N20:N22">
    <cfRule type="expression" dxfId="30" priority="31">
      <formula>OR($A20="Component",$A20="Pipe",$A20="Volume")</formula>
    </cfRule>
  </conditionalFormatting>
  <conditionalFormatting sqref="P20:P22">
    <cfRule type="expression" dxfId="29" priority="30">
      <formula>OR($A20="Component",$A20="Pipe",$A20="Volume")</formula>
    </cfRule>
  </conditionalFormatting>
  <conditionalFormatting sqref="R20:R22">
    <cfRule type="expression" dxfId="28" priority="29">
      <formula>OR($A20="Component",$A20="Pipe",$A20="Volume")</formula>
    </cfRule>
  </conditionalFormatting>
  <conditionalFormatting sqref="T20:T22">
    <cfRule type="expression" dxfId="27" priority="28">
      <formula>OR($A20="Component",$A20="Pipe",$A20="Volume")</formula>
    </cfRule>
  </conditionalFormatting>
  <conditionalFormatting sqref="V20:V22">
    <cfRule type="expression" dxfId="26" priority="27">
      <formula>OR($A20="Component",$A20="Pipe",$A20="Volume")</formula>
    </cfRule>
  </conditionalFormatting>
  <conditionalFormatting sqref="A23:P49">
    <cfRule type="expression" dxfId="25" priority="26">
      <formula>$A23="Pipe"</formula>
    </cfRule>
  </conditionalFormatting>
  <conditionalFormatting sqref="T23:V49">
    <cfRule type="expression" dxfId="24" priority="25">
      <formula>$A23="Pipe"</formula>
    </cfRule>
  </conditionalFormatting>
  <conditionalFormatting sqref="A23:P49">
    <cfRule type="expression" dxfId="23" priority="24">
      <formula>$A23="Volume"</formula>
    </cfRule>
  </conditionalFormatting>
  <conditionalFormatting sqref="T23:V49">
    <cfRule type="expression" dxfId="22" priority="23">
      <formula>$A23="Volume"</formula>
    </cfRule>
  </conditionalFormatting>
  <conditionalFormatting sqref="A23:V49">
    <cfRule type="expression" dxfId="21" priority="22">
      <formula>$A23="Component"</formula>
    </cfRule>
  </conditionalFormatting>
  <conditionalFormatting sqref="Q23:T49">
    <cfRule type="expression" dxfId="20" priority="21">
      <formula>OR($A23="Pipe",$A23="Volume")</formula>
    </cfRule>
  </conditionalFormatting>
  <conditionalFormatting sqref="B23:D49">
    <cfRule type="expression" dxfId="19" priority="20">
      <formula>OR($A23="Component",$A23="Pipe",$A23="Volume")</formula>
    </cfRule>
  </conditionalFormatting>
  <conditionalFormatting sqref="F23:F49">
    <cfRule type="expression" dxfId="18" priority="19">
      <formula>OR($A23="Component",$A23="Pipe",$A23="Volume")</formula>
    </cfRule>
  </conditionalFormatting>
  <conditionalFormatting sqref="H23:H49">
    <cfRule type="expression" dxfId="17" priority="18">
      <formula>OR($A23="Component",$A23="Pipe",$A23="Volume")</formula>
    </cfRule>
  </conditionalFormatting>
  <conditionalFormatting sqref="K23:K49">
    <cfRule type="expression" dxfId="16" priority="17">
      <formula>OR($A23="Component",$A23="Pipe",$A23="Volume")</formula>
    </cfRule>
  </conditionalFormatting>
  <conditionalFormatting sqref="A23:A49">
    <cfRule type="expression" dxfId="15" priority="16">
      <formula>OR($A23="Component",$A23="Pipe",$A23="Volume")</formula>
    </cfRule>
  </conditionalFormatting>
  <conditionalFormatting sqref="G23:G49">
    <cfRule type="expression" dxfId="14" priority="15">
      <formula>OR($A23="Component",$A23="Pipe",$A23="Volume")</formula>
    </cfRule>
  </conditionalFormatting>
  <conditionalFormatting sqref="J23:J49">
    <cfRule type="expression" dxfId="13" priority="14">
      <formula>OR($A23="Component",$A23="Pipe",$A23="Volume")</formula>
    </cfRule>
  </conditionalFormatting>
  <conditionalFormatting sqref="M23:M49">
    <cfRule type="expression" dxfId="12" priority="13">
      <formula>OR($A23="Component",$A23="Pipe",$A23="Volume")</formula>
    </cfRule>
  </conditionalFormatting>
  <conditionalFormatting sqref="O23:O49">
    <cfRule type="expression" dxfId="11" priority="12">
      <formula>OR($A23="Component",$A23="Pipe",$A23="Volume")</formula>
    </cfRule>
  </conditionalFormatting>
  <conditionalFormatting sqref="Q23:Q49">
    <cfRule type="expression" dxfId="10" priority="11">
      <formula>OR($A23="Component",$A23="Pipe",$A23="Volume")</formula>
    </cfRule>
  </conditionalFormatting>
  <conditionalFormatting sqref="S23:S49">
    <cfRule type="expression" dxfId="9" priority="10">
      <formula>OR($A23="Component",$A23="Pipe",$A23="Volume")</formula>
    </cfRule>
  </conditionalFormatting>
  <conditionalFormatting sqref="U23:U49">
    <cfRule type="expression" dxfId="8" priority="9">
      <formula>OR($A23="Component",$A23="Pipe",$A23="Volume")</formula>
    </cfRule>
  </conditionalFormatting>
  <conditionalFormatting sqref="E23:E49">
    <cfRule type="expression" dxfId="7" priority="8">
      <formula>OR($A23="Component",$A23="Pipe",$A23="Volume")</formula>
    </cfRule>
  </conditionalFormatting>
  <conditionalFormatting sqref="I23:I49">
    <cfRule type="expression" dxfId="6" priority="7">
      <formula>OR($A23="Component",$A23="Pipe",$A23="Volume")</formula>
    </cfRule>
  </conditionalFormatting>
  <conditionalFormatting sqref="L23:L49">
    <cfRule type="expression" dxfId="5" priority="6">
      <formula>OR($A23="Component",$A23="Pipe",$A23="Volume")</formula>
    </cfRule>
  </conditionalFormatting>
  <conditionalFormatting sqref="N23:N49">
    <cfRule type="expression" dxfId="4" priority="5">
      <formula>OR($A23="Component",$A23="Pipe",$A23="Volume")</formula>
    </cfRule>
  </conditionalFormatting>
  <conditionalFormatting sqref="P23:P49">
    <cfRule type="expression" dxfId="3" priority="4">
      <formula>OR($A23="Component",$A23="Pipe",$A23="Volume")</formula>
    </cfRule>
  </conditionalFormatting>
  <conditionalFormatting sqref="R23:R49">
    <cfRule type="expression" dxfId="2" priority="3">
      <formula>OR($A23="Component",$A23="Pipe",$A23="Volume")</formula>
    </cfRule>
  </conditionalFormatting>
  <conditionalFormatting sqref="T23:T49">
    <cfRule type="expression" dxfId="1" priority="2">
      <formula>OR($A23="Component",$A23="Pipe",$A23="Volume")</formula>
    </cfRule>
  </conditionalFormatting>
  <conditionalFormatting sqref="V23:V49">
    <cfRule type="expression" dxfId="0" priority="1">
      <formula>OR($A23="Component",$A23="Pipe",$A23="Volume")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System</vt:lpstr>
      <vt:lpstr>Blad1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2019-08-23T18:45:09Z</dcterms:modified>
</cp:coreProperties>
</file>