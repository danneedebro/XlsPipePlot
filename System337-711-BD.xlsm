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Småjobb\2019\R34-Blowdown-VVX-erf-flode\3D-modell\"/>
    </mc:Choice>
  </mc:AlternateContent>
  <xr:revisionPtr revIDLastSave="0" documentId="13_ncr:1_{252FF86F-9B95-4055-AC0E-B84D4E35175A}" xr6:coauthVersionLast="36" xr6:coauthVersionMax="36" xr10:uidLastSave="{00000000-0000-0000-0000-000000000000}"/>
  <bookViews>
    <workbookView xWindow="0" yWindow="0" windowWidth="28800" windowHeight="13695" xr2:uid="{00000000-000D-0000-FFFF-FFFF00000000}"/>
  </bookViews>
  <sheets>
    <sheet name="BDAHSG-01" sheetId="9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3" i="9" l="1"/>
  <c r="O91" i="9"/>
  <c r="O86" i="9"/>
  <c r="Z47" i="9"/>
  <c r="Y47" i="9"/>
  <c r="X47" i="9"/>
  <c r="X48" i="9"/>
  <c r="X49" i="9" s="1"/>
  <c r="X50" i="9" s="1"/>
  <c r="X51" i="9" s="1"/>
  <c r="X52" i="9" s="1"/>
  <c r="X53" i="9" s="1"/>
  <c r="X54" i="9" s="1"/>
  <c r="X55" i="9" s="1"/>
  <c r="X56" i="9" s="1"/>
  <c r="X57" i="9" s="1"/>
  <c r="X58" i="9" s="1"/>
  <c r="X59" i="9" s="1"/>
  <c r="X60" i="9" s="1"/>
  <c r="X61" i="9" s="1"/>
  <c r="Y90" i="9"/>
  <c r="Z90" i="9"/>
  <c r="X90" i="9"/>
  <c r="X26" i="9"/>
  <c r="Y26" i="9"/>
  <c r="Z26" i="9"/>
  <c r="X135" i="9"/>
  <c r="X136" i="9" s="1"/>
  <c r="X137" i="9" s="1"/>
  <c r="Z134" i="9"/>
  <c r="Z135" i="9" s="1"/>
  <c r="Z136" i="9" s="1"/>
  <c r="Z137" i="9" s="1"/>
  <c r="Y134" i="9"/>
  <c r="Y135" i="9" s="1"/>
  <c r="Y136" i="9" s="1"/>
  <c r="Y137" i="9" s="1"/>
  <c r="X134" i="9"/>
  <c r="Y126" i="9"/>
  <c r="Y127" i="9" s="1"/>
  <c r="Y128" i="9" s="1"/>
  <c r="Y129" i="9" s="1"/>
  <c r="Y130" i="9" s="1"/>
  <c r="Y131" i="9" s="1"/>
  <c r="Y125" i="9"/>
  <c r="X125" i="9"/>
  <c r="X126" i="9" s="1"/>
  <c r="X127" i="9" s="1"/>
  <c r="X128" i="9" s="1"/>
  <c r="X129" i="9" s="1"/>
  <c r="X130" i="9" s="1"/>
  <c r="X131" i="9" s="1"/>
  <c r="Z124" i="9"/>
  <c r="Z125" i="9" s="1"/>
  <c r="Z126" i="9" s="1"/>
  <c r="Z127" i="9" s="1"/>
  <c r="Z128" i="9" s="1"/>
  <c r="Z129" i="9" s="1"/>
  <c r="Z130" i="9" s="1"/>
  <c r="Z131" i="9" s="1"/>
  <c r="Y124" i="9"/>
  <c r="X124" i="9"/>
  <c r="Y115" i="9"/>
  <c r="Y116" i="9" s="1"/>
  <c r="Y117" i="9" s="1"/>
  <c r="Y118" i="9" s="1"/>
  <c r="Y119" i="9" s="1"/>
  <c r="Y120" i="9" s="1"/>
  <c r="Y114" i="9"/>
  <c r="X114" i="9"/>
  <c r="X115" i="9" s="1"/>
  <c r="X116" i="9" s="1"/>
  <c r="X117" i="9" s="1"/>
  <c r="X118" i="9" s="1"/>
  <c r="X119" i="9" s="1"/>
  <c r="X120" i="9" s="1"/>
  <c r="Z113" i="9"/>
  <c r="Z114" i="9" s="1"/>
  <c r="Z115" i="9" s="1"/>
  <c r="Z116" i="9" s="1"/>
  <c r="Z117" i="9" s="1"/>
  <c r="Z118" i="9" s="1"/>
  <c r="Z119" i="9" s="1"/>
  <c r="Z120" i="9" s="1"/>
  <c r="Y113" i="9"/>
  <c r="X113" i="9"/>
  <c r="Z97" i="9"/>
  <c r="Z98" i="9" s="1"/>
  <c r="Z99" i="9" s="1"/>
  <c r="Z100" i="9" s="1"/>
  <c r="Z101" i="9" s="1"/>
  <c r="Z102" i="9" s="1"/>
  <c r="Z103" i="9" s="1"/>
  <c r="Z104" i="9" s="1"/>
  <c r="Z105" i="9" s="1"/>
  <c r="Z106" i="9" s="1"/>
  <c r="Z107" i="9" s="1"/>
  <c r="Z108" i="9" s="1"/>
  <c r="Z109" i="9" s="1"/>
  <c r="Z96" i="9"/>
  <c r="Y96" i="9"/>
  <c r="Y97" i="9" s="1"/>
  <c r="Z95" i="9"/>
  <c r="Y95" i="9"/>
  <c r="X95" i="9"/>
  <c r="X96" i="9" s="1"/>
  <c r="X97" i="9" s="1"/>
  <c r="X92" i="9"/>
  <c r="Z91" i="9"/>
  <c r="Z92" i="9" s="1"/>
  <c r="Y91" i="9"/>
  <c r="Y92" i="9" s="1"/>
  <c r="X91" i="9"/>
  <c r="Z87" i="9"/>
  <c r="Y87" i="9"/>
  <c r="Z86" i="9"/>
  <c r="Y86" i="9"/>
  <c r="X86" i="9"/>
  <c r="X87" i="9" s="1"/>
  <c r="Y67" i="9"/>
  <c r="Y68" i="9" s="1"/>
  <c r="Y69" i="9" s="1"/>
  <c r="Y70" i="9" s="1"/>
  <c r="Y71" i="9" s="1"/>
  <c r="Y72" i="9" s="1"/>
  <c r="Y73" i="9" s="1"/>
  <c r="Y74" i="9" s="1"/>
  <c r="Y75" i="9" s="1"/>
  <c r="Y76" i="9" s="1"/>
  <c r="Y77" i="9" s="1"/>
  <c r="Y66" i="9"/>
  <c r="X66" i="9"/>
  <c r="X67" i="9" s="1"/>
  <c r="X68" i="9" s="1"/>
  <c r="X69" i="9" s="1"/>
  <c r="X70" i="9" s="1"/>
  <c r="X71" i="9" s="1"/>
  <c r="X72" i="9" s="1"/>
  <c r="X73" i="9" s="1"/>
  <c r="X74" i="9" s="1"/>
  <c r="X75" i="9" s="1"/>
  <c r="X76" i="9" s="1"/>
  <c r="X77" i="9" s="1"/>
  <c r="Z65" i="9"/>
  <c r="Z66" i="9" s="1"/>
  <c r="Z67" i="9" s="1"/>
  <c r="Z68" i="9" s="1"/>
  <c r="Z69" i="9" s="1"/>
  <c r="Z70" i="9" s="1"/>
  <c r="Z71" i="9" s="1"/>
  <c r="Z72" i="9" s="1"/>
  <c r="Z73" i="9" s="1"/>
  <c r="Z74" i="9" s="1"/>
  <c r="Z75" i="9" s="1"/>
  <c r="Z76" i="9" s="1"/>
  <c r="Z77" i="9" s="1"/>
  <c r="Y65" i="9"/>
  <c r="X65" i="9"/>
  <c r="Z49" i="9"/>
  <c r="Z50" i="9" s="1"/>
  <c r="Z51" i="9" s="1"/>
  <c r="Z52" i="9" s="1"/>
  <c r="Z53" i="9" s="1"/>
  <c r="Z54" i="9" s="1"/>
  <c r="Z55" i="9" s="1"/>
  <c r="Z56" i="9" s="1"/>
  <c r="Z57" i="9" s="1"/>
  <c r="Z58" i="9" s="1"/>
  <c r="Z59" i="9" s="1"/>
  <c r="Z60" i="9" s="1"/>
  <c r="Z61" i="9" s="1"/>
  <c r="Z48" i="9"/>
  <c r="Y48" i="9"/>
  <c r="Y49" i="9" s="1"/>
  <c r="Y50" i="9" s="1"/>
  <c r="Y51" i="9" s="1"/>
  <c r="Y52" i="9" s="1"/>
  <c r="Y53" i="9" s="1"/>
  <c r="Y54" i="9" s="1"/>
  <c r="Y55" i="9" s="1"/>
  <c r="Y56" i="9" s="1"/>
  <c r="Y57" i="9" s="1"/>
  <c r="Y58" i="9" s="1"/>
  <c r="Y59" i="9" s="1"/>
  <c r="Y60" i="9" s="1"/>
  <c r="Y61" i="9" s="1"/>
  <c r="X28" i="9"/>
  <c r="X29" i="9" s="1"/>
  <c r="X30" i="9" s="1"/>
  <c r="X31" i="9" s="1"/>
  <c r="X32" i="9" s="1"/>
  <c r="X33" i="9" s="1"/>
  <c r="X34" i="9" s="1"/>
  <c r="X35" i="9" s="1"/>
  <c r="X36" i="9" s="1"/>
  <c r="X37" i="9" s="1"/>
  <c r="X38" i="9" s="1"/>
  <c r="X39" i="9" s="1"/>
  <c r="X40" i="9" s="1"/>
  <c r="Z27" i="9"/>
  <c r="Z28" i="9" s="1"/>
  <c r="Z29" i="9" s="1"/>
  <c r="Z30" i="9" s="1"/>
  <c r="Z31" i="9" s="1"/>
  <c r="Z32" i="9" s="1"/>
  <c r="Z33" i="9" s="1"/>
  <c r="Z34" i="9" s="1"/>
  <c r="Z35" i="9" s="1"/>
  <c r="Z36" i="9" s="1"/>
  <c r="Z37" i="9" s="1"/>
  <c r="Z38" i="9" s="1"/>
  <c r="Z39" i="9" s="1"/>
  <c r="Z40" i="9" s="1"/>
  <c r="Y27" i="9"/>
  <c r="Y28" i="9" s="1"/>
  <c r="Y29" i="9" s="1"/>
  <c r="Y30" i="9" s="1"/>
  <c r="Y31" i="9" s="1"/>
  <c r="Y32" i="9" s="1"/>
  <c r="Y33" i="9" s="1"/>
  <c r="Y34" i="9" s="1"/>
  <c r="Y35" i="9" s="1"/>
  <c r="Y36" i="9" s="1"/>
  <c r="Y37" i="9" s="1"/>
  <c r="Y38" i="9" s="1"/>
  <c r="Y39" i="9" s="1"/>
  <c r="Y40" i="9" s="1"/>
  <c r="X27" i="9"/>
  <c r="F76" i="9"/>
  <c r="D76" i="9"/>
  <c r="S74" i="9" s="1"/>
  <c r="D74" i="9"/>
  <c r="F72" i="9"/>
  <c r="D72" i="9"/>
  <c r="Q74" i="9" s="1"/>
  <c r="F71" i="9"/>
  <c r="D71" i="9"/>
  <c r="D70" i="9"/>
  <c r="D69" i="9"/>
  <c r="D68" i="9"/>
  <c r="D67" i="9"/>
  <c r="S65" i="9"/>
  <c r="D65" i="9"/>
  <c r="G136" i="9"/>
  <c r="D136" i="9"/>
  <c r="S134" i="9" s="1"/>
  <c r="D134" i="9"/>
  <c r="D130" i="9"/>
  <c r="D129" i="9"/>
  <c r="L128" i="9"/>
  <c r="D128" i="9"/>
  <c r="D127" i="9"/>
  <c r="D126" i="9"/>
  <c r="S124" i="9" s="1"/>
  <c r="D124" i="9"/>
  <c r="D119" i="9"/>
  <c r="D118" i="9"/>
  <c r="D117" i="9"/>
  <c r="D116" i="9"/>
  <c r="F115" i="9"/>
  <c r="D115" i="9"/>
  <c r="S113" i="9" s="1"/>
  <c r="D113" i="9"/>
  <c r="D108" i="9"/>
  <c r="D106" i="9"/>
  <c r="Q108" i="9" s="1"/>
  <c r="D105" i="9"/>
  <c r="F104" i="9"/>
  <c r="D104" i="9"/>
  <c r="S102" i="9" s="1"/>
  <c r="D102" i="9"/>
  <c r="F100" i="9"/>
  <c r="D100" i="9"/>
  <c r="Q102" i="9" s="1"/>
  <c r="F99" i="9"/>
  <c r="D99" i="9"/>
  <c r="F98" i="9"/>
  <c r="D98" i="9"/>
  <c r="F97" i="9"/>
  <c r="D97" i="9"/>
  <c r="S95" i="9" s="1"/>
  <c r="R95" i="9"/>
  <c r="D95" i="9"/>
  <c r="M91" i="9"/>
  <c r="D91" i="9"/>
  <c r="Q113" i="9" s="1"/>
  <c r="M86" i="9"/>
  <c r="D86" i="9"/>
  <c r="Q124" i="9" s="1"/>
  <c r="F60" i="9"/>
  <c r="D60" i="9"/>
  <c r="F59" i="9"/>
  <c r="D59" i="9"/>
  <c r="S57" i="9" s="1"/>
  <c r="D57" i="9"/>
  <c r="F55" i="9"/>
  <c r="D55" i="9"/>
  <c r="Q57" i="9" s="1"/>
  <c r="D53" i="9"/>
  <c r="F51" i="9"/>
  <c r="D51" i="9"/>
  <c r="Q53" i="9" s="1"/>
  <c r="F50" i="9"/>
  <c r="D50" i="9"/>
  <c r="S48" i="9" s="1"/>
  <c r="D48" i="9"/>
  <c r="D39" i="9"/>
  <c r="D37" i="9"/>
  <c r="Q39" i="9" s="1"/>
  <c r="D36" i="9"/>
  <c r="D35" i="9"/>
  <c r="D34" i="9"/>
  <c r="F33" i="9"/>
  <c r="D33" i="9"/>
  <c r="S31" i="9" s="1"/>
  <c r="D31" i="9"/>
  <c r="F29" i="9"/>
  <c r="D29" i="9"/>
  <c r="Q31" i="9" s="1"/>
  <c r="D28" i="9"/>
  <c r="F27" i="9"/>
  <c r="D27" i="9"/>
  <c r="H98" i="9"/>
  <c r="X98" i="9" l="1"/>
  <c r="X99" i="9" s="1"/>
  <c r="X100" i="9" s="1"/>
  <c r="X101" i="9" s="1"/>
  <c r="X102" i="9" s="1"/>
  <c r="X103" i="9" s="1"/>
  <c r="X104" i="9" s="1"/>
  <c r="X105" i="9" s="1"/>
  <c r="X106" i="9" s="1"/>
  <c r="X107" i="9" s="1"/>
  <c r="X108" i="9" s="1"/>
  <c r="X109" i="9" s="1"/>
  <c r="Y98" i="9"/>
  <c r="Y99" i="9" s="1"/>
  <c r="Y100" i="9" s="1"/>
  <c r="Y101" i="9" s="1"/>
  <c r="Y102" i="9" s="1"/>
  <c r="Y103" i="9" s="1"/>
  <c r="Y104" i="9" s="1"/>
  <c r="Y105" i="9" s="1"/>
  <c r="Y106" i="9" s="1"/>
  <c r="Y107" i="9" s="1"/>
  <c r="Y108" i="9" s="1"/>
  <c r="Y109" i="9" s="1"/>
  <c r="Q65" i="9"/>
  <c r="S39" i="9"/>
  <c r="Q48" i="9"/>
  <c r="Q134" i="9"/>
  <c r="S53" i="9"/>
  <c r="S108" i="9"/>
  <c r="Q95" i="9"/>
  <c r="D7" i="9"/>
  <c r="B3" i="9"/>
</calcChain>
</file>

<file path=xl/sharedStrings.xml><?xml version="1.0" encoding="utf-8"?>
<sst xmlns="http://schemas.openxmlformats.org/spreadsheetml/2006/main" count="263" uniqueCount="74">
  <si>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</si>
  <si>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</si>
  <si>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</si>
  <si>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</si>
  <si>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</si>
  <si>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</si>
  <si>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</si>
  <si>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</si>
  <si>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</si>
  <si>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</si>
  <si>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</si>
  <si>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</si>
  <si>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</si>
  <si>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</si>
  <si>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</si>
  <si>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</si>
  <si>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Unique-ID</t>
  </si>
  <si>
    <t>Dx (m)</t>
  </si>
  <si>
    <t>Dy (m)</t>
  </si>
  <si>
    <t>Dz (m)</t>
  </si>
  <si>
    <t>Conn</t>
  </si>
  <si>
    <t>Tank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</si>
  <si>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</si>
  <si>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</si>
  <si>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Refvol</t>
  </si>
  <si>
    <t>Flowpath</t>
  </si>
  <si>
    <t>Notes</t>
  </si>
  <si>
    <t>Template</t>
  </si>
  <si>
    <t>Dwg</t>
  </si>
  <si>
    <t>Family</t>
  </si>
  <si>
    <t>Volume</t>
  </si>
  <si>
    <t>Main settings:</t>
  </si>
  <si>
    <t>Program Path:</t>
  </si>
  <si>
    <t>Local components folder:</t>
  </si>
  <si>
    <t>Components\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</si>
  <si>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</si>
  <si>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</si>
  <si>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</si>
  <si>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</si>
  <si>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</si>
  <si>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</si>
  <si>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</si>
  <si>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</si>
  <si>
    <t>A</t>
  </si>
  <si>
    <t>B</t>
  </si>
  <si>
    <t>Debug.scad</t>
  </si>
  <si>
    <t/>
  </si>
  <si>
    <t>Junction</t>
  </si>
  <si>
    <t>Conditional formatting below this line (Restore by first selecting the range you want to reset and then using the macro "ResetFormat")</t>
  </si>
  <si>
    <t>X (m)</t>
  </si>
  <si>
    <t>Y (m)</t>
  </si>
  <si>
    <t>Z (m)</t>
  </si>
  <si>
    <t>"C:\Temp\XlsPipePlot-different_frameworks\XlsPipePlotSource\bin\Debug\XlsPipePlot.exe"</t>
  </si>
  <si>
    <t>V9823</t>
  </si>
  <si>
    <t>Cylinder.scad</t>
  </si>
  <si>
    <t>To-BDAHSG-01</t>
  </si>
  <si>
    <t>Tee towards SV9829 0.372 m</t>
  </si>
  <si>
    <t>FE648</t>
  </si>
  <si>
    <t>V9824</t>
  </si>
  <si>
    <t>BDAHSG-01  unit A</t>
  </si>
  <si>
    <t>BDAHSG-01A</t>
  </si>
  <si>
    <t>BDAHSG-01  unit B</t>
  </si>
  <si>
    <t>BDAHSG-01B</t>
  </si>
  <si>
    <t>0366-1-58-6</t>
  </si>
  <si>
    <t>Flange</t>
  </si>
  <si>
    <t>SV9829</t>
  </si>
  <si>
    <t>Connects to shell side of BDAHSG-01 unit B</t>
  </si>
  <si>
    <t>System 711 after BDAHSG-01 (unit B)</t>
  </si>
  <si>
    <t>Relief valve 711-9829</t>
  </si>
  <si>
    <t>Connecting pipe from shell outlet of unit A to inlet of tube package 1 in unit B (B1)</t>
  </si>
  <si>
    <t>System 711 before BDAHSG-01 (unit B)</t>
  </si>
  <si>
    <t>Connecting pipe from tube side outlet of unit A  to inlet of B2</t>
  </si>
  <si>
    <t>Connecting pipe from B2 outlet</t>
  </si>
  <si>
    <t>Connecting pipe from outlet B1 to inlet tube side unit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</si>
</sst>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\°"/>
    <numFmt numFmtId="165" formatCode="0.000\ \m"/>
    <numFmt numFmtId="166" formatCode="0.00\ \m\m"/>
    <numFmt numFmtId="167" formatCode="0.000"/>
    <numFmt numFmtId="168" formatCode="0.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2">
    <xf numFmtId="0" fontId="0" fillId="0" borderId="0" xfId="0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0" fontId="6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165" fontId="1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/>
    <xf numFmtId="164" fontId="9" fillId="0" borderId="0" xfId="0" applyNumberFormat="1" applyFont="1" applyFill="1"/>
    <xf numFmtId="166" fontId="9" fillId="0" borderId="0" xfId="0" applyNumberFormat="1" applyFont="1" applyFill="1"/>
    <xf numFmtId="0" fontId="0" fillId="0" borderId="0" xfId="0" quotePrefix="1"/>
    <xf numFmtId="0" fontId="7" fillId="0" borderId="0" xfId="0" applyNumberFormat="1" applyFont="1" applyFill="1"/>
    <xf numFmtId="0" fontId="6" fillId="0" borderId="0" xfId="0" applyNumberFormat="1" applyFont="1" applyFill="1"/>
    <xf numFmtId="168" fontId="1" fillId="2" borderId="0" xfId="0" applyNumberFormat="1" applyFont="1" applyFill="1" applyAlignment="1">
      <alignment vertical="top"/>
    </xf>
    <xf numFmtId="168" fontId="0" fillId="2" borderId="0" xfId="0" applyNumberFormat="1" applyFill="1"/>
    <xf numFmtId="168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/>
  </cellXfs>
  <cellStyles count="2">
    <cellStyle name="Hyperlänk" xfId="1" builtinId="8"/>
    <cellStyle name="Normal" xfId="0" builtinId="0"/>
  </cellStyles>
  <dxfs count="19"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57150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57150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57150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419100</xdr:colOff>
          <xdr:row>3</xdr:row>
          <xdr:rowOff>47625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C:\Temp\XlsPipePlot-different_frameworks\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5"/>
  <dimension ref="A1:Z337"/>
  <sheetViews>
    <sheetView tabSelected="1" zoomScale="85" zoomScaleNormal="85" workbookViewId="0">
      <pane ySplit="4" topLeftCell="A5" activePane="bottomLeft" state="frozenSplit"/>
      <selection pane="bottomLeft" activeCell="E33" sqref="E33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26" s="12" customFormat="1" ht="18" x14ac:dyDescent="0.25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x14ac:dyDescent="0.25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x14ac:dyDescent="0.25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x14ac:dyDescent="0.25">
      <c r="X4" s="38"/>
      <c r="Y4" s="38"/>
      <c r="Z4" s="38"/>
    </row>
    <row r="5" spans="1:26" ht="18.75" x14ac:dyDescent="0.3">
      <c r="A5" s="15" t="s">
        <v>31</v>
      </c>
      <c r="D5" s="34" t="s">
        <v>46</v>
      </c>
      <c r="O5"/>
      <c r="P5"/>
    </row>
    <row r="6" spans="1:26" x14ac:dyDescent="0.25">
      <c r="A6" s="40" t="s">
        <v>32</v>
      </c>
      <c r="B6" s="40"/>
      <c r="C6" s="40"/>
      <c r="D6" s="41" t="s">
        <v>52</v>
      </c>
      <c r="E6" s="41"/>
      <c r="F6" s="41"/>
      <c r="G6" s="41"/>
      <c r="O6"/>
      <c r="P6"/>
    </row>
    <row r="7" spans="1:26" x14ac:dyDescent="0.25">
      <c r="A7" t="s">
        <v>42</v>
      </c>
      <c r="D7" s="5" t="str">
        <f>HYPERLINK(SUBSTITUTE(D6,"XlsPipePlot.exe","Components\"))</f>
        <v>"C:\Temp\XlsPipePlot-different_frameworks\XlsPipePlotSource\bin\Debug\Components\"</v>
      </c>
      <c r="O7"/>
      <c r="P7"/>
    </row>
    <row r="8" spans="1:26" x14ac:dyDescent="0.25">
      <c r="A8" s="40" t="s">
        <v>33</v>
      </c>
      <c r="B8" s="40"/>
      <c r="C8" s="40"/>
      <c r="D8" s="5" t="s">
        <v>34</v>
      </c>
      <c r="O8"/>
      <c r="P8"/>
    </row>
    <row r="9" spans="1:26" x14ac:dyDescent="0.25">
      <c r="O9"/>
      <c r="P9"/>
    </row>
    <row r="10" spans="1:26" ht="18.75" x14ac:dyDescent="0.3">
      <c r="A10" s="15" t="s">
        <v>35</v>
      </c>
      <c r="O10"/>
      <c r="P10"/>
    </row>
    <row r="11" spans="1:26" x14ac:dyDescent="0.25">
      <c r="A11" t="s">
        <v>36</v>
      </c>
      <c r="O11"/>
      <c r="P11"/>
    </row>
    <row r="12" spans="1:26" ht="18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x14ac:dyDescent="0.25">
      <c r="A13" s="21" t="s">
        <v>24</v>
      </c>
      <c r="B13" s="22" t="str">
        <f>D27</f>
        <v>PIPE_27</v>
      </c>
      <c r="C13" s="23">
        <v>1</v>
      </c>
      <c r="D13" s="24">
        <v>0</v>
      </c>
      <c r="E13" s="25">
        <v>0</v>
      </c>
      <c r="F13" s="26">
        <v>107.24</v>
      </c>
      <c r="O13"/>
      <c r="P13"/>
    </row>
    <row r="14" spans="1:26" x14ac:dyDescent="0.25">
      <c r="A14" s="21"/>
      <c r="B14" s="22"/>
      <c r="C14" s="23"/>
      <c r="D14" s="24"/>
      <c r="E14" s="25"/>
      <c r="F14" s="26"/>
      <c r="O14"/>
      <c r="P14"/>
    </row>
    <row r="15" spans="1:26" x14ac:dyDescent="0.25">
      <c r="A15" s="21"/>
      <c r="B15" s="22"/>
      <c r="C15" s="23"/>
      <c r="D15" s="24"/>
      <c r="E15" s="25"/>
      <c r="F15" s="26"/>
      <c r="O15"/>
      <c r="P15"/>
    </row>
    <row r="16" spans="1:26" x14ac:dyDescent="0.25">
      <c r="A16" s="21"/>
      <c r="B16" s="22"/>
      <c r="C16" s="23"/>
      <c r="D16" s="24"/>
      <c r="E16" s="25"/>
      <c r="F16" s="26"/>
      <c r="O16"/>
      <c r="P16"/>
    </row>
    <row r="17" spans="1:26" x14ac:dyDescent="0.25">
      <c r="A17" s="21"/>
      <c r="B17" s="22"/>
      <c r="C17" s="23"/>
      <c r="D17" s="24"/>
      <c r="E17" s="25"/>
      <c r="F17" s="26"/>
      <c r="O17"/>
      <c r="P17"/>
    </row>
    <row r="18" spans="1:26" x14ac:dyDescent="0.25">
      <c r="A18" s="27"/>
      <c r="B18" s="27"/>
      <c r="C18" s="27"/>
      <c r="D18" s="28"/>
      <c r="E18" s="28"/>
      <c r="F18" s="28"/>
      <c r="O18"/>
      <c r="P18"/>
    </row>
    <row r="19" spans="1:26" x14ac:dyDescent="0.25">
      <c r="O19"/>
      <c r="P19"/>
    </row>
    <row r="20" spans="1:26" x14ac:dyDescent="0.25">
      <c r="O20"/>
      <c r="P20"/>
    </row>
    <row r="21" spans="1:26" ht="15.75" thickBot="1" x14ac:dyDescent="0.3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6" x14ac:dyDescent="0.25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6" x14ac:dyDescent="0.25">
      <c r="A23" s="7"/>
      <c r="B23" s="7"/>
      <c r="C23" s="30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6" x14ac:dyDescent="0.25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6" x14ac:dyDescent="0.25">
      <c r="A25" s="7"/>
      <c r="B25" s="7"/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6" x14ac:dyDescent="0.25">
      <c r="A26" s="7" t="s">
        <v>25</v>
      </c>
      <c r="B26" s="7" t="s">
        <v>70</v>
      </c>
      <c r="C26" s="30"/>
      <c r="D26" s="7"/>
      <c r="E26" s="7"/>
      <c r="F26" s="31"/>
      <c r="G26" s="32"/>
      <c r="H26" s="32"/>
      <c r="I26" s="32"/>
      <c r="J26" s="29"/>
      <c r="K26" s="29"/>
      <c r="L26" s="29"/>
      <c r="M26" s="33"/>
      <c r="N26" s="33"/>
      <c r="O26" s="36"/>
      <c r="P26" s="36"/>
      <c r="Q26" s="7"/>
      <c r="R26" s="31"/>
      <c r="S26" s="7"/>
      <c r="T26" s="31"/>
      <c r="U26" s="7"/>
      <c r="V26" s="7"/>
      <c r="X26" s="39">
        <f t="shared" ref="X26:Y26" si="0">D13</f>
        <v>0</v>
      </c>
      <c r="Y26" s="39">
        <f t="shared" si="0"/>
        <v>0</v>
      </c>
      <c r="Z26" s="39">
        <f>F13</f>
        <v>107.24</v>
      </c>
    </row>
    <row r="27" spans="1:26" x14ac:dyDescent="0.25">
      <c r="A27" s="7" t="s">
        <v>7</v>
      </c>
      <c r="B27" s="7" t="s">
        <v>7</v>
      </c>
      <c r="C27" s="30" t="s">
        <v>7</v>
      </c>
      <c r="D27" s="7" t="str">
        <f t="shared" ref="D27:D37" si="1">CONCATENATE("PIPE_",ROW())</f>
        <v>PIPE_27</v>
      </c>
      <c r="E27" s="7"/>
      <c r="F27" s="31">
        <f>0.229+0.73</f>
        <v>0.95899999999999996</v>
      </c>
      <c r="G27" s="32">
        <v>0</v>
      </c>
      <c r="H27" s="32">
        <v>180</v>
      </c>
      <c r="I27" s="32">
        <v>0</v>
      </c>
      <c r="J27" s="29">
        <v>0</v>
      </c>
      <c r="K27" s="29">
        <v>0</v>
      </c>
      <c r="L27" s="29">
        <v>0</v>
      </c>
      <c r="M27" s="33">
        <v>168.3</v>
      </c>
      <c r="N27" s="33">
        <v>7.11</v>
      </c>
      <c r="O27" s="36">
        <v>1.36</v>
      </c>
      <c r="P27" s="36"/>
      <c r="Q27" s="7"/>
      <c r="R27" s="31"/>
      <c r="S27" s="7"/>
      <c r="T27" s="31"/>
      <c r="U27" s="7"/>
      <c r="V27" s="7"/>
      <c r="X27" s="39">
        <f>IF(OR(A27="volume",A27="pipe",A27="junction"),X26+F27*COS(G27*PI()/180)*COS(H27*PI()/180)+J27,X26)</f>
        <v>-0.95899999999999996</v>
      </c>
      <c r="Y27" s="39">
        <f>IF(OR(A27="volume",A27="pipe",A27="junction"),Y26+F27*COS(G27*PI()/180)*SIN(H27*PI()/180)+K27,Y26)</f>
        <v>1.1749173682573664E-16</v>
      </c>
      <c r="Z27" s="39">
        <f>IF(OR(A27="volume",A27="pipe",A27="junction"),Z26+F27*SIN(G27*PI()/180)+L27,Z26)</f>
        <v>107.24</v>
      </c>
    </row>
    <row r="28" spans="1:26" x14ac:dyDescent="0.25">
      <c r="A28" s="7" t="s">
        <v>7</v>
      </c>
      <c r="B28" s="7" t="s">
        <v>7</v>
      </c>
      <c r="C28" s="30" t="s">
        <v>7</v>
      </c>
      <c r="D28" s="7" t="str">
        <f t="shared" si="1"/>
        <v>PIPE_28</v>
      </c>
      <c r="E28" s="7"/>
      <c r="F28" s="31">
        <v>0.9</v>
      </c>
      <c r="G28" s="32">
        <v>0</v>
      </c>
      <c r="H28" s="32">
        <v>180</v>
      </c>
      <c r="I28" s="32">
        <v>0</v>
      </c>
      <c r="J28" s="29">
        <v>0</v>
      </c>
      <c r="K28" s="29">
        <v>0</v>
      </c>
      <c r="L28" s="29">
        <v>0</v>
      </c>
      <c r="M28" s="33">
        <v>168.3</v>
      </c>
      <c r="N28" s="33">
        <v>7.11</v>
      </c>
      <c r="O28" s="36">
        <v>1.28</v>
      </c>
      <c r="P28" s="36"/>
      <c r="Q28" s="7"/>
      <c r="R28" s="31"/>
      <c r="S28" s="7"/>
      <c r="T28" s="31"/>
      <c r="U28" s="7"/>
      <c r="V28" s="7"/>
      <c r="X28" s="39">
        <f>IF(OR(A28="volume",A28="pipe",A28="junction"),X27+F28*COS(G28*PI()/180)*COS(H28*PI()/180)+J28,X27)</f>
        <v>-1.859</v>
      </c>
      <c r="Y28" s="39">
        <f>IF(OR(A28="volume",A28="pipe",A28="junction"),Y27+F28*COS(G28*PI()/180)*SIN(H28*PI()/180)+K28,Y27)</f>
        <v>2.2775509776751247E-16</v>
      </c>
      <c r="Z28" s="39">
        <f>IF(OR(A28="volume",A28="pipe",A28="junction"),Z27+F28*SIN(G28*PI()/180)+L28,Z27)</f>
        <v>107.24</v>
      </c>
    </row>
    <row r="29" spans="1:26" x14ac:dyDescent="0.25">
      <c r="A29" s="7" t="s">
        <v>7</v>
      </c>
      <c r="B29" s="7" t="s">
        <v>7</v>
      </c>
      <c r="C29" s="30" t="s">
        <v>7</v>
      </c>
      <c r="D29" s="7" t="str">
        <f t="shared" si="1"/>
        <v>PIPE_29</v>
      </c>
      <c r="E29" s="7"/>
      <c r="F29" s="31">
        <f>0.229+1.475+1.475+0.1</f>
        <v>3.2790000000000004</v>
      </c>
      <c r="G29" s="32">
        <v>-90</v>
      </c>
      <c r="H29" s="32">
        <v>0</v>
      </c>
      <c r="I29" s="32">
        <v>0</v>
      </c>
      <c r="J29" s="29">
        <v>0</v>
      </c>
      <c r="K29" s="29">
        <v>0</v>
      </c>
      <c r="L29" s="29">
        <v>0</v>
      </c>
      <c r="M29" s="33">
        <v>168.3</v>
      </c>
      <c r="N29" s="33">
        <v>7.11</v>
      </c>
      <c r="O29" s="36">
        <v>1.28</v>
      </c>
      <c r="P29" s="36"/>
      <c r="Q29" s="7"/>
      <c r="R29" s="31"/>
      <c r="S29" s="7"/>
      <c r="T29" s="31"/>
      <c r="U29" s="7"/>
      <c r="V29" s="7"/>
      <c r="X29" s="39">
        <f>IF(OR(A29="volume",A29="pipe",A29="junction"),X28+F29*COS(G29*PI()/180)*COS(H29*PI()/180)+J29,X28)</f>
        <v>-1.8589999999999998</v>
      </c>
      <c r="Y29" s="39">
        <f>IF(OR(A29="volume",A29="pipe",A29="junction"),Y28+F29*COS(G29*PI()/180)*SIN(H29*PI()/180)+K29,Y28)</f>
        <v>2.2775509776751247E-16</v>
      </c>
      <c r="Z29" s="39">
        <f>IF(OR(A29="volume",A29="pipe",A29="junction"),Z28+F29*SIN(G29*PI()/180)+L29,Z28)</f>
        <v>103.961</v>
      </c>
    </row>
    <row r="30" spans="1:26" x14ac:dyDescent="0.25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6"/>
      <c r="P30" s="36"/>
      <c r="Q30" s="7"/>
      <c r="R30" s="31"/>
      <c r="S30" s="7"/>
      <c r="T30" s="31"/>
      <c r="U30" s="7"/>
      <c r="V30" s="7"/>
      <c r="X30" s="39">
        <f>IF(OR(A30="volume",A30="pipe",A30="junction"),X29+F30*COS(G30*PI()/180)*COS(H30*PI()/180)+J30,X29)</f>
        <v>-1.8589999999999998</v>
      </c>
      <c r="Y30" s="39">
        <f>IF(OR(A30="volume",A30="pipe",A30="junction"),Y29+F30*COS(G30*PI()/180)*SIN(H30*PI()/180)+K30,Y29)</f>
        <v>2.2775509776751247E-16</v>
      </c>
      <c r="Z30" s="39">
        <f>IF(OR(A30="volume",A30="pipe",A30="junction"),Z29+F30*SIN(G30*PI()/180)+L30,Z29)</f>
        <v>103.961</v>
      </c>
    </row>
    <row r="31" spans="1:26" x14ac:dyDescent="0.25">
      <c r="A31" s="7" t="s">
        <v>47</v>
      </c>
      <c r="B31" s="7" t="s">
        <v>9</v>
      </c>
      <c r="C31" s="30" t="s">
        <v>53</v>
      </c>
      <c r="D31" s="7" t="str">
        <f>CONCATENATE("COMP_",ROW())</f>
        <v>COMP_31</v>
      </c>
      <c r="E31" s="7" t="s">
        <v>54</v>
      </c>
      <c r="F31" s="31">
        <v>0.08</v>
      </c>
      <c r="G31" s="32">
        <v>-90</v>
      </c>
      <c r="H31" s="32">
        <v>0</v>
      </c>
      <c r="I31" s="32">
        <v>0</v>
      </c>
      <c r="J31" s="29">
        <v>0</v>
      </c>
      <c r="K31" s="29">
        <v>0</v>
      </c>
      <c r="L31" s="29">
        <v>0</v>
      </c>
      <c r="M31" s="33">
        <v>168.3</v>
      </c>
      <c r="N31" s="33">
        <v>7.11</v>
      </c>
      <c r="O31" s="36"/>
      <c r="P31" s="36"/>
      <c r="Q31" s="7" t="str">
        <f ca="1">OFFSET($A$1,ROW()-3,3)</f>
        <v>PIPE_29</v>
      </c>
      <c r="R31" s="31" t="s">
        <v>44</v>
      </c>
      <c r="S31" s="7" t="str">
        <f ca="1">OFFSET($A$1,ROW()+1,3)</f>
        <v>PIPE_33</v>
      </c>
      <c r="T31" s="31" t="s">
        <v>43</v>
      </c>
      <c r="U31" s="7"/>
      <c r="V31" s="7"/>
      <c r="X31" s="39">
        <f>IF(OR(A31="volume",A31="pipe",A31="junction"),X30+F31*COS(G31*PI()/180)*COS(H31*PI()/180)+J31,X30)</f>
        <v>-1.8589999999999998</v>
      </c>
      <c r="Y31" s="39">
        <f>IF(OR(A31="volume",A31="pipe",A31="junction"),Y30+F31*COS(G31*PI()/180)*SIN(H31*PI()/180)+K31,Y30)</f>
        <v>2.2775509776751247E-16</v>
      </c>
      <c r="Z31" s="39">
        <f>IF(OR(A31="volume",A31="pipe",A31="junction"),Z30+F31*SIN(G31*PI()/180)+L31,Z30)</f>
        <v>103.881</v>
      </c>
    </row>
    <row r="32" spans="1:26" x14ac:dyDescent="0.25">
      <c r="A32" s="7"/>
      <c r="B32" s="7"/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  <c r="X32" s="39">
        <f>IF(OR(A32="volume",A32="pipe",A32="junction"),X31+F32*COS(G32*PI()/180)*COS(H32*PI()/180)+J32,X31)</f>
        <v>-1.8589999999999998</v>
      </c>
      <c r="Y32" s="39">
        <f>IF(OR(A32="volume",A32="pipe",A32="junction"),Y31+F32*COS(G32*PI()/180)*SIN(H32*PI()/180)+K32,Y31)</f>
        <v>2.2775509776751247E-16</v>
      </c>
      <c r="Z32" s="39">
        <f>IF(OR(A32="volume",A32="pipe",A32="junction"),Z31+F32*SIN(G32*PI()/180)+L32,Z31)</f>
        <v>103.881</v>
      </c>
    </row>
    <row r="33" spans="1:26" x14ac:dyDescent="0.25">
      <c r="A33" s="7" t="s">
        <v>7</v>
      </c>
      <c r="B33" s="7" t="s">
        <v>7</v>
      </c>
      <c r="C33" s="30" t="s">
        <v>7</v>
      </c>
      <c r="D33" s="7" t="str">
        <f t="shared" si="1"/>
        <v>PIPE_33</v>
      </c>
      <c r="E33" s="7"/>
      <c r="F33" s="31">
        <f>0.1+3.65+0.229</f>
        <v>3.9790000000000001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168.3</v>
      </c>
      <c r="N33" s="33">
        <v>7.11</v>
      </c>
      <c r="O33" s="36">
        <v>1.28</v>
      </c>
      <c r="P33" s="36"/>
      <c r="Q33" s="7"/>
      <c r="R33" s="31"/>
      <c r="S33" s="7"/>
      <c r="T33" s="31"/>
      <c r="U33" s="7"/>
      <c r="V33" s="7"/>
      <c r="X33" s="39">
        <f>IF(OR(A33="volume",A33="pipe",A33="junction"),X32+F33*COS(G33*PI()/180)*COS(H33*PI()/180)+J33,X32)</f>
        <v>-1.8589999999999995</v>
      </c>
      <c r="Y33" s="39">
        <f>IF(OR(A33="volume",A33="pipe",A33="junction"),Y32+F33*COS(G33*PI()/180)*SIN(H33*PI()/180)+K33,Y32)</f>
        <v>2.2775509776751247E-16</v>
      </c>
      <c r="Z33" s="39">
        <f>IF(OR(A33="volume",A33="pipe",A33="junction"),Z32+F33*SIN(G33*PI()/180)+L33,Z32)</f>
        <v>99.902000000000001</v>
      </c>
    </row>
    <row r="34" spans="1:26" x14ac:dyDescent="0.25">
      <c r="A34" s="7" t="s">
        <v>7</v>
      </c>
      <c r="B34" s="7" t="s">
        <v>7</v>
      </c>
      <c r="C34" s="30" t="s">
        <v>7</v>
      </c>
      <c r="D34" s="7" t="str">
        <f t="shared" si="1"/>
        <v>PIPE_34</v>
      </c>
      <c r="E34" s="7"/>
      <c r="F34" s="31">
        <v>0.75</v>
      </c>
      <c r="G34" s="32">
        <v>0</v>
      </c>
      <c r="H34" s="32">
        <v>270</v>
      </c>
      <c r="I34" s="32">
        <v>0</v>
      </c>
      <c r="J34" s="29">
        <v>0</v>
      </c>
      <c r="K34" s="29">
        <v>0</v>
      </c>
      <c r="L34" s="29">
        <v>0</v>
      </c>
      <c r="M34" s="33">
        <v>168.3</v>
      </c>
      <c r="N34" s="33">
        <v>7.11</v>
      </c>
      <c r="O34" s="36">
        <v>1.28</v>
      </c>
      <c r="P34" s="36"/>
      <c r="Q34" s="7"/>
      <c r="R34" s="31"/>
      <c r="S34" s="7"/>
      <c r="T34" s="31"/>
      <c r="U34" s="7"/>
      <c r="V34" s="7"/>
      <c r="X34" s="39">
        <f>IF(OR(A34="volume",A34="pipe",A34="junction"),X33+F34*COS(G34*PI()/180)*COS(H34*PI()/180)+J34,X33)</f>
        <v>-1.8589999999999998</v>
      </c>
      <c r="Y34" s="39">
        <f>IF(OR(A34="volume",A34="pipe",A34="junction"),Y33+F34*COS(G34*PI()/180)*SIN(H34*PI()/180)+K34,Y33)</f>
        <v>-0.74999999999999978</v>
      </c>
      <c r="Z34" s="39">
        <f>IF(OR(A34="volume",A34="pipe",A34="junction"),Z33+F34*SIN(G34*PI()/180)+L34,Z33)</f>
        <v>99.902000000000001</v>
      </c>
    </row>
    <row r="35" spans="1:26" x14ac:dyDescent="0.25">
      <c r="A35" s="7" t="s">
        <v>7</v>
      </c>
      <c r="B35" s="7" t="s">
        <v>7</v>
      </c>
      <c r="C35" s="30" t="s">
        <v>7</v>
      </c>
      <c r="D35" s="7" t="str">
        <f t="shared" si="1"/>
        <v>PIPE_35</v>
      </c>
      <c r="E35" s="7"/>
      <c r="F35" s="31">
        <v>4.5</v>
      </c>
      <c r="G35" s="32">
        <v>0</v>
      </c>
      <c r="H35" s="32">
        <v>180</v>
      </c>
      <c r="I35" s="32">
        <v>0</v>
      </c>
      <c r="J35" s="29">
        <v>0</v>
      </c>
      <c r="K35" s="29">
        <v>0</v>
      </c>
      <c r="L35" s="29">
        <v>0</v>
      </c>
      <c r="M35" s="33">
        <v>168.3</v>
      </c>
      <c r="N35" s="33">
        <v>7.11</v>
      </c>
      <c r="O35" s="36">
        <v>1.28</v>
      </c>
      <c r="P35" s="36"/>
      <c r="Q35" s="7"/>
      <c r="R35" s="31"/>
      <c r="S35" s="7"/>
      <c r="T35" s="31"/>
      <c r="U35" s="7"/>
      <c r="V35" s="7"/>
      <c r="X35" s="39">
        <f>IF(OR(A35="volume",A35="pipe",A35="junction"),X34+F35*COS(G35*PI()/180)*COS(H35*PI()/180)+J35,X34)</f>
        <v>-6.359</v>
      </c>
      <c r="Y35" s="39">
        <f>IF(OR(A35="volume",A35="pipe",A35="junction"),Y34+F35*COS(G35*PI()/180)*SIN(H35*PI()/180)+K35,Y34)</f>
        <v>-0.74999999999999922</v>
      </c>
      <c r="Z35" s="39">
        <f>IF(OR(A35="volume",A35="pipe",A35="junction"),Z34+F35*SIN(G35*PI()/180)+L35,Z34)</f>
        <v>99.902000000000001</v>
      </c>
    </row>
    <row r="36" spans="1:26" x14ac:dyDescent="0.25">
      <c r="A36" s="7" t="s">
        <v>7</v>
      </c>
      <c r="B36" s="7" t="s">
        <v>7</v>
      </c>
      <c r="C36" s="30" t="s">
        <v>7</v>
      </c>
      <c r="D36" s="7" t="str">
        <f t="shared" si="1"/>
        <v>PIPE_36</v>
      </c>
      <c r="E36" s="7"/>
      <c r="F36" s="31">
        <v>2</v>
      </c>
      <c r="G36" s="32">
        <v>-90</v>
      </c>
      <c r="H36" s="32">
        <v>0</v>
      </c>
      <c r="I36" s="32">
        <v>0</v>
      </c>
      <c r="J36" s="29">
        <v>0</v>
      </c>
      <c r="K36" s="29">
        <v>0</v>
      </c>
      <c r="L36" s="29">
        <v>0</v>
      </c>
      <c r="M36" s="33">
        <v>168.3</v>
      </c>
      <c r="N36" s="33">
        <v>7.11</v>
      </c>
      <c r="O36" s="36">
        <v>1.28</v>
      </c>
      <c r="P36" s="36"/>
      <c r="Q36" s="7"/>
      <c r="R36" s="31"/>
      <c r="S36" s="7"/>
      <c r="T36" s="31"/>
      <c r="U36" s="7"/>
      <c r="V36" s="7"/>
      <c r="X36" s="39">
        <f>IF(OR(A36="volume",A36="pipe",A36="junction"),X35+F36*COS(G36*PI()/180)*COS(H36*PI()/180)+J36,X35)</f>
        <v>-6.359</v>
      </c>
      <c r="Y36" s="39">
        <f>IF(OR(A36="volume",A36="pipe",A36="junction"),Y35+F36*COS(G36*PI()/180)*SIN(H36*PI()/180)+K36,Y35)</f>
        <v>-0.74999999999999922</v>
      </c>
      <c r="Z36" s="39">
        <f>IF(OR(A36="volume",A36="pipe",A36="junction"),Z35+F36*SIN(G36*PI()/180)+L36,Z35)</f>
        <v>97.902000000000001</v>
      </c>
    </row>
    <row r="37" spans="1:26" x14ac:dyDescent="0.25">
      <c r="A37" s="7" t="s">
        <v>7</v>
      </c>
      <c r="B37" s="7" t="s">
        <v>7</v>
      </c>
      <c r="C37" s="30" t="s">
        <v>7</v>
      </c>
      <c r="D37" s="7" t="str">
        <f t="shared" si="1"/>
        <v>PIPE_37</v>
      </c>
      <c r="E37" s="7"/>
      <c r="F37" s="31">
        <v>0.629</v>
      </c>
      <c r="G37" s="32">
        <v>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168.3</v>
      </c>
      <c r="N37" s="33">
        <v>7.11</v>
      </c>
      <c r="O37" s="36">
        <v>1.28</v>
      </c>
      <c r="P37" s="36"/>
      <c r="Q37" s="7"/>
      <c r="R37" s="31"/>
      <c r="S37" s="7"/>
      <c r="T37" s="31"/>
      <c r="U37" s="7"/>
      <c r="V37" s="7"/>
      <c r="X37" s="39">
        <f>IF(OR(A37="volume",A37="pipe",A37="junction"),X36+F37*COS(G37*PI()/180)*COS(H37*PI()/180)+J37,X36)</f>
        <v>-5.73</v>
      </c>
      <c r="Y37" s="39">
        <f>IF(OR(A37="volume",A37="pipe",A37="junction"),Y36+F37*COS(G37*PI()/180)*SIN(H37*PI()/180)+K37,Y36)</f>
        <v>-0.74999999999999922</v>
      </c>
      <c r="Z37" s="39">
        <f>IF(OR(A37="volume",A37="pipe",A37="junction"),Z36+F37*SIN(G37*PI()/180)+L37,Z36)</f>
        <v>97.902000000000001</v>
      </c>
    </row>
    <row r="38" spans="1:26" x14ac:dyDescent="0.25">
      <c r="A38" s="7"/>
      <c r="B38" s="7"/>
      <c r="C38" s="30"/>
      <c r="D38" s="7"/>
      <c r="E38" s="7"/>
      <c r="F38" s="31"/>
      <c r="G38" s="32"/>
      <c r="H38" s="32"/>
      <c r="I38" s="32"/>
      <c r="J38" s="29"/>
      <c r="K38" s="29"/>
      <c r="L38" s="29"/>
      <c r="M38" s="33"/>
      <c r="N38" s="33"/>
      <c r="O38" s="36"/>
      <c r="P38" s="36"/>
      <c r="Q38" s="7"/>
      <c r="R38" s="31"/>
      <c r="S38" s="7"/>
      <c r="T38" s="31"/>
      <c r="U38" s="7"/>
      <c r="V38" s="7"/>
      <c r="X38" s="39">
        <f>IF(OR(A38="volume",A38="pipe",A38="junction"),X37+F38*COS(G38*PI()/180)*COS(H38*PI()/180)+J38,X37)</f>
        <v>-5.73</v>
      </c>
      <c r="Y38" s="39">
        <f>IF(OR(A38="volume",A38="pipe",A38="junction"),Y37+F38*COS(G38*PI()/180)*SIN(H38*PI()/180)+K38,Y37)</f>
        <v>-0.74999999999999922</v>
      </c>
      <c r="Z38" s="39">
        <f>IF(OR(A38="volume",A38="pipe",A38="junction"),Z37+F38*SIN(G38*PI()/180)+L38,Z37)</f>
        <v>97.902000000000001</v>
      </c>
    </row>
    <row r="39" spans="1:26" x14ac:dyDescent="0.25">
      <c r="A39" s="7" t="s">
        <v>47</v>
      </c>
      <c r="B39" s="7" t="s">
        <v>10</v>
      </c>
      <c r="C39" s="30" t="s">
        <v>55</v>
      </c>
      <c r="D39" s="7" t="str">
        <f>CONCATENATE("COMP_",ROW())</f>
        <v>COMP_39</v>
      </c>
      <c r="E39" s="7"/>
      <c r="F39" s="31">
        <v>0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125</v>
      </c>
      <c r="N39" s="33">
        <v>2.02</v>
      </c>
      <c r="O39" s="36"/>
      <c r="P39" s="36"/>
      <c r="Q39" s="7" t="str">
        <f ca="1">OFFSET($A$1,ROW()-3,3)</f>
        <v>PIPE_37</v>
      </c>
      <c r="R39" s="31" t="s">
        <v>44</v>
      </c>
      <c r="S39" s="7" t="str">
        <f>D91</f>
        <v>VOL_91</v>
      </c>
      <c r="T39" s="31" t="s">
        <v>44</v>
      </c>
      <c r="U39" s="7"/>
      <c r="V39" s="7"/>
      <c r="X39" s="39">
        <f>IF(OR(A39="volume",A39="pipe",A39="junction"),X38+F39*COS(G39*PI()/180)*COS(H39*PI()/180)+J39,X38)</f>
        <v>-5.73</v>
      </c>
      <c r="Y39" s="39">
        <f>IF(OR(A39="volume",A39="pipe",A39="junction"),Y38+F39*COS(G39*PI()/180)*SIN(H39*PI()/180)+K39,Y38)</f>
        <v>-0.74999999999999922</v>
      </c>
      <c r="Z39" s="39">
        <f>IF(OR(A39="volume",A39="pipe",A39="junction"),Z38+F39*SIN(G39*PI()/180)+L39,Z38)</f>
        <v>97.902000000000001</v>
      </c>
    </row>
    <row r="40" spans="1:26" x14ac:dyDescent="0.25">
      <c r="A40" s="7" t="s">
        <v>66</v>
      </c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  <c r="X40" s="39">
        <f>IF(OR(A40="volume",A40="pipe",A40="junction"),X39+F40*COS(G40*PI()/180)*COS(H40*PI()/180)+J40,X39)</f>
        <v>-5.73</v>
      </c>
      <c r="Y40" s="39">
        <f>IF(OR(A40="volume",A40="pipe",A40="junction"),Y39+F40*COS(G40*PI()/180)*SIN(H40*PI()/180)+K40,Y39)</f>
        <v>-0.74999999999999922</v>
      </c>
      <c r="Z40" s="39">
        <f>IF(OR(A40="volume",A40="pipe",A40="junction"),Z39+F40*SIN(G40*PI()/180)+L40,Z39)</f>
        <v>97.902000000000001</v>
      </c>
    </row>
    <row r="41" spans="1:26" x14ac:dyDescent="0.25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</row>
    <row r="42" spans="1:26" x14ac:dyDescent="0.25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6" x14ac:dyDescent="0.25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</row>
    <row r="44" spans="1:26" x14ac:dyDescent="0.25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6" x14ac:dyDescent="0.25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6" x14ac:dyDescent="0.25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6" x14ac:dyDescent="0.25">
      <c r="A47" s="7" t="s">
        <v>25</v>
      </c>
      <c r="B47" s="7" t="s">
        <v>67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  <c r="X47" s="39">
        <f>X40-R48</f>
        <v>-6.9740000000000002</v>
      </c>
      <c r="Y47" s="39">
        <f>Y40</f>
        <v>-0.74999999999999922</v>
      </c>
      <c r="Z47" s="39">
        <f>Z40</f>
        <v>97.902000000000001</v>
      </c>
    </row>
    <row r="48" spans="1:26" x14ac:dyDescent="0.25">
      <c r="A48" s="7" t="s">
        <v>47</v>
      </c>
      <c r="B48" s="7" t="s">
        <v>10</v>
      </c>
      <c r="C48" s="30" t="s">
        <v>55</v>
      </c>
      <c r="D48" s="7" t="str">
        <f>CONCATENATE("COMP_",ROW())</f>
        <v>COMP_48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125</v>
      </c>
      <c r="N48" s="33">
        <v>2.02</v>
      </c>
      <c r="O48" s="36"/>
      <c r="P48" s="36"/>
      <c r="Q48" s="7" t="str">
        <f>D91</f>
        <v>VOL_91</v>
      </c>
      <c r="R48" s="31">
        <v>1.244</v>
      </c>
      <c r="S48" s="7" t="str">
        <f ca="1">OFFSET($A$1,ROW()+1,3)</f>
        <v>PIPE_50</v>
      </c>
      <c r="T48" s="31" t="s">
        <v>43</v>
      </c>
      <c r="U48" s="7"/>
      <c r="V48" s="7"/>
      <c r="X48" s="39">
        <f>IF(OR(A48="volume",A48="pipe",A48="junction"),X47+F48*COS(G48*PI()/180)*COS(H48*PI()/180)+J48,X47)</f>
        <v>-6.9740000000000002</v>
      </c>
      <c r="Y48" s="39">
        <f>IF(OR(A48="volume",A48="pipe",A48="junction"),Y47+F48*COS(G48*PI()/180)*SIN(H48*PI()/180)+K48,Y47)</f>
        <v>-0.74999999999999922</v>
      </c>
      <c r="Z48" s="39">
        <f>IF(OR(A48="volume",A48="pipe",A48="junction"),Z47+F48*SIN(G48*PI()/180)+L48,Z47)</f>
        <v>97.902000000000001</v>
      </c>
    </row>
    <row r="49" spans="1:26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  <c r="X49" s="39">
        <f>IF(OR(A49="volume",A49="pipe",A49="junction"),X48+F49*COS(G49*PI()/180)*COS(H49*PI()/180)+J49,X48)</f>
        <v>-6.9740000000000002</v>
      </c>
      <c r="Y49" s="39">
        <f>IF(OR(A49="volume",A49="pipe",A49="junction"),Y48+F49*COS(G49*PI()/180)*SIN(H49*PI()/180)+K49,Y48)</f>
        <v>-0.74999999999999922</v>
      </c>
      <c r="Z49" s="39">
        <f>IF(OR(A49="volume",A49="pipe",A49="junction"),Z48+F49*SIN(G49*PI()/180)+L49,Z48)</f>
        <v>97.902000000000001</v>
      </c>
    </row>
    <row r="50" spans="1:26" x14ac:dyDescent="0.25">
      <c r="A50" s="7" t="s">
        <v>7</v>
      </c>
      <c r="B50" s="7" t="s">
        <v>7</v>
      </c>
      <c r="C50" s="30" t="s">
        <v>7</v>
      </c>
      <c r="D50" s="7" t="str">
        <f t="shared" ref="D50:D60" si="2">CONCATENATE("PIPE_",ROW())</f>
        <v>PIPE_50</v>
      </c>
      <c r="E50" s="7"/>
      <c r="F50" s="31">
        <f>0.504/2+0.229</f>
        <v>0.48099999999999998</v>
      </c>
      <c r="G50" s="32">
        <v>0</v>
      </c>
      <c r="H50" s="32">
        <v>90</v>
      </c>
      <c r="I50" s="32">
        <v>0</v>
      </c>
      <c r="J50" s="29">
        <v>0</v>
      </c>
      <c r="K50" s="29">
        <v>0</v>
      </c>
      <c r="L50" s="29">
        <v>0</v>
      </c>
      <c r="M50" s="33">
        <v>168.3</v>
      </c>
      <c r="N50" s="33">
        <v>7.11</v>
      </c>
      <c r="O50" s="36">
        <v>1.36</v>
      </c>
      <c r="P50" s="36"/>
      <c r="Q50" s="7"/>
      <c r="R50" s="31"/>
      <c r="S50" s="7"/>
      <c r="T50" s="31"/>
      <c r="U50" s="7"/>
      <c r="V50" s="7"/>
      <c r="X50" s="39">
        <f>IF(OR(A50="volume",A50="pipe",A50="junction"),X49+F50*COS(G50*PI()/180)*COS(H50*PI()/180)+J50,X49)</f>
        <v>-6.9740000000000002</v>
      </c>
      <c r="Y50" s="39">
        <f>IF(OR(A50="volume",A50="pipe",A50="junction"),Y49+F50*COS(G50*PI()/180)*SIN(H50*PI()/180)+K50,Y49)</f>
        <v>-0.26899999999999924</v>
      </c>
      <c r="Z50" s="39">
        <f>IF(OR(A50="volume",A50="pipe",A50="junction"),Z49+F50*SIN(G50*PI()/180)+L50,Z49)</f>
        <v>97.902000000000001</v>
      </c>
    </row>
    <row r="51" spans="1:26" x14ac:dyDescent="0.25">
      <c r="A51" s="7" t="s">
        <v>7</v>
      </c>
      <c r="B51" s="7" t="s">
        <v>7</v>
      </c>
      <c r="C51" s="30" t="s">
        <v>7</v>
      </c>
      <c r="D51" s="7" t="str">
        <f t="shared" si="2"/>
        <v>PIPE_51</v>
      </c>
      <c r="E51" s="7"/>
      <c r="F51" s="31">
        <f>0.229+2*0.143+3.325+0.1-0.08/2</f>
        <v>3.9000000000000004</v>
      </c>
      <c r="G51" s="32">
        <v>90</v>
      </c>
      <c r="H51" s="32">
        <v>0</v>
      </c>
      <c r="I51" s="32">
        <v>0</v>
      </c>
      <c r="J51" s="29">
        <v>0</v>
      </c>
      <c r="K51" s="29">
        <v>0</v>
      </c>
      <c r="L51" s="29">
        <v>0</v>
      </c>
      <c r="M51" s="33">
        <v>168.3</v>
      </c>
      <c r="N51" s="33">
        <v>7.11</v>
      </c>
      <c r="O51" s="36">
        <v>1.36</v>
      </c>
      <c r="P51" s="36"/>
      <c r="Q51" s="7"/>
      <c r="R51" s="31"/>
      <c r="S51" s="7"/>
      <c r="T51" s="31"/>
      <c r="U51" s="7"/>
      <c r="V51" s="7" t="s">
        <v>56</v>
      </c>
      <c r="X51" s="39">
        <f>IF(OR(A51="volume",A51="pipe",A51="junction"),X50+F51*COS(G51*PI()/180)*COS(H51*PI()/180)+J51,X50)</f>
        <v>-6.9740000000000002</v>
      </c>
      <c r="Y51" s="39">
        <f>IF(OR(A51="volume",A51="pipe",A51="junction"),Y50+F51*COS(G51*PI()/180)*SIN(H51*PI()/180)+K51,Y50)</f>
        <v>-0.26899999999999924</v>
      </c>
      <c r="Z51" s="39">
        <f>IF(OR(A51="volume",A51="pipe",A51="junction"),Z50+F51*SIN(G51*PI()/180)+L51,Z50)</f>
        <v>101.80200000000001</v>
      </c>
    </row>
    <row r="52" spans="1:26" x14ac:dyDescent="0.25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  <c r="X52" s="39">
        <f>IF(OR(A52="volume",A52="pipe",A52="junction"),X51+F52*COS(G52*PI()/180)*COS(H52*PI()/180)+J52,X51)</f>
        <v>-6.9740000000000002</v>
      </c>
      <c r="Y52" s="39">
        <f>IF(OR(A52="volume",A52="pipe",A52="junction"),Y51+F52*COS(G52*PI()/180)*SIN(H52*PI()/180)+K52,Y51)</f>
        <v>-0.26899999999999924</v>
      </c>
      <c r="Z52" s="39">
        <f>IF(OR(A52="volume",A52="pipe",A52="junction"),Z51+F52*SIN(G52*PI()/180)+L52,Z51)</f>
        <v>101.80200000000001</v>
      </c>
    </row>
    <row r="53" spans="1:26" x14ac:dyDescent="0.25">
      <c r="A53" s="7" t="s">
        <v>47</v>
      </c>
      <c r="B53" s="7" t="s">
        <v>9</v>
      </c>
      <c r="C53" s="30" t="s">
        <v>57</v>
      </c>
      <c r="D53" s="7" t="str">
        <f>CONCATENATE("COMP_",ROW())</f>
        <v>COMP_53</v>
      </c>
      <c r="E53" s="7" t="s">
        <v>54</v>
      </c>
      <c r="F53" s="31">
        <v>0.08</v>
      </c>
      <c r="G53" s="32">
        <v>90</v>
      </c>
      <c r="H53" s="32">
        <v>0</v>
      </c>
      <c r="I53" s="32">
        <v>0</v>
      </c>
      <c r="J53" s="29">
        <v>0</v>
      </c>
      <c r="K53" s="29">
        <v>0</v>
      </c>
      <c r="L53" s="29">
        <v>0</v>
      </c>
      <c r="M53" s="33">
        <v>168.3</v>
      </c>
      <c r="N53" s="33">
        <v>7.11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  <c r="X53" s="39">
        <f>IF(OR(A53="volume",A53="pipe",A53="junction"),X52+F53*COS(G53*PI()/180)*COS(H53*PI()/180)+J53,X52)</f>
        <v>-6.9740000000000002</v>
      </c>
      <c r="Y53" s="39">
        <f>IF(OR(A53="volume",A53="pipe",A53="junction"),Y52+F53*COS(G53*PI()/180)*SIN(H53*PI()/180)+K53,Y52)</f>
        <v>-0.26899999999999924</v>
      </c>
      <c r="Z53" s="39">
        <f>IF(OR(A53="volume",A53="pipe",A53="junction"),Z52+F53*SIN(G53*PI()/180)+L53,Z52)</f>
        <v>101.88200000000001</v>
      </c>
    </row>
    <row r="54" spans="1:26" x14ac:dyDescent="0.25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  <c r="X54" s="39">
        <f>IF(OR(A54="volume",A54="pipe",A54="junction"),X53+F54*COS(G54*PI()/180)*COS(H54*PI()/180)+J54,X53)</f>
        <v>-6.9740000000000002</v>
      </c>
      <c r="Y54" s="39">
        <f>IF(OR(A54="volume",A54="pipe",A54="junction"),Y53+F54*COS(G54*PI()/180)*SIN(H54*PI()/180)+K54,Y53)</f>
        <v>-0.26899999999999924</v>
      </c>
      <c r="Z54" s="39">
        <f>IF(OR(A54="volume",A54="pipe",A54="junction"),Z53+F54*SIN(G54*PI()/180)+L54,Z53)</f>
        <v>101.88200000000001</v>
      </c>
    </row>
    <row r="55" spans="1:26" x14ac:dyDescent="0.25">
      <c r="A55" s="7" t="s">
        <v>7</v>
      </c>
      <c r="B55" s="7" t="s">
        <v>7</v>
      </c>
      <c r="C55" s="30" t="s">
        <v>7</v>
      </c>
      <c r="D55" s="7" t="str">
        <f t="shared" si="2"/>
        <v>PIPE_55</v>
      </c>
      <c r="E55" s="7"/>
      <c r="F55" s="31">
        <f>0.1-0.08/2+1.84</f>
        <v>1.9000000000000001</v>
      </c>
      <c r="G55" s="32">
        <v>90</v>
      </c>
      <c r="H55" s="32">
        <v>0</v>
      </c>
      <c r="I55" s="32">
        <v>0</v>
      </c>
      <c r="J55" s="29">
        <v>0</v>
      </c>
      <c r="K55" s="29">
        <v>0</v>
      </c>
      <c r="L55" s="29">
        <v>0</v>
      </c>
      <c r="M55" s="33">
        <v>168.3</v>
      </c>
      <c r="N55" s="33">
        <v>7.11</v>
      </c>
      <c r="O55" s="36">
        <v>1.28</v>
      </c>
      <c r="P55" s="36"/>
      <c r="Q55" s="7"/>
      <c r="R55" s="31"/>
      <c r="S55" s="7"/>
      <c r="T55" s="31"/>
      <c r="U55" s="7"/>
      <c r="V55" s="7"/>
      <c r="X55" s="39">
        <f>IF(OR(A55="volume",A55="pipe",A55="junction"),X54+F55*COS(G55*PI()/180)*COS(H55*PI()/180)+J55,X54)</f>
        <v>-6.9740000000000002</v>
      </c>
      <c r="Y55" s="39">
        <f>IF(OR(A55="volume",A55="pipe",A55="junction"),Y54+F55*COS(G55*PI()/180)*SIN(H55*PI()/180)+K55,Y54)</f>
        <v>-0.26899999999999924</v>
      </c>
      <c r="Z55" s="39">
        <f>IF(OR(A55="volume",A55="pipe",A55="junction"),Z54+F55*SIN(G55*PI()/180)+L55,Z54)</f>
        <v>103.78200000000001</v>
      </c>
    </row>
    <row r="56" spans="1:26" x14ac:dyDescent="0.25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  <c r="X56" s="39">
        <f>IF(OR(A56="volume",A56="pipe",A56="junction"),X55+F56*COS(G56*PI()/180)*COS(H56*PI()/180)+J56,X55)</f>
        <v>-6.9740000000000002</v>
      </c>
      <c r="Y56" s="39">
        <f>IF(OR(A56="volume",A56="pipe",A56="junction"),Y55+F56*COS(G56*PI()/180)*SIN(H56*PI()/180)+K56,Y55)</f>
        <v>-0.26899999999999924</v>
      </c>
      <c r="Z56" s="39">
        <f>IF(OR(A56="volume",A56="pipe",A56="junction"),Z55+F56*SIN(G56*PI()/180)+L56,Z55)</f>
        <v>103.78200000000001</v>
      </c>
    </row>
    <row r="57" spans="1:26" x14ac:dyDescent="0.25">
      <c r="A57" s="7" t="s">
        <v>47</v>
      </c>
      <c r="B57" s="7" t="s">
        <v>9</v>
      </c>
      <c r="C57" s="30" t="s">
        <v>58</v>
      </c>
      <c r="D57" s="7" t="str">
        <f>CONCATENATE("COMP_",ROW())</f>
        <v>COMP_57</v>
      </c>
      <c r="E57" s="7" t="s">
        <v>54</v>
      </c>
      <c r="F57" s="31">
        <v>7.5999999999999998E-2</v>
      </c>
      <c r="G57" s="32">
        <v>90</v>
      </c>
      <c r="H57" s="32">
        <v>0</v>
      </c>
      <c r="I57" s="32">
        <v>0</v>
      </c>
      <c r="J57" s="29">
        <v>0</v>
      </c>
      <c r="K57" s="29">
        <v>0</v>
      </c>
      <c r="L57" s="29">
        <v>0</v>
      </c>
      <c r="M57" s="33">
        <v>168.3</v>
      </c>
      <c r="N57" s="33">
        <v>7.11</v>
      </c>
      <c r="O57" s="36"/>
      <c r="P57" s="36"/>
      <c r="Q57" s="7" t="str">
        <f ca="1">OFFSET($A$1,ROW()-3,3)</f>
        <v>PIPE_55</v>
      </c>
      <c r="R57" s="31" t="s">
        <v>44</v>
      </c>
      <c r="S57" s="7" t="str">
        <f ca="1">OFFSET($A$1,ROW()+1,3)</f>
        <v>PIPE_59</v>
      </c>
      <c r="T57" s="31" t="s">
        <v>43</v>
      </c>
      <c r="U57" s="7"/>
      <c r="V57" s="7"/>
      <c r="X57" s="39">
        <f>IF(OR(A57="volume",A57="pipe",A57="junction"),X56+F57*COS(G57*PI()/180)*COS(H57*PI()/180)+J57,X56)</f>
        <v>-6.9740000000000002</v>
      </c>
      <c r="Y57" s="39">
        <f>IF(OR(A57="volume",A57="pipe",A57="junction"),Y56+F57*COS(G57*PI()/180)*SIN(H57*PI()/180)+K57,Y56)</f>
        <v>-0.26899999999999924</v>
      </c>
      <c r="Z57" s="39">
        <f>IF(OR(A57="volume",A57="pipe",A57="junction"),Z56+F57*SIN(G57*PI()/180)+L57,Z56)</f>
        <v>103.858</v>
      </c>
    </row>
    <row r="58" spans="1:26" x14ac:dyDescent="0.25">
      <c r="A58" s="7"/>
      <c r="B58" s="7"/>
      <c r="C58" s="30"/>
      <c r="D58" s="7"/>
      <c r="E58" s="7"/>
      <c r="F58" s="31"/>
      <c r="G58" s="32"/>
      <c r="H58" s="32"/>
      <c r="I58" s="32"/>
      <c r="J58" s="29"/>
      <c r="K58" s="29"/>
      <c r="L58" s="29"/>
      <c r="M58" s="33"/>
      <c r="N58" s="33"/>
      <c r="O58" s="36"/>
      <c r="P58" s="36"/>
      <c r="Q58" s="7"/>
      <c r="R58" s="31"/>
      <c r="S58" s="7"/>
      <c r="T58" s="31"/>
      <c r="U58" s="7"/>
      <c r="V58" s="7"/>
      <c r="X58" s="39">
        <f>IF(OR(A58="volume",A58="pipe",A58="junction"),X57+F58*COS(G58*PI()/180)*COS(H58*PI()/180)+J58,X57)</f>
        <v>-6.9740000000000002</v>
      </c>
      <c r="Y58" s="39">
        <f>IF(OR(A58="volume",A58="pipe",A58="junction"),Y57+F58*COS(G58*PI()/180)*SIN(H58*PI()/180)+K58,Y57)</f>
        <v>-0.26899999999999924</v>
      </c>
      <c r="Z58" s="39">
        <f>IF(OR(A58="volume",A58="pipe",A58="junction"),Z57+F58*SIN(G58*PI()/180)+L58,Z57)</f>
        <v>103.858</v>
      </c>
    </row>
    <row r="59" spans="1:26" x14ac:dyDescent="0.25">
      <c r="A59" s="7" t="s">
        <v>7</v>
      </c>
      <c r="B59" s="7" t="s">
        <v>7</v>
      </c>
      <c r="C59" s="30" t="s">
        <v>7</v>
      </c>
      <c r="D59" s="7" t="str">
        <f t="shared" si="2"/>
        <v>PIPE_59</v>
      </c>
      <c r="E59" s="7"/>
      <c r="F59" s="31">
        <f>2.361+0.229</f>
        <v>2.5900000000000003</v>
      </c>
      <c r="G59" s="32">
        <v>90</v>
      </c>
      <c r="H59" s="32">
        <v>0</v>
      </c>
      <c r="I59" s="32">
        <v>0</v>
      </c>
      <c r="J59" s="29">
        <v>0</v>
      </c>
      <c r="K59" s="29">
        <v>0</v>
      </c>
      <c r="L59" s="29">
        <v>0</v>
      </c>
      <c r="M59" s="33">
        <v>168.3</v>
      </c>
      <c r="N59" s="33">
        <v>7.11</v>
      </c>
      <c r="O59" s="36">
        <v>1.28</v>
      </c>
      <c r="P59" s="36"/>
      <c r="Q59" s="7"/>
      <c r="R59" s="31"/>
      <c r="S59" s="7"/>
      <c r="T59" s="31"/>
      <c r="U59" s="7"/>
      <c r="V59" s="7"/>
      <c r="X59" s="39">
        <f>IF(OR(A59="volume",A59="pipe",A59="junction"),X58+F59*COS(G59*PI()/180)*COS(H59*PI()/180)+J59,X58)</f>
        <v>-6.9740000000000002</v>
      </c>
      <c r="Y59" s="39">
        <f>IF(OR(A59="volume",A59="pipe",A59="junction"),Y58+F59*COS(G59*PI()/180)*SIN(H59*PI()/180)+K59,Y58)</f>
        <v>-0.26899999999999924</v>
      </c>
      <c r="Z59" s="39">
        <f>IF(OR(A59="volume",A59="pipe",A59="junction"),Z58+F59*SIN(G59*PI()/180)+L59,Z58)</f>
        <v>106.44800000000001</v>
      </c>
    </row>
    <row r="60" spans="1:26" x14ac:dyDescent="0.25">
      <c r="A60" s="7" t="s">
        <v>7</v>
      </c>
      <c r="B60" s="7" t="s">
        <v>7</v>
      </c>
      <c r="C60" s="30" t="s">
        <v>7</v>
      </c>
      <c r="D60" s="7" t="str">
        <f t="shared" si="2"/>
        <v>PIPE_60</v>
      </c>
      <c r="E60" s="7"/>
      <c r="F60" s="31">
        <f>0.659+0.194</f>
        <v>0.85299999999999998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168.3</v>
      </c>
      <c r="N60" s="33">
        <v>7.11</v>
      </c>
      <c r="O60" s="36">
        <v>1.28</v>
      </c>
      <c r="P60" s="36"/>
      <c r="Q60" s="7"/>
      <c r="R60" s="31"/>
      <c r="S60" s="7"/>
      <c r="T60" s="31"/>
      <c r="U60" s="7"/>
      <c r="V60" s="7"/>
      <c r="X60" s="39">
        <f>IF(OR(A60="volume",A60="pipe",A60="junction"),X59+F60*COS(G60*PI()/180)*COS(H60*PI()/180)+J60,X59)</f>
        <v>-6.9740000000000002</v>
      </c>
      <c r="Y60" s="39">
        <f>IF(OR(A60="volume",A60="pipe",A60="junction"),Y59+F60*COS(G60*PI()/180)*SIN(H60*PI()/180)+K60,Y59)</f>
        <v>-1.1219999999999992</v>
      </c>
      <c r="Z60" s="39">
        <f>IF(OR(A60="volume",A60="pipe",A60="junction"),Z59+F60*SIN(G60*PI()/180)+L60,Z59)</f>
        <v>106.44800000000001</v>
      </c>
    </row>
    <row r="61" spans="1:26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  <c r="X61" s="39">
        <f>IF(OR(A61="volume",A61="pipe",A61="junction"),X60+F61*COS(G61*PI()/180)*COS(H61*PI()/180)+J61,X60)</f>
        <v>-6.9740000000000002</v>
      </c>
      <c r="Y61" s="39">
        <f>IF(OR(A61="volume",A61="pipe",A61="junction"),Y60+F61*COS(G61*PI()/180)*SIN(H61*PI()/180)+K61,Y60)</f>
        <v>-1.1219999999999992</v>
      </c>
      <c r="Z61" s="39">
        <f>IF(OR(A61="volume",A61="pipe",A61="junction"),Z60+F61*SIN(G61*PI()/180)+L61,Z60)</f>
        <v>106.44800000000001</v>
      </c>
    </row>
    <row r="62" spans="1:26" x14ac:dyDescent="0.25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</row>
    <row r="63" spans="1:26" x14ac:dyDescent="0.25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6" x14ac:dyDescent="0.25">
      <c r="A64" s="7" t="s">
        <v>25</v>
      </c>
      <c r="B64" s="7" t="s">
        <v>68</v>
      </c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6" x14ac:dyDescent="0.25">
      <c r="A65" s="7" t="s">
        <v>47</v>
      </c>
      <c r="B65" s="7" t="s">
        <v>10</v>
      </c>
      <c r="C65" s="30" t="s">
        <v>20</v>
      </c>
      <c r="D65" s="7" t="str">
        <f>CONCATENATE("COMP_",ROW())</f>
        <v>COMP_65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>D51</f>
        <v>PIPE_51</v>
      </c>
      <c r="R65" s="31">
        <v>0.372</v>
      </c>
      <c r="S65" s="7" t="str">
        <f ca="1">OFFSET($A$1,ROW()+1,3)</f>
        <v>PIPE_67</v>
      </c>
      <c r="T65" s="31" t="s">
        <v>43</v>
      </c>
      <c r="U65" s="7"/>
      <c r="V65" s="7"/>
      <c r="X65" s="39">
        <f>IF(OR(A65="volume",A65="pipe",A65="junction"),X64+F65*COS(G65*PI()/180)*COS(H65*PI()/180)+J65,X64)</f>
        <v>0</v>
      </c>
      <c r="Y65" s="39">
        <f>IF(OR(A65="volume",A65="pipe",A65="junction"),Y64+F65*COS(G65*PI()/180)*SIN(H65*PI()/180)+K65,Y64)</f>
        <v>0</v>
      </c>
      <c r="Z65" s="39">
        <f>IF(OR(A65="volume",A65="pipe",A65="junction"),Z64+F65*SIN(G65*PI()/180)+L65,Z64)</f>
        <v>0</v>
      </c>
    </row>
    <row r="66" spans="1:26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  <c r="X66" s="39">
        <f>IF(OR(A66="volume",A66="pipe",A66="junction"),X65+F66*COS(G66*PI()/180)*COS(H66*PI()/180)+J66,X65)</f>
        <v>0</v>
      </c>
      <c r="Y66" s="39">
        <f>IF(OR(A66="volume",A66="pipe",A66="junction"),Y65+F66*COS(G66*PI()/180)*SIN(H66*PI()/180)+K66,Y65)</f>
        <v>0</v>
      </c>
      <c r="Z66" s="39">
        <f>IF(OR(A66="volume",A66="pipe",A66="junction"),Z65+F66*SIN(G66*PI()/180)+L66,Z65)</f>
        <v>0</v>
      </c>
    </row>
    <row r="67" spans="1:26" x14ac:dyDescent="0.25">
      <c r="A67" s="7" t="s">
        <v>7</v>
      </c>
      <c r="B67" s="7" t="s">
        <v>7</v>
      </c>
      <c r="C67" s="30" t="s">
        <v>7</v>
      </c>
      <c r="D67" s="7" t="str">
        <f t="shared" ref="D67:D72" si="3">CONCATENATE("PIPE_",ROW())</f>
        <v>PIPE_67</v>
      </c>
      <c r="E67" s="7"/>
      <c r="F67" s="31">
        <v>0.17499999999999999</v>
      </c>
      <c r="G67" s="32">
        <v>0</v>
      </c>
      <c r="H67" s="32">
        <v>45</v>
      </c>
      <c r="I67" s="32">
        <v>0</v>
      </c>
      <c r="J67" s="29">
        <v>0</v>
      </c>
      <c r="K67" s="29">
        <v>0</v>
      </c>
      <c r="L67" s="29">
        <v>0</v>
      </c>
      <c r="M67" s="33">
        <v>88.9</v>
      </c>
      <c r="N67" s="33">
        <v>5.49</v>
      </c>
      <c r="O67" s="36">
        <v>1.28</v>
      </c>
      <c r="P67" s="36"/>
      <c r="Q67" s="7"/>
      <c r="R67" s="31"/>
      <c r="S67" s="7"/>
      <c r="T67" s="31"/>
      <c r="U67" s="7"/>
      <c r="V67" s="7"/>
      <c r="X67" s="39">
        <f>IF(OR(A67="volume",A67="pipe",A67="junction"),X66+F67*COS(G67*PI()/180)*COS(H67*PI()/180)+J67,X66)</f>
        <v>0.12374368670764582</v>
      </c>
      <c r="Y67" s="39">
        <f>IF(OR(A67="volume",A67="pipe",A67="junction"),Y66+F67*COS(G67*PI()/180)*SIN(H67*PI()/180)+K67,Y66)</f>
        <v>0.12374368670764579</v>
      </c>
      <c r="Z67" s="39">
        <f>IF(OR(A67="volume",A67="pipe",A67="junction"),Z66+F67*SIN(G67*PI()/180)+L67,Z66)</f>
        <v>0</v>
      </c>
    </row>
    <row r="68" spans="1:26" x14ac:dyDescent="0.25">
      <c r="A68" s="7" t="s">
        <v>7</v>
      </c>
      <c r="B68" s="7" t="s">
        <v>7</v>
      </c>
      <c r="C68" s="30" t="s">
        <v>7</v>
      </c>
      <c r="D68" s="7" t="str">
        <f t="shared" si="3"/>
        <v>PIPE_68</v>
      </c>
      <c r="E68" s="7"/>
      <c r="F68" s="31">
        <v>0.47499999999999998</v>
      </c>
      <c r="G68" s="32">
        <v>0</v>
      </c>
      <c r="H68" s="32">
        <v>0</v>
      </c>
      <c r="I68" s="32">
        <v>0</v>
      </c>
      <c r="J68" s="29">
        <v>0</v>
      </c>
      <c r="K68" s="29">
        <v>0</v>
      </c>
      <c r="L68" s="29">
        <v>0</v>
      </c>
      <c r="M68" s="33">
        <v>88.9</v>
      </c>
      <c r="N68" s="33">
        <v>5.49</v>
      </c>
      <c r="O68" s="36">
        <v>1.28</v>
      </c>
      <c r="P68" s="36"/>
      <c r="Q68" s="7"/>
      <c r="R68" s="31"/>
      <c r="S68" s="7"/>
      <c r="T68" s="31"/>
      <c r="U68" s="7"/>
      <c r="V68" s="7"/>
      <c r="X68" s="39">
        <f>IF(OR(A68="volume",A68="pipe",A68="junction"),X67+F68*COS(G68*PI()/180)*COS(H68*PI()/180)+J68,X67)</f>
        <v>0.59874368670764577</v>
      </c>
      <c r="Y68" s="39">
        <f>IF(OR(A68="volume",A68="pipe",A68="junction"),Y67+F68*COS(G68*PI()/180)*SIN(H68*PI()/180)+K68,Y67)</f>
        <v>0.12374368670764579</v>
      </c>
      <c r="Z68" s="39">
        <f>IF(OR(A68="volume",A68="pipe",A68="junction"),Z67+F68*SIN(G68*PI()/180)+L68,Z67)</f>
        <v>0</v>
      </c>
    </row>
    <row r="69" spans="1:26" x14ac:dyDescent="0.25">
      <c r="A69" s="7" t="s">
        <v>7</v>
      </c>
      <c r="B69" s="7" t="s">
        <v>7</v>
      </c>
      <c r="C69" s="30" t="s">
        <v>7</v>
      </c>
      <c r="D69" s="7" t="str">
        <f t="shared" si="3"/>
        <v>PIPE_69</v>
      </c>
      <c r="E69" s="7"/>
      <c r="F69" s="31">
        <v>0.44800000000000001</v>
      </c>
      <c r="G69" s="32">
        <v>0</v>
      </c>
      <c r="H69" s="32">
        <v>90</v>
      </c>
      <c r="I69" s="32">
        <v>0</v>
      </c>
      <c r="J69" s="29">
        <v>0</v>
      </c>
      <c r="K69" s="29">
        <v>0</v>
      </c>
      <c r="L69" s="29">
        <v>0</v>
      </c>
      <c r="M69" s="33">
        <v>88.9</v>
      </c>
      <c r="N69" s="33">
        <v>5.49</v>
      </c>
      <c r="O69" s="36">
        <v>1.28</v>
      </c>
      <c r="P69" s="36"/>
      <c r="Q69" s="7"/>
      <c r="R69" s="31"/>
      <c r="S69" s="7"/>
      <c r="T69" s="31"/>
      <c r="U69" s="7"/>
      <c r="V69" s="7"/>
      <c r="X69" s="39">
        <f>IF(OR(A69="volume",A69="pipe",A69="junction"),X68+F69*COS(G69*PI()/180)*COS(H69*PI()/180)+J69,X68)</f>
        <v>0.59874368670764577</v>
      </c>
      <c r="Y69" s="39">
        <f>IF(OR(A69="volume",A69="pipe",A69="junction"),Y68+F69*COS(G69*PI()/180)*SIN(H69*PI()/180)+K69,Y68)</f>
        <v>0.57174368670764575</v>
      </c>
      <c r="Z69" s="39">
        <f>IF(OR(A69="volume",A69="pipe",A69="junction"),Z68+F69*SIN(G69*PI()/180)+L69,Z68)</f>
        <v>0</v>
      </c>
    </row>
    <row r="70" spans="1:26" x14ac:dyDescent="0.25">
      <c r="A70" s="7" t="s">
        <v>7</v>
      </c>
      <c r="B70" s="7" t="s">
        <v>7</v>
      </c>
      <c r="C70" s="30" t="s">
        <v>7</v>
      </c>
      <c r="D70" s="7" t="str">
        <f t="shared" si="3"/>
        <v>PIPE_70</v>
      </c>
      <c r="E70" s="7"/>
      <c r="F70" s="31">
        <v>0.114</v>
      </c>
      <c r="G70" s="32">
        <v>90</v>
      </c>
      <c r="H70" s="32">
        <v>0</v>
      </c>
      <c r="I70" s="32">
        <v>0</v>
      </c>
      <c r="J70" s="29">
        <v>0</v>
      </c>
      <c r="K70" s="29">
        <v>0</v>
      </c>
      <c r="L70" s="29">
        <v>0</v>
      </c>
      <c r="M70" s="33">
        <v>88.9</v>
      </c>
      <c r="N70" s="33">
        <v>5.49</v>
      </c>
      <c r="O70" s="36">
        <v>1.28</v>
      </c>
      <c r="P70" s="36"/>
      <c r="Q70" s="7"/>
      <c r="R70" s="31"/>
      <c r="S70" s="7"/>
      <c r="T70" s="31"/>
      <c r="U70" s="7"/>
      <c r="V70" s="7"/>
      <c r="X70" s="39">
        <f>IF(OR(A70="volume",A70="pipe",A70="junction"),X69+F70*COS(G70*PI()/180)*COS(H70*PI()/180)+J70,X69)</f>
        <v>0.59874368670764577</v>
      </c>
      <c r="Y70" s="39">
        <f>IF(OR(A70="volume",A70="pipe",A70="junction"),Y69+F70*COS(G70*PI()/180)*SIN(H70*PI()/180)+K70,Y69)</f>
        <v>0.57174368670764575</v>
      </c>
      <c r="Z70" s="39">
        <f>IF(OR(A70="volume",A70="pipe",A70="junction"),Z69+F70*SIN(G70*PI()/180)+L70,Z69)</f>
        <v>0.114</v>
      </c>
    </row>
    <row r="71" spans="1:26" x14ac:dyDescent="0.25">
      <c r="A71" s="7" t="s">
        <v>7</v>
      </c>
      <c r="B71" s="7" t="s">
        <v>7</v>
      </c>
      <c r="C71" s="30" t="s">
        <v>7</v>
      </c>
      <c r="D71" s="7" t="str">
        <f t="shared" si="3"/>
        <v>PIPE_71</v>
      </c>
      <c r="E71" s="7"/>
      <c r="F71" s="31">
        <f>0.063+0.08</f>
        <v>0.14300000000000002</v>
      </c>
      <c r="G71" s="32">
        <v>90</v>
      </c>
      <c r="H71" s="32">
        <v>0</v>
      </c>
      <c r="I71" s="32">
        <v>0</v>
      </c>
      <c r="J71" s="29">
        <v>0</v>
      </c>
      <c r="K71" s="29">
        <v>0</v>
      </c>
      <c r="L71" s="29">
        <v>0</v>
      </c>
      <c r="M71" s="33">
        <v>60.32</v>
      </c>
      <c r="N71" s="33">
        <v>3.91</v>
      </c>
      <c r="O71" s="36">
        <v>1.28</v>
      </c>
      <c r="P71" s="36"/>
      <c r="Q71" s="7"/>
      <c r="R71" s="31"/>
      <c r="S71" s="7"/>
      <c r="T71" s="31"/>
      <c r="U71" s="7"/>
      <c r="V71" s="7"/>
      <c r="X71" s="39">
        <f>IF(OR(A71="volume",A71="pipe",A71="junction"),X70+F71*COS(G71*PI()/180)*COS(H71*PI()/180)+J71,X70)</f>
        <v>0.59874368670764577</v>
      </c>
      <c r="Y71" s="39">
        <f>IF(OR(A71="volume",A71="pipe",A71="junction"),Y70+F71*COS(G71*PI()/180)*SIN(H71*PI()/180)+K71,Y70)</f>
        <v>0.57174368670764575</v>
      </c>
      <c r="Z71" s="39">
        <f>IF(OR(A71="volume",A71="pipe",A71="junction"),Z70+F71*SIN(G71*PI()/180)+L71,Z70)</f>
        <v>0.25700000000000001</v>
      </c>
    </row>
    <row r="72" spans="1:26" x14ac:dyDescent="0.25">
      <c r="A72" s="7" t="s">
        <v>7</v>
      </c>
      <c r="B72" s="7" t="s">
        <v>7</v>
      </c>
      <c r="C72" s="30" t="s">
        <v>7</v>
      </c>
      <c r="D72" s="7" t="str">
        <f t="shared" si="3"/>
        <v>PIPE_72</v>
      </c>
      <c r="E72" s="7"/>
      <c r="F72" s="31">
        <f>0.063+0.1+0.071</f>
        <v>0.23399999999999999</v>
      </c>
      <c r="G72" s="32">
        <v>90</v>
      </c>
      <c r="H72" s="32">
        <v>0</v>
      </c>
      <c r="I72" s="32">
        <v>0</v>
      </c>
      <c r="J72" s="29">
        <v>0</v>
      </c>
      <c r="K72" s="29">
        <v>0</v>
      </c>
      <c r="L72" s="29">
        <v>0</v>
      </c>
      <c r="M72" s="33">
        <v>48.26</v>
      </c>
      <c r="N72" s="33">
        <v>3.68</v>
      </c>
      <c r="O72" s="36">
        <v>1.28</v>
      </c>
      <c r="P72" s="36"/>
      <c r="Q72" s="7"/>
      <c r="R72" s="31"/>
      <c r="S72" s="7"/>
      <c r="T72" s="31"/>
      <c r="U72" s="7"/>
      <c r="V72" s="7"/>
      <c r="X72" s="39">
        <f>IF(OR(A72="volume",A72="pipe",A72="junction"),X71+F72*COS(G72*PI()/180)*COS(H72*PI()/180)+J72,X71)</f>
        <v>0.59874368670764577</v>
      </c>
      <c r="Y72" s="39">
        <f>IF(OR(A72="volume",A72="pipe",A72="junction"),Y71+F72*COS(G72*PI()/180)*SIN(H72*PI()/180)+K72,Y71)</f>
        <v>0.57174368670764575</v>
      </c>
      <c r="Z72" s="39">
        <f>IF(OR(A72="volume",A72="pipe",A72="junction"),Z71+F72*SIN(G72*PI()/180)+L72,Z71)</f>
        <v>0.49099999999999999</v>
      </c>
    </row>
    <row r="73" spans="1:26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  <c r="X73" s="39">
        <f>IF(OR(A73="volume",A73="pipe",A73="junction"),X72+F73*COS(G73*PI()/180)*COS(H73*PI()/180)+J73,X72)</f>
        <v>0.59874368670764577</v>
      </c>
      <c r="Y73" s="39">
        <f>IF(OR(A73="volume",A73="pipe",A73="junction"),Y72+F73*COS(G73*PI()/180)*SIN(H73*PI()/180)+K73,Y72)</f>
        <v>0.57174368670764575</v>
      </c>
      <c r="Z73" s="39">
        <f>IF(OR(A73="volume",A73="pipe",A73="junction"),Z72+F73*SIN(G73*PI()/180)+L73,Z72)</f>
        <v>0.49099999999999999</v>
      </c>
    </row>
    <row r="74" spans="1:26" x14ac:dyDescent="0.25">
      <c r="A74" s="7" t="s">
        <v>47</v>
      </c>
      <c r="B74" s="7" t="s">
        <v>9</v>
      </c>
      <c r="C74" s="30" t="s">
        <v>65</v>
      </c>
      <c r="D74" s="7" t="str">
        <f>CONCATENATE("COMP_",ROW())</f>
        <v>COMP_74</v>
      </c>
      <c r="E74" s="7"/>
      <c r="F74" s="31">
        <v>0</v>
      </c>
      <c r="G74" s="32">
        <v>0</v>
      </c>
      <c r="H74" s="32">
        <v>0</v>
      </c>
      <c r="I74" s="32">
        <v>0</v>
      </c>
      <c r="J74" s="29">
        <v>0</v>
      </c>
      <c r="K74" s="29">
        <v>0</v>
      </c>
      <c r="L74" s="29">
        <v>0</v>
      </c>
      <c r="M74" s="33">
        <v>125</v>
      </c>
      <c r="N74" s="33">
        <v>2.02</v>
      </c>
      <c r="O74" s="36"/>
      <c r="P74" s="36"/>
      <c r="Q74" s="7" t="str">
        <f ca="1">OFFSET($A$1,ROW()-3,3)</f>
        <v>PIPE_72</v>
      </c>
      <c r="R74" s="31" t="s">
        <v>44</v>
      </c>
      <c r="S74" s="7" t="str">
        <f ca="1">OFFSET($A$1,ROW()+1,3)</f>
        <v>PIPE_76</v>
      </c>
      <c r="T74" s="31" t="s">
        <v>43</v>
      </c>
      <c r="U74" s="7"/>
      <c r="V74" s="7"/>
      <c r="X74" s="39">
        <f>IF(OR(A74="volume",A74="pipe",A74="junction"),X73+F74*COS(G74*PI()/180)*COS(H74*PI()/180)+J74,X73)</f>
        <v>0.59874368670764577</v>
      </c>
      <c r="Y74" s="39">
        <f>IF(OR(A74="volume",A74="pipe",A74="junction"),Y73+F74*COS(G74*PI()/180)*SIN(H74*PI()/180)+K74,Y73)</f>
        <v>0.57174368670764575</v>
      </c>
      <c r="Z74" s="39">
        <f>IF(OR(A74="volume",A74="pipe",A74="junction"),Z73+F74*SIN(G74*PI()/180)+L74,Z73)</f>
        <v>0.49099999999999999</v>
      </c>
    </row>
    <row r="75" spans="1:26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  <c r="X75" s="39">
        <f>IF(OR(A75="volume",A75="pipe",A75="junction"),X74+F75*COS(G75*PI()/180)*COS(H75*PI()/180)+J75,X74)</f>
        <v>0.59874368670764577</v>
      </c>
      <c r="Y75" s="39">
        <f>IF(OR(A75="volume",A75="pipe",A75="junction"),Y74+F75*COS(G75*PI()/180)*SIN(H75*PI()/180)+K75,Y74)</f>
        <v>0.57174368670764575</v>
      </c>
      <c r="Z75" s="39">
        <f>IF(OR(A75="volume",A75="pipe",A75="junction"),Z74+F75*SIN(G75*PI()/180)+L75,Z74)</f>
        <v>0.49099999999999999</v>
      </c>
    </row>
    <row r="76" spans="1:26" x14ac:dyDescent="0.25">
      <c r="A76" s="7" t="s">
        <v>7</v>
      </c>
      <c r="B76" s="7" t="s">
        <v>7</v>
      </c>
      <c r="C76" s="30" t="s">
        <v>7</v>
      </c>
      <c r="D76" s="7" t="str">
        <f>CONCATENATE("PIPE_",ROW())</f>
        <v>PIPE_76</v>
      </c>
      <c r="E76" s="7"/>
      <c r="F76" s="31">
        <f>0.1+0.445+0.1</f>
        <v>0.64500000000000002</v>
      </c>
      <c r="G76" s="32">
        <v>0</v>
      </c>
      <c r="H76" s="32">
        <v>0</v>
      </c>
      <c r="I76" s="32">
        <v>0</v>
      </c>
      <c r="J76" s="29">
        <v>0</v>
      </c>
      <c r="K76" s="29">
        <v>0</v>
      </c>
      <c r="L76" s="29">
        <v>0</v>
      </c>
      <c r="M76" s="33">
        <v>60</v>
      </c>
      <c r="N76" s="33">
        <v>3.05</v>
      </c>
      <c r="O76" s="36">
        <v>1.5</v>
      </c>
      <c r="P76" s="36"/>
      <c r="Q76" s="7"/>
      <c r="R76" s="31"/>
      <c r="S76" s="7"/>
      <c r="T76" s="31"/>
      <c r="U76" s="7"/>
      <c r="V76" s="7"/>
      <c r="X76" s="39">
        <f>IF(OR(A76="volume",A76="pipe",A76="junction"),X75+F76*COS(G76*PI()/180)*COS(H76*PI()/180)+J76,X75)</f>
        <v>1.2437436867076457</v>
      </c>
      <c r="Y76" s="39">
        <f>IF(OR(A76="volume",A76="pipe",A76="junction"),Y75+F76*COS(G76*PI()/180)*SIN(H76*PI()/180)+K76,Y75)</f>
        <v>0.57174368670764575</v>
      </c>
      <c r="Z76" s="39">
        <f>IF(OR(A76="volume",A76="pipe",A76="junction"),Z75+F76*SIN(G76*PI()/180)+L76,Z75)</f>
        <v>0.49099999999999999</v>
      </c>
    </row>
    <row r="77" spans="1:26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  <c r="X77" s="39">
        <f>IF(OR(A77="volume",A77="pipe",A77="junction"),X76+F77*COS(G77*PI()/180)*COS(H77*PI()/180)+J77,X76)</f>
        <v>1.2437436867076457</v>
      </c>
      <c r="Y77" s="39">
        <f>IF(OR(A77="volume",A77="pipe",A77="junction"),Y76+F77*COS(G77*PI()/180)*SIN(H77*PI()/180)+K77,Y76)</f>
        <v>0.57174368670764575</v>
      </c>
      <c r="Z77" s="39">
        <f>IF(OR(A77="volume",A77="pipe",A77="junction"),Z76+F77*SIN(G77*PI()/180)+L77,Z76)</f>
        <v>0.49099999999999999</v>
      </c>
    </row>
    <row r="78" spans="1:26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6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6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6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6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6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6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6" x14ac:dyDescent="0.25">
      <c r="A85" s="7" t="s">
        <v>25</v>
      </c>
      <c r="B85" s="7" t="s">
        <v>59</v>
      </c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6" x14ac:dyDescent="0.25">
      <c r="A86" s="7" t="s">
        <v>30</v>
      </c>
      <c r="B86" s="7" t="s">
        <v>21</v>
      </c>
      <c r="C86" s="30" t="s">
        <v>60</v>
      </c>
      <c r="D86" s="7" t="str">
        <f>CONCATENATE("VOL_",ROW())</f>
        <v>VOL_86</v>
      </c>
      <c r="E86" s="7"/>
      <c r="F86" s="31">
        <v>4.8</v>
      </c>
      <c r="G86" s="32">
        <v>0</v>
      </c>
      <c r="H86" s="32">
        <v>180</v>
      </c>
      <c r="I86" s="32">
        <v>0</v>
      </c>
      <c r="J86" s="29">
        <v>0</v>
      </c>
      <c r="K86" s="29">
        <v>0</v>
      </c>
      <c r="L86" s="29">
        <v>0</v>
      </c>
      <c r="M86" s="33">
        <f>(15+7/8)*25.4</f>
        <v>403.22499999999997</v>
      </c>
      <c r="N86" s="33">
        <v>12</v>
      </c>
      <c r="O86" s="36">
        <f>M86/2000</f>
        <v>0.20161249999999997</v>
      </c>
      <c r="P86" s="36"/>
      <c r="Q86" s="7"/>
      <c r="R86" s="31"/>
      <c r="S86" s="7"/>
      <c r="T86" s="31"/>
      <c r="U86" s="7"/>
      <c r="V86" s="7"/>
      <c r="X86" s="39">
        <f>IF(OR(A86="volume",A86="pipe",A86="junction"),X85+F86*COS(G86*PI()/180)*COS(H86*PI()/180)+J86,X85)</f>
        <v>-4.8</v>
      </c>
      <c r="Y86" s="39">
        <f>IF(OR(A86="volume",A86="pipe",A86="junction"),Y85+F86*COS(G86*PI()/180)*SIN(H86*PI()/180)+K86,Y85)</f>
        <v>5.8807125835613761E-16</v>
      </c>
      <c r="Z86" s="39">
        <f>IF(OR(A86="volume",A86="pipe",A86="junction"),Z85+F86*SIN(G86*PI()/180)+L86,Z85)</f>
        <v>0</v>
      </c>
    </row>
    <row r="87" spans="1:26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  <c r="X87" s="39">
        <f>IF(OR(A87="volume",A87="pipe",A87="junction"),X86+F87*COS(G87*PI()/180)*COS(H87*PI()/180)+J87,X86)</f>
        <v>-4.8</v>
      </c>
      <c r="Y87" s="39">
        <f>IF(OR(A87="volume",A87="pipe",A87="junction"),Y86+F87*COS(G87*PI()/180)*SIN(H87*PI()/180)+K87,Y86)</f>
        <v>5.8807125835613761E-16</v>
      </c>
      <c r="Z87" s="39">
        <f>IF(OR(A87="volume",A87="pipe",A87="junction"),Z86+F87*SIN(G87*PI()/180)+L87,Z86)</f>
        <v>0</v>
      </c>
    </row>
    <row r="88" spans="1:26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6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6" x14ac:dyDescent="0.25">
      <c r="A90" s="7" t="s">
        <v>25</v>
      </c>
      <c r="B90" s="7" t="s">
        <v>61</v>
      </c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  <c r="X90" s="39">
        <f>X40</f>
        <v>-5.73</v>
      </c>
      <c r="Y90" s="39">
        <f t="shared" ref="Y90:Z90" si="4">Y40</f>
        <v>-0.74999999999999922</v>
      </c>
      <c r="Z90" s="39">
        <f t="shared" si="4"/>
        <v>97.902000000000001</v>
      </c>
    </row>
    <row r="91" spans="1:26" x14ac:dyDescent="0.25">
      <c r="A91" s="7" t="s">
        <v>30</v>
      </c>
      <c r="B91" s="7" t="s">
        <v>21</v>
      </c>
      <c r="C91" s="30" t="s">
        <v>62</v>
      </c>
      <c r="D91" s="7" t="str">
        <f>CONCATENATE("VOL_",ROW())</f>
        <v>VOL_91</v>
      </c>
      <c r="E91" s="7"/>
      <c r="F91" s="31">
        <v>4.8</v>
      </c>
      <c r="G91" s="32">
        <v>0</v>
      </c>
      <c r="H91" s="32">
        <v>180</v>
      </c>
      <c r="I91" s="32">
        <v>0</v>
      </c>
      <c r="J91" s="29">
        <v>0</v>
      </c>
      <c r="K91" s="29">
        <v>0</v>
      </c>
      <c r="L91" s="29">
        <v>0</v>
      </c>
      <c r="M91" s="33">
        <f>(19+7/8)*25.4</f>
        <v>504.82499999999999</v>
      </c>
      <c r="N91" s="33">
        <v>12</v>
      </c>
      <c r="O91" s="36">
        <f>M91/2000</f>
        <v>0.25241249999999998</v>
      </c>
      <c r="P91" s="36"/>
      <c r="Q91" s="7"/>
      <c r="R91" s="31"/>
      <c r="S91" s="7"/>
      <c r="T91" s="31"/>
      <c r="U91" s="7"/>
      <c r="V91" s="7"/>
      <c r="X91" s="39">
        <f>IF(OR(A91="volume",A91="pipe",A91="junction"),X90+F91*COS(G91*PI()/180)*COS(H91*PI()/180)+J91,X90)</f>
        <v>-10.530000000000001</v>
      </c>
      <c r="Y91" s="39">
        <f>IF(OR(A91="volume",A91="pipe",A91="junction"),Y90+F91*COS(G91*PI()/180)*SIN(H91*PI()/180)+K91,Y90)</f>
        <v>-0.74999999999999867</v>
      </c>
      <c r="Z91" s="39">
        <f>IF(OR(A91="volume",A91="pipe",A91="junction"),Z90+F91*SIN(G91*PI()/180)+L91,Z90)</f>
        <v>97.902000000000001</v>
      </c>
    </row>
    <row r="92" spans="1:26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  <c r="X92" s="39">
        <f>IF(OR(A92="volume",A92="pipe",A92="junction"),X91+F92*COS(G92*PI()/180)*COS(H92*PI()/180)+J92,X91)</f>
        <v>-10.530000000000001</v>
      </c>
      <c r="Y92" s="39">
        <f>IF(OR(A92="volume",A92="pipe",A92="junction"),Y91+F92*COS(G92*PI()/180)*SIN(H92*PI()/180)+K92,Y91)</f>
        <v>-0.74999999999999867</v>
      </c>
      <c r="Z92" s="39">
        <f>IF(OR(A92="volume",A92="pipe",A92="junction"),Z91+F92*SIN(G92*PI()/180)+L92,Z91)</f>
        <v>97.902000000000001</v>
      </c>
    </row>
    <row r="93" spans="1:26" x14ac:dyDescent="0.25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6" x14ac:dyDescent="0.25">
      <c r="A94" s="7" t="s">
        <v>25</v>
      </c>
      <c r="B94" s="7" t="s">
        <v>69</v>
      </c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6" x14ac:dyDescent="0.25">
      <c r="A95" s="7" t="s">
        <v>47</v>
      </c>
      <c r="B95" s="7" t="s">
        <v>10</v>
      </c>
      <c r="C95" s="30" t="s">
        <v>20</v>
      </c>
      <c r="D95" s="7" t="str">
        <f>CONCATENATE("COMP_",ROW())</f>
        <v>COMP_95</v>
      </c>
      <c r="E95" s="7"/>
      <c r="F95" s="31">
        <v>0</v>
      </c>
      <c r="G95" s="32">
        <v>0</v>
      </c>
      <c r="H95" s="32">
        <v>0</v>
      </c>
      <c r="I95" s="32">
        <v>0</v>
      </c>
      <c r="J95" s="29">
        <v>0</v>
      </c>
      <c r="K95" s="29">
        <v>0</v>
      </c>
      <c r="L95" s="29">
        <v>0</v>
      </c>
      <c r="M95" s="33">
        <v>88.9</v>
      </c>
      <c r="N95" s="33">
        <v>11.12</v>
      </c>
      <c r="O95" s="36"/>
      <c r="P95" s="36"/>
      <c r="Q95" s="7" t="str">
        <f>D86</f>
        <v>VOL_86</v>
      </c>
      <c r="R95" s="31">
        <f>0.741618+0.4</f>
        <v>1.141618</v>
      </c>
      <c r="S95" s="7" t="str">
        <f ca="1">OFFSET($A$1,ROW()+1,3)</f>
        <v>PIPE_97</v>
      </c>
      <c r="T95" s="31" t="s">
        <v>43</v>
      </c>
      <c r="U95" s="7"/>
      <c r="V95" s="7"/>
      <c r="X95" s="39">
        <f>IF(OR(A95="volume",A95="pipe",A95="junction"),X94+F95*COS(G95*PI()/180)*COS(H95*PI()/180)+J95,X94)</f>
        <v>0</v>
      </c>
      <c r="Y95" s="39">
        <f>IF(OR(A95="volume",A95="pipe",A95="junction"),Y94+F95*COS(G95*PI()/180)*SIN(H95*PI()/180)+K95,Y94)</f>
        <v>0</v>
      </c>
      <c r="Z95" s="39">
        <f>IF(OR(A95="volume",A95="pipe",A95="junction"),Z94+F95*SIN(G95*PI()/180)+L95,Z94)</f>
        <v>0</v>
      </c>
    </row>
    <row r="96" spans="1:26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  <c r="X96" s="39">
        <f>IF(OR(A96="volume",A96="pipe",A96="junction"),X95+F96*COS(G96*PI()/180)*COS(H96*PI()/180)+J96,X95)</f>
        <v>0</v>
      </c>
      <c r="Y96" s="39">
        <f>IF(OR(A96="volume",A96="pipe",A96="junction"),Y95+F96*COS(G96*PI()/180)*SIN(H96*PI()/180)+K96,Y95)</f>
        <v>0</v>
      </c>
      <c r="Z96" s="39">
        <f>IF(OR(A96="volume",A96="pipe",A96="junction"),Z95+F96*SIN(G96*PI()/180)+L96,Z95)</f>
        <v>0</v>
      </c>
    </row>
    <row r="97" spans="1:26" x14ac:dyDescent="0.25">
      <c r="A97" s="7" t="s">
        <v>7</v>
      </c>
      <c r="B97" s="7" t="s">
        <v>7</v>
      </c>
      <c r="C97" s="30" t="s">
        <v>7</v>
      </c>
      <c r="D97" s="7" t="str">
        <f t="shared" ref="D97:D100" si="5">CONCATENATE("PIPE_",ROW())</f>
        <v>PIPE_97</v>
      </c>
      <c r="E97" s="7"/>
      <c r="F97" s="31">
        <f>(1*304.8+(4+3/8)*25.4)*0.001</f>
        <v>0.41592500000000004</v>
      </c>
      <c r="G97" s="32">
        <v>90</v>
      </c>
      <c r="H97" s="32">
        <v>0</v>
      </c>
      <c r="I97" s="32">
        <v>0</v>
      </c>
      <c r="J97" s="29">
        <v>0</v>
      </c>
      <c r="K97" s="29">
        <v>0</v>
      </c>
      <c r="L97" s="29">
        <v>0</v>
      </c>
      <c r="M97" s="33">
        <v>88.9</v>
      </c>
      <c r="N97" s="33">
        <v>11.12</v>
      </c>
      <c r="O97" s="36">
        <v>1.5</v>
      </c>
      <c r="P97" s="36"/>
      <c r="Q97" s="7"/>
      <c r="R97" s="31"/>
      <c r="S97" s="7"/>
      <c r="T97" s="31"/>
      <c r="U97" s="7" t="s">
        <v>63</v>
      </c>
      <c r="V97" s="7"/>
      <c r="X97" s="39">
        <f>IF(OR(A97="volume",A97="pipe",A97="junction"),X96+F97*COS(G97*PI()/180)*COS(H97*PI()/180)+J97,X96)</f>
        <v>2.5478493555393392E-17</v>
      </c>
      <c r="Y97" s="39">
        <f>IF(OR(A97="volume",A97="pipe",A97="junction"),Y96+F97*COS(G97*PI()/180)*SIN(H97*PI()/180)+K97,Y96)</f>
        <v>0</v>
      </c>
      <c r="Z97" s="39">
        <f>IF(OR(A97="volume",A97="pipe",A97="junction"),Z96+F97*SIN(G97*PI()/180)+L97,Z96)</f>
        <v>0.41592500000000004</v>
      </c>
    </row>
    <row r="98" spans="1:26" x14ac:dyDescent="0.25">
      <c r="A98" s="7" t="s">
        <v>7</v>
      </c>
      <c r="B98" s="7" t="s">
        <v>7</v>
      </c>
      <c r="C98" s="30" t="s">
        <v>7</v>
      </c>
      <c r="D98" s="7" t="str">
        <f t="shared" si="5"/>
        <v>PIPE_98</v>
      </c>
      <c r="E98" s="7"/>
      <c r="F98" s="31">
        <f>(2*4.5+7+3/32)*0.0254</f>
        <v>0.40878124999999998</v>
      </c>
      <c r="G98" s="32">
        <v>0</v>
      </c>
      <c r="H98" s="32">
        <f>270-GetAngle_DyDz(6.5*25.4,305+3*25.4)</f>
        <v>246.58227506973051</v>
      </c>
      <c r="I98" s="32">
        <v>0</v>
      </c>
      <c r="J98" s="29">
        <v>0</v>
      </c>
      <c r="K98" s="29">
        <v>0</v>
      </c>
      <c r="L98" s="29">
        <v>0</v>
      </c>
      <c r="M98" s="33">
        <v>88.9</v>
      </c>
      <c r="N98" s="33">
        <v>11.12</v>
      </c>
      <c r="O98" s="36">
        <v>1.5</v>
      </c>
      <c r="P98" s="36"/>
      <c r="Q98" s="7"/>
      <c r="R98" s="31"/>
      <c r="S98" s="7"/>
      <c r="T98" s="31"/>
      <c r="U98" s="7" t="s">
        <v>63</v>
      </c>
      <c r="V98" s="7"/>
      <c r="X98" s="39">
        <f>IF(OR(A98="volume",A98="pipe",A98="junction"),X97+F98*COS(G98*PI()/180)*COS(H98*PI()/180)+J98,X97)</f>
        <v>-0.16246266256606498</v>
      </c>
      <c r="Y98" s="39">
        <f>IF(OR(A98="volume",A98="pipe",A98="junction"),Y97+F98*COS(G98*PI()/180)*SIN(H98*PI()/180)+K98,Y97)</f>
        <v>-0.37511064184252013</v>
      </c>
      <c r="Z98" s="39">
        <f>IF(OR(A98="volume",A98="pipe",A98="junction"),Z97+F98*SIN(G98*PI()/180)+L98,Z97)</f>
        <v>0.41592500000000004</v>
      </c>
    </row>
    <row r="99" spans="1:26" x14ac:dyDescent="0.25">
      <c r="A99" s="7" t="s">
        <v>7</v>
      </c>
      <c r="B99" s="7" t="s">
        <v>7</v>
      </c>
      <c r="C99" s="30" t="s">
        <v>7</v>
      </c>
      <c r="D99" s="7" t="str">
        <f t="shared" si="5"/>
        <v>PIPE_99</v>
      </c>
      <c r="E99" s="7"/>
      <c r="F99" s="31">
        <f>0.9559+0.838</f>
        <v>1.7938999999999998</v>
      </c>
      <c r="G99" s="32">
        <v>-90</v>
      </c>
      <c r="H99" s="32">
        <v>0</v>
      </c>
      <c r="I99" s="32">
        <v>0</v>
      </c>
      <c r="J99" s="29">
        <v>0</v>
      </c>
      <c r="K99" s="29">
        <v>0</v>
      </c>
      <c r="L99" s="29">
        <v>0</v>
      </c>
      <c r="M99" s="33">
        <v>88.9</v>
      </c>
      <c r="N99" s="33">
        <v>11.12</v>
      </c>
      <c r="O99" s="36">
        <v>1.5</v>
      </c>
      <c r="P99" s="36"/>
      <c r="Q99" s="7"/>
      <c r="R99" s="31"/>
      <c r="S99" s="7"/>
      <c r="T99" s="31"/>
      <c r="U99" s="7" t="s">
        <v>63</v>
      </c>
      <c r="V99" s="7"/>
      <c r="X99" s="39">
        <f>IF(OR(A99="volume",A99="pipe",A99="junction"),X98+F99*COS(G99*PI()/180)*COS(H99*PI()/180)+J99,X98)</f>
        <v>-0.16246266256606487</v>
      </c>
      <c r="Y99" s="39">
        <f>IF(OR(A99="volume",A99="pipe",A99="junction"),Y98+F99*COS(G99*PI()/180)*SIN(H99*PI()/180)+K99,Y98)</f>
        <v>-0.37511064184252013</v>
      </c>
      <c r="Z99" s="39">
        <f>IF(OR(A99="volume",A99="pipe",A99="junction"),Z98+F99*SIN(G99*PI()/180)+L99,Z98)</f>
        <v>-1.3779749999999997</v>
      </c>
    </row>
    <row r="100" spans="1:26" x14ac:dyDescent="0.25">
      <c r="A100" s="7" t="s">
        <v>7</v>
      </c>
      <c r="B100" s="7" t="s">
        <v>7</v>
      </c>
      <c r="C100" s="30" t="s">
        <v>7</v>
      </c>
      <c r="D100" s="7" t="str">
        <f t="shared" si="5"/>
        <v>PIPE_100</v>
      </c>
      <c r="E100" s="7"/>
      <c r="F100" s="31">
        <f>(2*304.8+(2+3/32)*25.4)*0.001</f>
        <v>0.66278124999999999</v>
      </c>
      <c r="G100" s="32">
        <v>0</v>
      </c>
      <c r="H100" s="32">
        <v>0</v>
      </c>
      <c r="I100" s="32">
        <v>0</v>
      </c>
      <c r="J100" s="29">
        <v>0</v>
      </c>
      <c r="K100" s="29">
        <v>0</v>
      </c>
      <c r="L100" s="29">
        <v>0</v>
      </c>
      <c r="M100" s="33">
        <v>88.9</v>
      </c>
      <c r="N100" s="33">
        <v>11.12</v>
      </c>
      <c r="O100" s="36">
        <v>1.5</v>
      </c>
      <c r="P100" s="36"/>
      <c r="Q100" s="7"/>
      <c r="R100" s="31"/>
      <c r="S100" s="7"/>
      <c r="T100" s="31"/>
      <c r="U100" s="7" t="s">
        <v>63</v>
      </c>
      <c r="V100" s="7"/>
      <c r="X100" s="39">
        <f>IF(OR(A100="volume",A100="pipe",A100="junction"),X99+F100*COS(G100*PI()/180)*COS(H100*PI()/180)+J100,X99)</f>
        <v>0.50031858743393509</v>
      </c>
      <c r="Y100" s="39">
        <f>IF(OR(A100="volume",A100="pipe",A100="junction"),Y99+F100*COS(G100*PI()/180)*SIN(H100*PI()/180)+K100,Y99)</f>
        <v>-0.37511064184252013</v>
      </c>
      <c r="Z100" s="39">
        <f>IF(OR(A100="volume",A100="pipe",A100="junction"),Z99+F100*SIN(G100*PI()/180)+L100,Z99)</f>
        <v>-1.3779749999999997</v>
      </c>
    </row>
    <row r="101" spans="1:26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  <c r="X101" s="39">
        <f>IF(OR(A101="volume",A101="pipe",A101="junction"),X100+F101*COS(G101*PI()/180)*COS(H101*PI()/180)+J101,X100)</f>
        <v>0.50031858743393509</v>
      </c>
      <c r="Y101" s="39">
        <f>IF(OR(A101="volume",A101="pipe",A101="junction"),Y100+F101*COS(G101*PI()/180)*SIN(H101*PI()/180)+K101,Y100)</f>
        <v>-0.37511064184252013</v>
      </c>
      <c r="Z101" s="39">
        <f>IF(OR(A101="volume",A101="pipe",A101="junction"),Z100+F101*SIN(G101*PI()/180)+L101,Z100)</f>
        <v>-1.3779749999999997</v>
      </c>
    </row>
    <row r="102" spans="1:26" x14ac:dyDescent="0.25">
      <c r="A102" s="7" t="s">
        <v>47</v>
      </c>
      <c r="B102" s="7" t="s">
        <v>10</v>
      </c>
      <c r="C102" s="30" t="s">
        <v>64</v>
      </c>
      <c r="D102" s="7" t="str">
        <f>CONCATENATE("COMP_",ROW())</f>
        <v>COMP_102</v>
      </c>
      <c r="E102" s="7"/>
      <c r="F102" s="31">
        <v>0</v>
      </c>
      <c r="G102" s="32">
        <v>0</v>
      </c>
      <c r="H102" s="32">
        <v>0</v>
      </c>
      <c r="I102" s="32">
        <v>0</v>
      </c>
      <c r="J102" s="29">
        <v>0</v>
      </c>
      <c r="K102" s="29">
        <v>0</v>
      </c>
      <c r="L102" s="29">
        <v>0</v>
      </c>
      <c r="M102" s="33">
        <v>88.9</v>
      </c>
      <c r="N102" s="33">
        <v>11.12</v>
      </c>
      <c r="O102" s="36"/>
      <c r="P102" s="36"/>
      <c r="Q102" s="7" t="str">
        <f ca="1">OFFSET($A$1,ROW()-3,3)</f>
        <v>PIPE_100</v>
      </c>
      <c r="R102" s="31" t="s">
        <v>44</v>
      </c>
      <c r="S102" s="7" t="str">
        <f ca="1">OFFSET($A$1,ROW()+1,3)</f>
        <v>PIPE_104</v>
      </c>
      <c r="T102" s="31" t="s">
        <v>43</v>
      </c>
      <c r="U102" s="7"/>
      <c r="V102" s="7"/>
      <c r="X102" s="39">
        <f>IF(OR(A102="volume",A102="pipe",A102="junction"),X101+F102*COS(G102*PI()/180)*COS(H102*PI()/180)+J102,X101)</f>
        <v>0.50031858743393509</v>
      </c>
      <c r="Y102" s="39">
        <f>IF(OR(A102="volume",A102="pipe",A102="junction"),Y101+F102*COS(G102*PI()/180)*SIN(H102*PI()/180)+K102,Y101)</f>
        <v>-0.37511064184252013</v>
      </c>
      <c r="Z102" s="39">
        <f>IF(OR(A102="volume",A102="pipe",A102="junction"),Z101+F102*SIN(G102*PI()/180)+L102,Z101)</f>
        <v>-1.3779749999999997</v>
      </c>
    </row>
    <row r="103" spans="1:26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  <c r="X103" s="39">
        <f>IF(OR(A103="volume",A103="pipe",A103="junction"),X102+F103*COS(G103*PI()/180)*COS(H103*PI()/180)+J103,X102)</f>
        <v>0.50031858743393509</v>
      </c>
      <c r="Y103" s="39">
        <f>IF(OR(A103="volume",A103="pipe",A103="junction"),Y102+F103*COS(G103*PI()/180)*SIN(H103*PI()/180)+K103,Y102)</f>
        <v>-0.37511064184252013</v>
      </c>
      <c r="Z103" s="39">
        <f>IF(OR(A103="volume",A103="pipe",A103="junction"),Z102+F103*SIN(G103*PI()/180)+L103,Z102)</f>
        <v>-1.3779749999999997</v>
      </c>
    </row>
    <row r="104" spans="1:26" x14ac:dyDescent="0.25">
      <c r="A104" s="7" t="s">
        <v>7</v>
      </c>
      <c r="B104" s="7" t="s">
        <v>7</v>
      </c>
      <c r="C104" s="30" t="s">
        <v>7</v>
      </c>
      <c r="D104" s="7" t="str">
        <f t="shared" ref="D104:D106" si="6">CONCATENATE("PIPE_",ROW())</f>
        <v>PIPE_104</v>
      </c>
      <c r="E104" s="7"/>
      <c r="F104" s="31">
        <f>(9+1/2)*25.4*0.001</f>
        <v>0.24129999999999999</v>
      </c>
      <c r="G104" s="32">
        <v>0</v>
      </c>
      <c r="H104" s="32">
        <v>0</v>
      </c>
      <c r="I104" s="32">
        <v>0</v>
      </c>
      <c r="J104" s="29">
        <v>0</v>
      </c>
      <c r="K104" s="29">
        <v>0</v>
      </c>
      <c r="L104" s="29">
        <v>0</v>
      </c>
      <c r="M104" s="33">
        <v>88.9</v>
      </c>
      <c r="N104" s="33">
        <v>11.12</v>
      </c>
      <c r="O104" s="36">
        <v>1.5</v>
      </c>
      <c r="P104" s="36"/>
      <c r="Q104" s="7"/>
      <c r="R104" s="31"/>
      <c r="S104" s="7"/>
      <c r="T104" s="31"/>
      <c r="U104" s="7" t="s">
        <v>63</v>
      </c>
      <c r="V104" s="7"/>
      <c r="X104" s="39">
        <f>IF(OR(A104="volume",A104="pipe",A104="junction"),X103+F104*COS(G104*PI()/180)*COS(H104*PI()/180)+J104,X103)</f>
        <v>0.74161858743393505</v>
      </c>
      <c r="Y104" s="39">
        <f>IF(OR(A104="volume",A104="pipe",A104="junction"),Y103+F104*COS(G104*PI()/180)*SIN(H104*PI()/180)+K104,Y103)</f>
        <v>-0.37511064184252013</v>
      </c>
      <c r="Z104" s="39">
        <f>IF(OR(A104="volume",A104="pipe",A104="junction"),Z103+F104*SIN(G104*PI()/180)+L104,Z103)</f>
        <v>-1.3779749999999997</v>
      </c>
    </row>
    <row r="105" spans="1:26" x14ac:dyDescent="0.25">
      <c r="A105" s="7" t="s">
        <v>7</v>
      </c>
      <c r="B105" s="7" t="s">
        <v>7</v>
      </c>
      <c r="C105" s="30" t="s">
        <v>7</v>
      </c>
      <c r="D105" s="7" t="str">
        <f t="shared" si="6"/>
        <v>PIPE_105</v>
      </c>
      <c r="E105" s="7"/>
      <c r="F105" s="31">
        <v>0.54</v>
      </c>
      <c r="G105" s="32">
        <v>90</v>
      </c>
      <c r="H105" s="32">
        <v>0</v>
      </c>
      <c r="I105" s="32">
        <v>0</v>
      </c>
      <c r="J105" s="29">
        <v>0</v>
      </c>
      <c r="K105" s="29">
        <v>0</v>
      </c>
      <c r="L105" s="29">
        <v>0</v>
      </c>
      <c r="M105" s="33">
        <v>88.9</v>
      </c>
      <c r="N105" s="33">
        <v>11.12</v>
      </c>
      <c r="O105" s="36">
        <v>1.5</v>
      </c>
      <c r="P105" s="36"/>
      <c r="Q105" s="7"/>
      <c r="R105" s="31"/>
      <c r="S105" s="7"/>
      <c r="T105" s="31"/>
      <c r="U105" s="7" t="s">
        <v>63</v>
      </c>
      <c r="V105" s="7"/>
      <c r="X105" s="39">
        <f>IF(OR(A105="volume",A105="pipe",A105="junction"),X104+F105*COS(G105*PI()/180)*COS(H105*PI()/180)+J105,X104)</f>
        <v>0.74161858743393505</v>
      </c>
      <c r="Y105" s="39">
        <f>IF(OR(A105="volume",A105="pipe",A105="junction"),Y104+F105*COS(G105*PI()/180)*SIN(H105*PI()/180)+K105,Y104)</f>
        <v>-0.37511064184252013</v>
      </c>
      <c r="Z105" s="39">
        <f>IF(OR(A105="volume",A105="pipe",A105="junction"),Z104+F105*SIN(G105*PI()/180)+L105,Z104)</f>
        <v>-0.83797499999999969</v>
      </c>
    </row>
    <row r="106" spans="1:26" x14ac:dyDescent="0.25">
      <c r="A106" s="7" t="s">
        <v>7</v>
      </c>
      <c r="B106" s="7" t="s">
        <v>7</v>
      </c>
      <c r="C106" s="30" t="s">
        <v>7</v>
      </c>
      <c r="D106" s="7" t="str">
        <f t="shared" si="6"/>
        <v>PIPE_106</v>
      </c>
      <c r="E106" s="7"/>
      <c r="F106" s="31">
        <v>0.37511</v>
      </c>
      <c r="G106" s="32">
        <v>0</v>
      </c>
      <c r="H106" s="32">
        <v>90</v>
      </c>
      <c r="I106" s="32">
        <v>0</v>
      </c>
      <c r="J106" s="29">
        <v>0</v>
      </c>
      <c r="K106" s="29">
        <v>0</v>
      </c>
      <c r="L106" s="29">
        <v>0</v>
      </c>
      <c r="M106" s="33">
        <v>88.9</v>
      </c>
      <c r="N106" s="33">
        <v>11.12</v>
      </c>
      <c r="O106" s="36">
        <v>1.5</v>
      </c>
      <c r="P106" s="36"/>
      <c r="Q106" s="7"/>
      <c r="R106" s="31"/>
      <c r="S106" s="7"/>
      <c r="T106" s="31"/>
      <c r="U106" s="7" t="s">
        <v>63</v>
      </c>
      <c r="V106" s="7"/>
      <c r="X106" s="39">
        <f>IF(OR(A106="volume",A106="pipe",A106="junction"),X105+F106*COS(G106*PI()/180)*COS(H106*PI()/180)+J106,X105)</f>
        <v>0.74161858743393505</v>
      </c>
      <c r="Y106" s="39">
        <f>IF(OR(A106="volume",A106="pipe",A106="junction"),Y105+F106*COS(G106*PI()/180)*SIN(H106*PI()/180)+K106,Y105)</f>
        <v>-6.4184252013266274E-7</v>
      </c>
      <c r="Z106" s="39">
        <f>IF(OR(A106="volume",A106="pipe",A106="junction"),Z105+F106*SIN(G106*PI()/180)+L106,Z105)</f>
        <v>-0.83797499999999969</v>
      </c>
    </row>
    <row r="107" spans="1:26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  <c r="X107" s="39">
        <f>IF(OR(A107="volume",A107="pipe",A107="junction"),X106+F107*COS(G107*PI()/180)*COS(H107*PI()/180)+J107,X106)</f>
        <v>0.74161858743393505</v>
      </c>
      <c r="Y107" s="39">
        <f>IF(OR(A107="volume",A107="pipe",A107="junction"),Y106+F107*COS(G107*PI()/180)*SIN(H107*PI()/180)+K107,Y106)</f>
        <v>-6.4184252013266274E-7</v>
      </c>
      <c r="Z107" s="39">
        <f>IF(OR(A107="volume",A107="pipe",A107="junction"),Z106+F107*SIN(G107*PI()/180)+L107,Z106)</f>
        <v>-0.83797499999999969</v>
      </c>
    </row>
    <row r="108" spans="1:26" x14ac:dyDescent="0.25">
      <c r="A108" s="7" t="s">
        <v>47</v>
      </c>
      <c r="B108" s="7" t="s">
        <v>10</v>
      </c>
      <c r="C108" s="30" t="s">
        <v>20</v>
      </c>
      <c r="D108" s="7" t="str">
        <f>CONCATENATE("COMP_",ROW())</f>
        <v>COMP_108</v>
      </c>
      <c r="E108" s="7"/>
      <c r="F108" s="31">
        <v>0</v>
      </c>
      <c r="G108" s="32">
        <v>0</v>
      </c>
      <c r="H108" s="32">
        <v>0</v>
      </c>
      <c r="I108" s="32">
        <v>0</v>
      </c>
      <c r="J108" s="29">
        <v>0</v>
      </c>
      <c r="K108" s="29">
        <v>0</v>
      </c>
      <c r="L108" s="29">
        <v>0</v>
      </c>
      <c r="M108" s="33">
        <v>88.9</v>
      </c>
      <c r="N108" s="33">
        <v>11.12</v>
      </c>
      <c r="O108" s="36"/>
      <c r="P108" s="36"/>
      <c r="Q108" s="7" t="str">
        <f ca="1">OFFSET($A$1,ROW()-3,3)</f>
        <v>PIPE_106</v>
      </c>
      <c r="R108" s="31" t="s">
        <v>44</v>
      </c>
      <c r="S108" s="7" t="str">
        <f>D91</f>
        <v>VOL_91</v>
      </c>
      <c r="T108" s="31">
        <v>0.4</v>
      </c>
      <c r="U108" s="7"/>
      <c r="V108" s="7"/>
      <c r="X108" s="39">
        <f>IF(OR(A108="volume",A108="pipe",A108="junction"),X107+F108*COS(G108*PI()/180)*COS(H108*PI()/180)+J108,X107)</f>
        <v>0.74161858743393505</v>
      </c>
      <c r="Y108" s="39">
        <f>IF(OR(A108="volume",A108="pipe",A108="junction"),Y107+F108*COS(G108*PI()/180)*SIN(H108*PI()/180)+K108,Y107)</f>
        <v>-6.4184252013266274E-7</v>
      </c>
      <c r="Z108" s="39">
        <f>IF(OR(A108="volume",A108="pipe",A108="junction"),Z107+F108*SIN(G108*PI()/180)+L108,Z107)</f>
        <v>-0.83797499999999969</v>
      </c>
    </row>
    <row r="109" spans="1:26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  <c r="X109" s="39">
        <f>IF(OR(A109="volume",A109="pipe",A109="junction"),X108+F109*COS(G109*PI()/180)*COS(H109*PI()/180)+J109,X108)</f>
        <v>0.74161858743393505</v>
      </c>
      <c r="Y109" s="39">
        <f>IF(OR(A109="volume",A109="pipe",A109="junction"),Y108+F109*COS(G109*PI()/180)*SIN(H109*PI()/180)+K109,Y108)</f>
        <v>-6.4184252013266274E-7</v>
      </c>
      <c r="Z109" s="39">
        <f>IF(OR(A109="volume",A109="pipe",A109="junction"),Z108+F109*SIN(G109*PI()/180)+L109,Z108)</f>
        <v>-0.83797499999999969</v>
      </c>
    </row>
    <row r="110" spans="1:26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6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6" x14ac:dyDescent="0.25">
      <c r="A112" s="7" t="s">
        <v>25</v>
      </c>
      <c r="B112" s="7" t="s">
        <v>73</v>
      </c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6" x14ac:dyDescent="0.25">
      <c r="A113" s="7" t="s">
        <v>47</v>
      </c>
      <c r="B113" s="7" t="s">
        <v>10</v>
      </c>
      <c r="C113" s="30" t="s">
        <v>20</v>
      </c>
      <c r="D113" s="7" t="str">
        <f>CONCATENATE("COMP_",ROW())</f>
        <v>COMP_113</v>
      </c>
      <c r="E113" s="7"/>
      <c r="F113" s="31">
        <v>0</v>
      </c>
      <c r="G113" s="32">
        <v>0</v>
      </c>
      <c r="H113" s="32">
        <v>0</v>
      </c>
      <c r="I113" s="32">
        <v>0</v>
      </c>
      <c r="J113" s="29">
        <v>0</v>
      </c>
      <c r="K113" s="29">
        <v>0</v>
      </c>
      <c r="L113" s="29">
        <v>0</v>
      </c>
      <c r="M113" s="33">
        <v>88.9</v>
      </c>
      <c r="N113" s="33">
        <v>11.12</v>
      </c>
      <c r="O113" s="36"/>
      <c r="P113" s="36"/>
      <c r="Q113" s="7" t="str">
        <f>D91</f>
        <v>VOL_91</v>
      </c>
      <c r="R113" s="31">
        <v>0.4</v>
      </c>
      <c r="S113" s="7" t="str">
        <f ca="1">OFFSET($A$1,ROW()+1,3)</f>
        <v>PIPE_115</v>
      </c>
      <c r="T113" s="31" t="s">
        <v>43</v>
      </c>
      <c r="U113" s="7"/>
      <c r="V113" s="7"/>
      <c r="X113" s="39">
        <f>IF(OR(A113="volume",A113="pipe",A113="junction"),X112+F113*COS(G113*PI()/180)*COS(H113*PI()/180)+J113,X112)</f>
        <v>0</v>
      </c>
      <c r="Y113" s="39">
        <f>IF(OR(A113="volume",A113="pipe",A113="junction"),Y112+F113*COS(G113*PI()/180)*SIN(H113*PI()/180)+K113,Y112)</f>
        <v>0</v>
      </c>
      <c r="Z113" s="39">
        <f>IF(OR(A113="volume",A113="pipe",A113="junction"),Z112+F113*SIN(G113*PI()/180)+L113,Z112)</f>
        <v>0</v>
      </c>
    </row>
    <row r="114" spans="1:26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  <c r="X114" s="39">
        <f>IF(OR(A114="volume",A114="pipe",A114="junction"),X113+F114*COS(G114*PI()/180)*COS(H114*PI()/180)+J114,X113)</f>
        <v>0</v>
      </c>
      <c r="Y114" s="39">
        <f>IF(OR(A114="volume",A114="pipe",A114="junction"),Y113+F114*COS(G114*PI()/180)*SIN(H114*PI()/180)+K114,Y113)</f>
        <v>0</v>
      </c>
      <c r="Z114" s="39">
        <f>IF(OR(A114="volume",A114="pipe",A114="junction"),Z113+F114*SIN(G114*PI()/180)+L114,Z113)</f>
        <v>0</v>
      </c>
    </row>
    <row r="115" spans="1:26" x14ac:dyDescent="0.25">
      <c r="A115" s="7" t="s">
        <v>7</v>
      </c>
      <c r="B115" s="7" t="s">
        <v>7</v>
      </c>
      <c r="C115" s="30" t="s">
        <v>7</v>
      </c>
      <c r="D115" s="7" t="str">
        <f t="shared" ref="D115:D119" si="7">CONCATENATE("PIPE_",ROW())</f>
        <v>PIPE_115</v>
      </c>
      <c r="E115" s="7"/>
      <c r="F115" s="31">
        <f>0.38/COS(45*PI()/180)</f>
        <v>0.5374011537017761</v>
      </c>
      <c r="G115" s="32">
        <v>45</v>
      </c>
      <c r="H115" s="32">
        <v>270</v>
      </c>
      <c r="I115" s="32">
        <v>0</v>
      </c>
      <c r="J115" s="29">
        <v>0</v>
      </c>
      <c r="K115" s="29">
        <v>0</v>
      </c>
      <c r="L115" s="29">
        <v>0</v>
      </c>
      <c r="M115" s="33">
        <v>88.9</v>
      </c>
      <c r="N115" s="33">
        <v>11.12</v>
      </c>
      <c r="O115" s="36">
        <v>1.5</v>
      </c>
      <c r="P115" s="36"/>
      <c r="Q115" s="7"/>
      <c r="R115" s="31"/>
      <c r="S115" s="7"/>
      <c r="T115" s="31"/>
      <c r="U115" s="7" t="s">
        <v>63</v>
      </c>
      <c r="V115" s="7"/>
      <c r="X115" s="39">
        <f>IF(OR(A115="volume",A115="pipe",A115="junction"),X114+F115*COS(G115*PI()/180)*COS(H115*PI()/180)+J115,X114)</f>
        <v>-6.9833461929791343E-17</v>
      </c>
      <c r="Y115" s="39">
        <f>IF(OR(A115="volume",A115="pipe",A115="junction"),Y114+F115*COS(G115*PI()/180)*SIN(H115*PI()/180)+K115,Y114)</f>
        <v>-0.38</v>
      </c>
      <c r="Z115" s="39">
        <f>IF(OR(A115="volume",A115="pipe",A115="junction"),Z114+F115*SIN(G115*PI()/180)+L115,Z114)</f>
        <v>0.37999999999999995</v>
      </c>
    </row>
    <row r="116" spans="1:26" x14ac:dyDescent="0.25">
      <c r="A116" s="7" t="s">
        <v>7</v>
      </c>
      <c r="B116" s="7" t="s">
        <v>7</v>
      </c>
      <c r="C116" s="30" t="s">
        <v>7</v>
      </c>
      <c r="D116" s="7" t="str">
        <f t="shared" si="7"/>
        <v>PIPE_116</v>
      </c>
      <c r="E116" s="7"/>
      <c r="F116" s="31">
        <v>0.4</v>
      </c>
      <c r="G116" s="32">
        <v>0</v>
      </c>
      <c r="H116" s="32">
        <v>0</v>
      </c>
      <c r="I116" s="32">
        <v>0</v>
      </c>
      <c r="J116" s="29">
        <v>0</v>
      </c>
      <c r="K116" s="29">
        <v>0</v>
      </c>
      <c r="L116" s="29">
        <v>0</v>
      </c>
      <c r="M116" s="33">
        <v>88.9</v>
      </c>
      <c r="N116" s="33">
        <v>11.12</v>
      </c>
      <c r="O116" s="36">
        <v>1.5</v>
      </c>
      <c r="P116" s="36"/>
      <c r="Q116" s="7"/>
      <c r="R116" s="31"/>
      <c r="S116" s="7"/>
      <c r="T116" s="31"/>
      <c r="U116" s="7" t="s">
        <v>63</v>
      </c>
      <c r="V116" s="7"/>
      <c r="X116" s="39">
        <f>IF(OR(A116="volume",A116="pipe",A116="junction"),X115+F116*COS(G116*PI()/180)*COS(H116*PI()/180)+J116,X115)</f>
        <v>0.39999999999999997</v>
      </c>
      <c r="Y116" s="39">
        <f>IF(OR(A116="volume",A116="pipe",A116="junction"),Y115+F116*COS(G116*PI()/180)*SIN(H116*PI()/180)+K116,Y115)</f>
        <v>-0.38</v>
      </c>
      <c r="Z116" s="39">
        <f>IF(OR(A116="volume",A116="pipe",A116="junction"),Z115+F116*SIN(G116*PI()/180)+L116,Z115)</f>
        <v>0.37999999999999995</v>
      </c>
    </row>
    <row r="117" spans="1:26" x14ac:dyDescent="0.25">
      <c r="A117" s="7" t="s">
        <v>7</v>
      </c>
      <c r="B117" s="7" t="s">
        <v>7</v>
      </c>
      <c r="C117" s="30" t="s">
        <v>7</v>
      </c>
      <c r="D117" s="7" t="str">
        <f t="shared" si="7"/>
        <v>PIPE_117</v>
      </c>
      <c r="E117" s="7"/>
      <c r="F117" s="31">
        <v>0.86</v>
      </c>
      <c r="G117" s="32">
        <v>90</v>
      </c>
      <c r="H117" s="32">
        <v>0</v>
      </c>
      <c r="I117" s="32">
        <v>0</v>
      </c>
      <c r="J117" s="29">
        <v>0</v>
      </c>
      <c r="K117" s="29">
        <v>0</v>
      </c>
      <c r="L117" s="29">
        <v>0</v>
      </c>
      <c r="M117" s="33">
        <v>88.9</v>
      </c>
      <c r="N117" s="33">
        <v>11.12</v>
      </c>
      <c r="O117" s="36">
        <v>1.5</v>
      </c>
      <c r="P117" s="36"/>
      <c r="Q117" s="7"/>
      <c r="R117" s="31"/>
      <c r="S117" s="7"/>
      <c r="T117" s="31"/>
      <c r="U117" s="7" t="s">
        <v>63</v>
      </c>
      <c r="V117" s="7"/>
      <c r="X117" s="39">
        <f>IF(OR(A117="volume",A117="pipe",A117="junction"),X116+F117*COS(G117*PI()/180)*COS(H117*PI()/180)+J117,X116)</f>
        <v>0.4</v>
      </c>
      <c r="Y117" s="39">
        <f>IF(OR(A117="volume",A117="pipe",A117="junction"),Y116+F117*COS(G117*PI()/180)*SIN(H117*PI()/180)+K117,Y116)</f>
        <v>-0.38</v>
      </c>
      <c r="Z117" s="39">
        <f>IF(OR(A117="volume",A117="pipe",A117="junction"),Z116+F117*SIN(G117*PI()/180)+L117,Z116)</f>
        <v>1.24</v>
      </c>
    </row>
    <row r="118" spans="1:26" x14ac:dyDescent="0.25">
      <c r="A118" s="7" t="s">
        <v>7</v>
      </c>
      <c r="B118" s="7" t="s">
        <v>7</v>
      </c>
      <c r="C118" s="30" t="s">
        <v>7</v>
      </c>
      <c r="D118" s="7" t="str">
        <f t="shared" si="7"/>
        <v>PIPE_118</v>
      </c>
      <c r="E118" s="7"/>
      <c r="F118" s="31">
        <v>0</v>
      </c>
      <c r="G118" s="32">
        <v>0</v>
      </c>
      <c r="H118" s="32">
        <v>0</v>
      </c>
      <c r="I118" s="32">
        <v>0</v>
      </c>
      <c r="J118" s="29">
        <v>-0.4</v>
      </c>
      <c r="K118" s="29">
        <v>-0.2</v>
      </c>
      <c r="L118" s="29">
        <v>0</v>
      </c>
      <c r="M118" s="33">
        <v>88.9</v>
      </c>
      <c r="N118" s="33">
        <v>11.12</v>
      </c>
      <c r="O118" s="36">
        <v>1.5</v>
      </c>
      <c r="P118" s="36"/>
      <c r="Q118" s="7"/>
      <c r="R118" s="31"/>
      <c r="S118" s="7"/>
      <c r="T118" s="31"/>
      <c r="U118" s="7" t="s">
        <v>63</v>
      </c>
      <c r="V118" s="7"/>
      <c r="X118" s="39">
        <f>IF(OR(A118="volume",A118="pipe",A118="junction"),X117+F118*COS(G118*PI()/180)*COS(H118*PI()/180)+J118,X117)</f>
        <v>0</v>
      </c>
      <c r="Y118" s="39">
        <f>IF(OR(A118="volume",A118="pipe",A118="junction"),Y117+F118*COS(G118*PI()/180)*SIN(H118*PI()/180)+K118,Y117)</f>
        <v>-0.58000000000000007</v>
      </c>
      <c r="Z118" s="39">
        <f>IF(OR(A118="volume",A118="pipe",A118="junction"),Z117+F118*SIN(G118*PI()/180)+L118,Z117)</f>
        <v>1.24</v>
      </c>
    </row>
    <row r="119" spans="1:26" x14ac:dyDescent="0.25">
      <c r="A119" s="7" t="s">
        <v>7</v>
      </c>
      <c r="B119" s="7" t="s">
        <v>7</v>
      </c>
      <c r="C119" s="30" t="s">
        <v>7</v>
      </c>
      <c r="D119" s="7" t="str">
        <f t="shared" si="7"/>
        <v>PIPE_119</v>
      </c>
      <c r="E119" s="7"/>
      <c r="F119" s="31">
        <v>0</v>
      </c>
      <c r="G119" s="32">
        <v>0</v>
      </c>
      <c r="H119" s="32">
        <v>90</v>
      </c>
      <c r="I119" s="32">
        <v>0</v>
      </c>
      <c r="J119" s="29">
        <v>0</v>
      </c>
      <c r="K119" s="29">
        <v>-0.18099999999999999</v>
      </c>
      <c r="L119" s="29">
        <v>-0.41499999999999998</v>
      </c>
      <c r="M119" s="33">
        <v>88.9</v>
      </c>
      <c r="N119" s="33">
        <v>11.12</v>
      </c>
      <c r="O119" s="36">
        <v>1.5</v>
      </c>
      <c r="P119" s="36"/>
      <c r="Q119" s="7"/>
      <c r="R119" s="31"/>
      <c r="S119" s="7"/>
      <c r="T119" s="31"/>
      <c r="U119" s="7" t="s">
        <v>63</v>
      </c>
      <c r="V119" s="7"/>
      <c r="X119" s="39">
        <f>IF(OR(A119="volume",A119="pipe",A119="junction"),X118+F119*COS(G119*PI()/180)*COS(H119*PI()/180)+J119,X118)</f>
        <v>0</v>
      </c>
      <c r="Y119" s="39">
        <f>IF(OR(A119="volume",A119="pipe",A119="junction"),Y118+F119*COS(G119*PI()/180)*SIN(H119*PI()/180)+K119,Y118)</f>
        <v>-0.76100000000000012</v>
      </c>
      <c r="Z119" s="39">
        <f>IF(OR(A119="volume",A119="pipe",A119="junction"),Z118+F119*SIN(G119*PI()/180)+L119,Z118)</f>
        <v>0.82499999999999996</v>
      </c>
    </row>
    <row r="120" spans="1:26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  <c r="X120" s="39">
        <f>IF(OR(A120="volume",A120="pipe",A120="junction"),X119+F120*COS(G120*PI()/180)*COS(H120*PI()/180)+J120,X119)</f>
        <v>0</v>
      </c>
      <c r="Y120" s="39">
        <f>IF(OR(A120="volume",A120="pipe",A120="junction"),Y119+F120*COS(G120*PI()/180)*SIN(H120*PI()/180)+K120,Y119)</f>
        <v>-0.76100000000000012</v>
      </c>
      <c r="Z120" s="39">
        <f>IF(OR(A120="volume",A120="pipe",A120="junction"),Z119+F120*SIN(G120*PI()/180)+L120,Z119)</f>
        <v>0.82499999999999996</v>
      </c>
    </row>
    <row r="121" spans="1:26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6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6" x14ac:dyDescent="0.25">
      <c r="A123" s="7" t="s">
        <v>25</v>
      </c>
      <c r="B123" s="7" t="s">
        <v>71</v>
      </c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6" x14ac:dyDescent="0.25">
      <c r="A124" s="7" t="s">
        <v>47</v>
      </c>
      <c r="B124" s="7" t="s">
        <v>10</v>
      </c>
      <c r="C124" s="30" t="s">
        <v>20</v>
      </c>
      <c r="D124" s="7" t="str">
        <f>CONCATENATE("COMP_",ROW())</f>
        <v>COMP_124</v>
      </c>
      <c r="E124" s="7"/>
      <c r="F124" s="31">
        <v>0</v>
      </c>
      <c r="G124" s="32">
        <v>0</v>
      </c>
      <c r="H124" s="32">
        <v>0</v>
      </c>
      <c r="I124" s="32">
        <v>0</v>
      </c>
      <c r="J124" s="29">
        <v>0</v>
      </c>
      <c r="K124" s="29">
        <v>0</v>
      </c>
      <c r="L124" s="29">
        <v>0</v>
      </c>
      <c r="M124" s="33">
        <v>88.9</v>
      </c>
      <c r="N124" s="33">
        <v>11.12</v>
      </c>
      <c r="O124" s="36"/>
      <c r="P124" s="36"/>
      <c r="Q124" s="7" t="str">
        <f>D86</f>
        <v>VOL_86</v>
      </c>
      <c r="R124" s="31">
        <v>0.4</v>
      </c>
      <c r="S124" s="7" t="str">
        <f ca="1">OFFSET($A$1,ROW()+1,3)</f>
        <v>PIPE_126</v>
      </c>
      <c r="T124" s="31" t="s">
        <v>43</v>
      </c>
      <c r="U124" s="7"/>
      <c r="V124" s="7"/>
      <c r="X124" s="39">
        <f>IF(OR(A124="volume",A124="pipe",A124="junction"),X123+F124*COS(G124*PI()/180)*COS(H124*PI()/180)+J124,X123)</f>
        <v>0</v>
      </c>
      <c r="Y124" s="39">
        <f>IF(OR(A124="volume",A124="pipe",A124="junction"),Y123+F124*COS(G124*PI()/180)*SIN(H124*PI()/180)+K124,Y123)</f>
        <v>0</v>
      </c>
      <c r="Z124" s="39">
        <f>IF(OR(A124="volume",A124="pipe",A124="junction"),Z123+F124*SIN(G124*PI()/180)+L124,Z123)</f>
        <v>0</v>
      </c>
    </row>
    <row r="125" spans="1:26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  <c r="X125" s="39">
        <f>IF(OR(A125="volume",A125="pipe",A125="junction"),X124+F125*COS(G125*PI()/180)*COS(H125*PI()/180)+J125,X124)</f>
        <v>0</v>
      </c>
      <c r="Y125" s="39">
        <f>IF(OR(A125="volume",A125="pipe",A125="junction"),Y124+F125*COS(G125*PI()/180)*SIN(H125*PI()/180)+K125,Y124)</f>
        <v>0</v>
      </c>
      <c r="Z125" s="39">
        <f>IF(OR(A125="volume",A125="pipe",A125="junction"),Z124+F125*SIN(G125*PI()/180)+L125,Z124)</f>
        <v>0</v>
      </c>
    </row>
    <row r="126" spans="1:26" x14ac:dyDescent="0.25">
      <c r="A126" s="7" t="s">
        <v>7</v>
      </c>
      <c r="B126" s="7" t="s">
        <v>7</v>
      </c>
      <c r="C126" s="30" t="s">
        <v>7</v>
      </c>
      <c r="D126" s="7" t="str">
        <f t="shared" ref="D126:D130" si="8">CONCATENATE("PIPE_",ROW())</f>
        <v>PIPE_126</v>
      </c>
      <c r="E126" s="7"/>
      <c r="F126" s="31">
        <v>0</v>
      </c>
      <c r="G126" s="32">
        <v>0</v>
      </c>
      <c r="H126" s="32">
        <v>0</v>
      </c>
      <c r="I126" s="32">
        <v>0</v>
      </c>
      <c r="J126" s="29">
        <v>0</v>
      </c>
      <c r="K126" s="29">
        <v>-0.18099999999999999</v>
      </c>
      <c r="L126" s="29">
        <v>0.41499999999999998</v>
      </c>
      <c r="M126" s="33">
        <v>88.9</v>
      </c>
      <c r="N126" s="33">
        <v>11.12</v>
      </c>
      <c r="O126" s="36">
        <v>1.5</v>
      </c>
      <c r="P126" s="36"/>
      <c r="Q126" s="7"/>
      <c r="R126" s="31"/>
      <c r="S126" s="7"/>
      <c r="T126" s="31"/>
      <c r="U126" s="7" t="s">
        <v>63</v>
      </c>
      <c r="V126" s="7"/>
      <c r="X126" s="39">
        <f>IF(OR(A126="volume",A126="pipe",A126="junction"),X125+F126*COS(G126*PI()/180)*COS(H126*PI()/180)+J126,X125)</f>
        <v>0</v>
      </c>
      <c r="Y126" s="39">
        <f>IF(OR(A126="volume",A126="pipe",A126="junction"),Y125+F126*COS(G126*PI()/180)*SIN(H126*PI()/180)+K126,Y125)</f>
        <v>-0.18099999999999999</v>
      </c>
      <c r="Z126" s="39">
        <f>IF(OR(A126="volume",A126="pipe",A126="junction"),Z125+F126*SIN(G126*PI()/180)+L126,Z125)</f>
        <v>0.41499999999999998</v>
      </c>
    </row>
    <row r="127" spans="1:26" x14ac:dyDescent="0.25">
      <c r="A127" s="7" t="s">
        <v>7</v>
      </c>
      <c r="B127" s="7" t="s">
        <v>7</v>
      </c>
      <c r="C127" s="30" t="s">
        <v>7</v>
      </c>
      <c r="D127" s="7" t="str">
        <f t="shared" si="8"/>
        <v>PIPE_127</v>
      </c>
      <c r="E127" s="7"/>
      <c r="F127" s="31">
        <v>0</v>
      </c>
      <c r="G127" s="32">
        <v>0</v>
      </c>
      <c r="H127" s="32">
        <v>0</v>
      </c>
      <c r="I127" s="32">
        <v>0</v>
      </c>
      <c r="J127" s="29">
        <v>0.4</v>
      </c>
      <c r="K127" s="29">
        <v>-0.2</v>
      </c>
      <c r="L127" s="29">
        <v>0</v>
      </c>
      <c r="M127" s="33">
        <v>88.9</v>
      </c>
      <c r="N127" s="33">
        <v>11.12</v>
      </c>
      <c r="O127" s="36">
        <v>1.5</v>
      </c>
      <c r="P127" s="36"/>
      <c r="Q127" s="7"/>
      <c r="R127" s="31"/>
      <c r="S127" s="7"/>
      <c r="T127" s="31"/>
      <c r="U127" s="7" t="s">
        <v>63</v>
      </c>
      <c r="V127" s="7"/>
      <c r="X127" s="39">
        <f>IF(OR(A127="volume",A127="pipe",A127="junction"),X126+F127*COS(G127*PI()/180)*COS(H127*PI()/180)+J127,X126)</f>
        <v>0.4</v>
      </c>
      <c r="Y127" s="39">
        <f>IF(OR(A127="volume",A127="pipe",A127="junction"),Y126+F127*COS(G127*PI()/180)*SIN(H127*PI()/180)+K127,Y126)</f>
        <v>-0.38100000000000001</v>
      </c>
      <c r="Z127" s="39">
        <f>IF(OR(A127="volume",A127="pipe",A127="junction"),Z126+F127*SIN(G127*PI()/180)+L127,Z126)</f>
        <v>0.41499999999999998</v>
      </c>
    </row>
    <row r="128" spans="1:26" x14ac:dyDescent="0.25">
      <c r="A128" s="7" t="s">
        <v>7</v>
      </c>
      <c r="B128" s="7" t="s">
        <v>7</v>
      </c>
      <c r="C128" s="30" t="s">
        <v>7</v>
      </c>
      <c r="D128" s="7" t="str">
        <f t="shared" si="8"/>
        <v>PIPE_128</v>
      </c>
      <c r="E128" s="7"/>
      <c r="F128" s="31">
        <v>0</v>
      </c>
      <c r="G128" s="32">
        <v>0</v>
      </c>
      <c r="H128" s="32">
        <v>0</v>
      </c>
      <c r="I128" s="32">
        <v>0</v>
      </c>
      <c r="J128" s="29">
        <v>0</v>
      </c>
      <c r="K128" s="29">
        <v>0</v>
      </c>
      <c r="L128" s="29">
        <f>-0.415-0.838</f>
        <v>-1.2529999999999999</v>
      </c>
      <c r="M128" s="33">
        <v>88.9</v>
      </c>
      <c r="N128" s="33">
        <v>11.12</v>
      </c>
      <c r="O128" s="36">
        <v>1.5</v>
      </c>
      <c r="P128" s="36"/>
      <c r="Q128" s="7"/>
      <c r="R128" s="31"/>
      <c r="S128" s="7"/>
      <c r="T128" s="31"/>
      <c r="U128" s="7" t="s">
        <v>63</v>
      </c>
      <c r="V128" s="7"/>
      <c r="X128" s="39">
        <f>IF(OR(A128="volume",A128="pipe",A128="junction"),X127+F128*COS(G128*PI()/180)*COS(H128*PI()/180)+J128,X127)</f>
        <v>0.4</v>
      </c>
      <c r="Y128" s="39">
        <f>IF(OR(A128="volume",A128="pipe",A128="junction"),Y127+F128*COS(G128*PI()/180)*SIN(H128*PI()/180)+K128,Y127)</f>
        <v>-0.38100000000000001</v>
      </c>
      <c r="Z128" s="39">
        <f>IF(OR(A128="volume",A128="pipe",A128="junction"),Z127+F128*SIN(G128*PI()/180)+L128,Z127)</f>
        <v>-0.83799999999999986</v>
      </c>
    </row>
    <row r="129" spans="1:26" x14ac:dyDescent="0.25">
      <c r="A129" s="7" t="s">
        <v>7</v>
      </c>
      <c r="B129" s="7" t="s">
        <v>7</v>
      </c>
      <c r="C129" s="30" t="s">
        <v>7</v>
      </c>
      <c r="D129" s="7" t="str">
        <f t="shared" si="8"/>
        <v>PIPE_129</v>
      </c>
      <c r="E129" s="7"/>
      <c r="F129" s="31">
        <v>0</v>
      </c>
      <c r="G129" s="32">
        <v>0</v>
      </c>
      <c r="H129" s="32">
        <v>0</v>
      </c>
      <c r="I129" s="32">
        <v>0</v>
      </c>
      <c r="J129" s="29">
        <v>-0.4</v>
      </c>
      <c r="K129" s="29">
        <v>0</v>
      </c>
      <c r="L129" s="29">
        <v>0</v>
      </c>
      <c r="M129" s="33">
        <v>88.9</v>
      </c>
      <c r="N129" s="33">
        <v>11.12</v>
      </c>
      <c r="O129" s="36">
        <v>1.5</v>
      </c>
      <c r="P129" s="36"/>
      <c r="Q129" s="7"/>
      <c r="R129" s="31"/>
      <c r="S129" s="7"/>
      <c r="T129" s="31"/>
      <c r="U129" s="7" t="s">
        <v>63</v>
      </c>
      <c r="V129" s="7"/>
      <c r="X129" s="39">
        <f>IF(OR(A129="volume",A129="pipe",A129="junction"),X128+F129*COS(G129*PI()/180)*COS(H129*PI()/180)+J129,X128)</f>
        <v>0</v>
      </c>
      <c r="Y129" s="39">
        <f>IF(OR(A129="volume",A129="pipe",A129="junction"),Y128+F129*COS(G129*PI()/180)*SIN(H129*PI()/180)+K129,Y128)</f>
        <v>-0.38100000000000001</v>
      </c>
      <c r="Z129" s="39">
        <f>IF(OR(A129="volume",A129="pipe",A129="junction"),Z128+F129*SIN(G129*PI()/180)+L129,Z128)</f>
        <v>-0.83799999999999986</v>
      </c>
    </row>
    <row r="130" spans="1:26" x14ac:dyDescent="0.25">
      <c r="A130" s="7" t="s">
        <v>7</v>
      </c>
      <c r="B130" s="7" t="s">
        <v>7</v>
      </c>
      <c r="C130" s="30" t="s">
        <v>7</v>
      </c>
      <c r="D130" s="7" t="str">
        <f t="shared" si="8"/>
        <v>PIPE_130</v>
      </c>
      <c r="E130" s="7"/>
      <c r="F130" s="31">
        <v>0</v>
      </c>
      <c r="G130" s="32">
        <v>0</v>
      </c>
      <c r="H130" s="32">
        <v>0</v>
      </c>
      <c r="I130" s="32">
        <v>0</v>
      </c>
      <c r="J130" s="29">
        <v>0</v>
      </c>
      <c r="K130" s="29">
        <v>0.38100000000000001</v>
      </c>
      <c r="L130" s="29">
        <v>0</v>
      </c>
      <c r="M130" s="33">
        <v>88.9</v>
      </c>
      <c r="N130" s="33">
        <v>11.12</v>
      </c>
      <c r="O130" s="36">
        <v>1.5</v>
      </c>
      <c r="P130" s="36"/>
      <c r="Q130" s="7"/>
      <c r="R130" s="31"/>
      <c r="S130" s="7"/>
      <c r="T130" s="31"/>
      <c r="U130" s="7" t="s">
        <v>63</v>
      </c>
      <c r="V130" s="7"/>
      <c r="X130" s="39">
        <f>IF(OR(A130="volume",A130="pipe",A130="junction"),X129+F130*COS(G130*PI()/180)*COS(H130*PI()/180)+J130,X129)</f>
        <v>0</v>
      </c>
      <c r="Y130" s="39">
        <f>IF(OR(A130="volume",A130="pipe",A130="junction"),Y129+F130*COS(G130*PI()/180)*SIN(H130*PI()/180)+K130,Y129)</f>
        <v>0</v>
      </c>
      <c r="Z130" s="39">
        <f>IF(OR(A130="volume",A130="pipe",A130="junction"),Z129+F130*SIN(G130*PI()/180)+L130,Z129)</f>
        <v>-0.83799999999999986</v>
      </c>
    </row>
    <row r="131" spans="1:26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  <c r="X131" s="39">
        <f>IF(OR(A131="volume",A131="pipe",A131="junction"),X130+F131*COS(G131*PI()/180)*COS(H131*PI()/180)+J131,X130)</f>
        <v>0</v>
      </c>
      <c r="Y131" s="39">
        <f>IF(OR(A131="volume",A131="pipe",A131="junction"),Y130+F131*COS(G131*PI()/180)*SIN(H131*PI()/180)+K131,Y130)</f>
        <v>0</v>
      </c>
      <c r="Z131" s="39">
        <f>IF(OR(A131="volume",A131="pipe",A131="junction"),Z130+F131*SIN(G131*PI()/180)+L131,Z130)</f>
        <v>-0.83799999999999986</v>
      </c>
    </row>
    <row r="132" spans="1:26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6" x14ac:dyDescent="0.25">
      <c r="A133" s="7" t="s">
        <v>25</v>
      </c>
      <c r="B133" s="7" t="s">
        <v>72</v>
      </c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6" x14ac:dyDescent="0.25">
      <c r="A134" s="7" t="s">
        <v>47</v>
      </c>
      <c r="B134" s="7" t="s">
        <v>10</v>
      </c>
      <c r="C134" s="30" t="s">
        <v>20</v>
      </c>
      <c r="D134" s="7" t="str">
        <f>CONCATENATE("COMP_",ROW())</f>
        <v>COMP_134</v>
      </c>
      <c r="E134" s="7"/>
      <c r="F134" s="31">
        <v>0</v>
      </c>
      <c r="G134" s="32">
        <v>0</v>
      </c>
      <c r="H134" s="32">
        <v>0</v>
      </c>
      <c r="I134" s="32">
        <v>0</v>
      </c>
      <c r="J134" s="29">
        <v>0</v>
      </c>
      <c r="K134" s="29">
        <v>0</v>
      </c>
      <c r="L134" s="29">
        <v>0</v>
      </c>
      <c r="M134" s="33">
        <v>88.9</v>
      </c>
      <c r="N134" s="33">
        <v>11.12</v>
      </c>
      <c r="O134" s="36"/>
      <c r="P134" s="36"/>
      <c r="Q134" s="7" t="str">
        <f>D91</f>
        <v>VOL_91</v>
      </c>
      <c r="R134" s="31">
        <v>0.4</v>
      </c>
      <c r="S134" s="7" t="str">
        <f ca="1">OFFSET($A$1,ROW()+1,3)</f>
        <v>PIPE_136</v>
      </c>
      <c r="T134" s="31" t="s">
        <v>43</v>
      </c>
      <c r="U134" s="7"/>
      <c r="V134" s="7"/>
      <c r="X134" s="39">
        <f>IF(OR(A134="volume",A134="pipe",A134="junction"),X133+F134*COS(G134*PI()/180)*COS(H134*PI()/180)+J134,X133)</f>
        <v>0</v>
      </c>
      <c r="Y134" s="39">
        <f>IF(OR(A134="volume",A134="pipe",A134="junction"),Y133+F134*COS(G134*PI()/180)*SIN(H134*PI()/180)+K134,Y133)</f>
        <v>0</v>
      </c>
      <c r="Z134" s="39">
        <f>IF(OR(A134="volume",A134="pipe",A134="junction"),Z133+F134*SIN(G134*PI()/180)+L134,Z133)</f>
        <v>0</v>
      </c>
    </row>
    <row r="135" spans="1:26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  <c r="X135" s="39">
        <f>IF(OR(A135="volume",A135="pipe",A135="junction"),X134+F135*COS(G135*PI()/180)*COS(H135*PI()/180)+J135,X134)</f>
        <v>0</v>
      </c>
      <c r="Y135" s="39">
        <f>IF(OR(A135="volume",A135="pipe",A135="junction"),Y134+F135*COS(G135*PI()/180)*SIN(H135*PI()/180)+K135,Y134)</f>
        <v>0</v>
      </c>
      <c r="Z135" s="39">
        <f>IF(OR(A135="volume",A135="pipe",A135="junction"),Z134+F135*SIN(G135*PI()/180)+L135,Z134)</f>
        <v>0</v>
      </c>
    </row>
    <row r="136" spans="1:26" x14ac:dyDescent="0.25">
      <c r="A136" s="7" t="s">
        <v>7</v>
      </c>
      <c r="B136" s="7" t="s">
        <v>7</v>
      </c>
      <c r="C136" s="30" t="s">
        <v>7</v>
      </c>
      <c r="D136" s="7" t="str">
        <f t="shared" ref="D136" si="9">CONCATENATE("PIPE_",ROW())</f>
        <v>PIPE_136</v>
      </c>
      <c r="E136" s="7"/>
      <c r="F136" s="31">
        <v>0.56999999999999995</v>
      </c>
      <c r="G136" s="32">
        <f>-(90-35)</f>
        <v>-55</v>
      </c>
      <c r="H136" s="32">
        <v>90</v>
      </c>
      <c r="I136" s="32">
        <v>0</v>
      </c>
      <c r="J136" s="29">
        <v>0</v>
      </c>
      <c r="K136" s="29">
        <v>0</v>
      </c>
      <c r="L136" s="29">
        <v>0</v>
      </c>
      <c r="M136" s="33">
        <v>88.9</v>
      </c>
      <c r="N136" s="33">
        <v>11.12</v>
      </c>
      <c r="O136" s="36">
        <v>1.5</v>
      </c>
      <c r="P136" s="36"/>
      <c r="Q136" s="7"/>
      <c r="R136" s="31"/>
      <c r="S136" s="7"/>
      <c r="T136" s="31"/>
      <c r="U136" s="7" t="s">
        <v>63</v>
      </c>
      <c r="V136" s="7"/>
      <c r="X136" s="39">
        <f>IF(OR(A136="volume",A136="pipe",A136="junction"),X135+F136*COS(G136*PI()/180)*COS(H136*PI()/180)+J136,X135)</f>
        <v>2.0027414115873083E-17</v>
      </c>
      <c r="Y136" s="39">
        <f>IF(OR(A136="volume",A136="pipe",A136="junction"),Y135+F136*COS(G136*PI()/180)*SIN(H136*PI()/180)+K136,Y135)</f>
        <v>0.3269385687200963</v>
      </c>
      <c r="Z136" s="39">
        <f>IF(OR(A136="volume",A136="pipe",A136="junction"),Z135+F136*SIN(G136*PI()/180)+L136,Z135)</f>
        <v>-0.4669166652447253</v>
      </c>
    </row>
    <row r="137" spans="1:26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  <c r="X137" s="39">
        <f>IF(OR(A137="volume",A137="pipe",A137="junction"),X136+F137*COS(G137*PI()/180)*COS(H137*PI()/180)+J137,X136)</f>
        <v>2.0027414115873083E-17</v>
      </c>
      <c r="Y137" s="39">
        <f>IF(OR(A137="volume",A137="pipe",A137="junction"),Y136+F137*COS(G137*PI()/180)*SIN(H137*PI()/180)+K137,Y136)</f>
        <v>0.3269385687200963</v>
      </c>
      <c r="Z137" s="39">
        <f>IF(OR(A137="volume",A137="pipe",A137="junction"),Z136+F137*SIN(G137*PI()/180)+L137,Z136)</f>
        <v>-0.4669166652447253</v>
      </c>
    </row>
    <row r="138" spans="1:26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6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6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6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6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6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6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18" priority="39" stopIfTrue="1">
      <formula>$A16="Pipe"</formula>
    </cfRule>
  </conditionalFormatting>
  <conditionalFormatting sqref="Q183:Q337 S183:S337 J183:J337 U183:U337 A183:A337 O183:O337 M183:M337">
    <cfRule type="expression" dxfId="17" priority="36">
      <formula>OR($A183="Pipe",$A183="Component",$A183="Volume")</formula>
    </cfRule>
  </conditionalFormatting>
  <conditionalFormatting sqref="T183:T337 R183:R337 E183:E337 L183:L337 P183:P337 V183:V337 N183:N337 I183:I337">
    <cfRule type="expression" dxfId="16" priority="37">
      <formula>OR($A183="Pipe",$A183="Component",$A183="Volume")</formula>
    </cfRule>
  </conditionalFormatting>
  <conditionalFormatting sqref="K183:K337 B183:D337 G183:H337">
    <cfRule type="expression" dxfId="15" priority="35">
      <formula>OR($A183="Pipe",$A183="Component",$A183="Volume")</formula>
    </cfRule>
  </conditionalFormatting>
  <conditionalFormatting sqref="U183:V337 A183:P337">
    <cfRule type="expression" dxfId="14" priority="34">
      <formula>$A183="Pipe"</formula>
    </cfRule>
  </conditionalFormatting>
  <conditionalFormatting sqref="Q183:T337">
    <cfRule type="expression" dxfId="13" priority="33">
      <formula>OR($A183="Volume",$A183="Pipe")</formula>
    </cfRule>
  </conditionalFormatting>
  <conditionalFormatting sqref="A183:V337">
    <cfRule type="expression" dxfId="12" priority="32">
      <formula>$A183="Component"</formula>
    </cfRule>
  </conditionalFormatting>
  <conditionalFormatting sqref="U183:V337 A183:P337">
    <cfRule type="expression" dxfId="11" priority="31">
      <formula>$A183="Volume"</formula>
    </cfRule>
  </conditionalFormatting>
  <conditionalFormatting sqref="J183:L337">
    <cfRule type="cellIs" dxfId="10" priority="30" operator="notEqual">
      <formula>0</formula>
    </cfRule>
  </conditionalFormatting>
  <conditionalFormatting sqref="F183:F337">
    <cfRule type="expression" dxfId="9" priority="38">
      <formula>OR($A183="Pipe",$A183="Component",$A183="Volume")</formula>
    </cfRule>
  </conditionalFormatting>
  <conditionalFormatting sqref="T22:V182 A22:P182">
    <cfRule type="expression" dxfId="8" priority="27">
      <formula>$A22="Volume"</formula>
    </cfRule>
    <cfRule type="expression" dxfId="7" priority="29">
      <formula>$A22="Pipe"</formula>
    </cfRule>
  </conditionalFormatting>
  <conditionalFormatting sqref="A22:V182">
    <cfRule type="expression" dxfId="6" priority="25">
      <formula>$A22="Junction"</formula>
    </cfRule>
  </conditionalFormatting>
  <conditionalFormatting sqref="Q22:T182">
    <cfRule type="expression" dxfId="5" priority="24">
      <formula>OR($A22="Pipe",$A22="Volume")</formula>
    </cfRule>
  </conditionalFormatting>
  <conditionalFormatting sqref="J22:L182">
    <cfRule type="expression" dxfId="4" priority="23">
      <formula>AND(OR($A22="Junction",$A22="Pipe",$A22="Volume"),J22&lt;&gt;0)</formula>
    </cfRule>
  </conditionalFormatting>
  <conditionalFormatting sqref="R22:R182 T22:T182">
    <cfRule type="expression" dxfId="3" priority="22">
      <formula>AND($A22="Junction",ISNUMBER(R22))</formula>
    </cfRule>
  </conditionalFormatting>
  <conditionalFormatting sqref="B22:D182 F22:F182 H22:H182 K22:K182">
    <cfRule type="expression" dxfId="2" priority="20">
      <formula>OR($A22="Junction",$A22="Pipe",$A22="Volume")</formula>
    </cfRule>
  </conditionalFormatting>
  <conditionalFormatting sqref="G22:G182 J22:J182 M22:M182 Q22:Q182 S22:S182 U22:U182 A22:A182 O22:O182">
    <cfRule type="expression" dxfId="1" priority="16">
      <formula>OR($A22="Junction",$A22="Pipe",$A22="Volume")</formula>
    </cfRule>
  </conditionalFormatting>
  <conditionalFormatting sqref="E22:E182 I22:I182 L22:L182 N22:N182 P22:P182 R22:R182 T22:T182 V22:V182">
    <cfRule type="expression" dxfId="0" priority="8">
      <formula>OR($A22="Junction",$A22="Pipe",$A22="Volume")</formula>
    </cfRule>
  </conditionalFormatting>
  <dataValidations count="2">
    <dataValidation type="list" allowBlank="1" showInputMessage="1" showErrorMessage="1" sqref="D6:G6" xr:uid="{00000000-0002-0000-0000-000000000000}">
      <mc:AlternateContent xmlns:x12ac="http://schemas.microsoft.com/office/spreadsheetml/2011/1/ac" xmlns:mc="http://schemas.openxmlformats.org/markup-compatibility/2006">
        <mc:Choice Requires="x12ac">
          <x12ac:list>"""C:\Temp\XlsPipePlot-different_frameworks\XlsPipePlotSource\bin\Debug\XlsPipePlot.exe"""</x12ac:list>
        </mc:Choice>
        <mc:Fallback>
          <formula1>"""C:\Temp\XlsPipePlot-different_frameworks\XlsPipePlotSource\bin\Debug\XlsPipePlot.exe"""</formula1>
        </mc:Fallback>
      </mc:AlternateContent>
    </dataValidation>
    <dataValidation type="list" allowBlank="1" showInputMessage="1" showErrorMessage="1" sqref="D5" xr:uid="{00000000-0002-0000-0000-000001000000}">
      <formula1>"'-debug,'-verbose,'"</formula1>
    </dataValidation>
  </dataValidations>
  <hyperlinks>
    <hyperlink ref="D8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419100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</vt:i4>
      </vt:variant>
    </vt:vector>
  </HeadingPairs>
  <TitlesOfParts>
    <vt:vector size="1" baseType="lpstr">
      <vt:lpstr>BDAHSG-01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Edebro Daniel (GN-TPP)</cp:lastModifiedBy>
  <dcterms:created xsi:type="dcterms:W3CDTF">2019-07-12T20:23:23Z</dcterms:created>
  <dcterms:modified xsi:type="dcterms:W3CDTF">2019-08-28T08:27:05Z</dcterms:modified>
</cp:coreProperties>
</file>