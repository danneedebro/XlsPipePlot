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4610"/>
  </bookViews>
  <sheets>
    <sheet name="System" sheetId="4" r:id="rId1"/>
    <sheet name="Blad1" sheetId="5" r:id="rId2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5" i="5" l="1"/>
  <c r="C15" i="5" s="1"/>
  <c r="D15" i="5" s="1"/>
  <c r="E15" i="5" s="1"/>
  <c r="F15" i="5" s="1"/>
  <c r="G15" i="5" s="1"/>
  <c r="H15" i="5" s="1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S15" i="5" s="1"/>
  <c r="T15" i="5" s="1"/>
  <c r="U15" i="5" s="1"/>
  <c r="V15" i="5" s="1"/>
  <c r="H17" i="5"/>
  <c r="D17" i="5"/>
  <c r="D153" i="4"/>
  <c r="B14" i="4" s="1"/>
  <c r="S155" i="4"/>
  <c r="M155" i="4"/>
  <c r="D155" i="4"/>
  <c r="M157" i="4"/>
  <c r="D157" i="4"/>
  <c r="Q159" i="4" s="1"/>
  <c r="M159" i="4"/>
  <c r="D159" i="4"/>
  <c r="M167" i="4"/>
  <c r="D167" i="4"/>
  <c r="S165" i="4" s="1"/>
  <c r="M165" i="4"/>
  <c r="D165" i="4"/>
  <c r="M163" i="4"/>
  <c r="D163" i="4"/>
  <c r="Q165" i="4" s="1"/>
  <c r="M162" i="4"/>
  <c r="D162" i="4"/>
  <c r="M161" i="4"/>
  <c r="D161" i="4"/>
  <c r="S159" i="4" s="1"/>
  <c r="Q144" i="4"/>
  <c r="M144" i="4"/>
  <c r="D144" i="4"/>
  <c r="H142" i="4"/>
  <c r="M142" i="4"/>
  <c r="D142" i="4"/>
  <c r="D149" i="4"/>
  <c r="S144" i="4" s="1"/>
  <c r="H141" i="4"/>
  <c r="M141" i="4"/>
  <c r="D141" i="4"/>
  <c r="S139" i="4" s="1"/>
  <c r="M139" i="4"/>
  <c r="D139" i="4"/>
  <c r="Q126" i="4"/>
  <c r="Q64" i="4"/>
  <c r="S53" i="4"/>
  <c r="Q36" i="4"/>
  <c r="Q155" i="4" l="1"/>
  <c r="D7" i="4"/>
  <c r="B3" i="4"/>
  <c r="C19" i="4" l="1"/>
  <c r="D19" i="4" s="1"/>
  <c r="E19" i="4" s="1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B19" i="4"/>
  <c r="D129" i="4" l="1"/>
  <c r="D134" i="4" l="1"/>
  <c r="S132" i="4" s="1"/>
  <c r="M132" i="4"/>
  <c r="D132" i="4"/>
  <c r="M130" i="4"/>
  <c r="D130" i="4"/>
  <c r="Q132" i="4" s="1"/>
  <c r="F129" i="4"/>
  <c r="M129" i="4"/>
  <c r="F128" i="4"/>
  <c r="M128" i="4"/>
  <c r="D128" i="4"/>
  <c r="M126" i="4"/>
  <c r="D126" i="4"/>
  <c r="F124" i="4"/>
  <c r="M124" i="4"/>
  <c r="D124" i="4"/>
  <c r="M123" i="4"/>
  <c r="D123" i="4"/>
  <c r="M122" i="4"/>
  <c r="D122" i="4"/>
  <c r="M121" i="4"/>
  <c r="D121" i="4"/>
  <c r="M120" i="4"/>
  <c r="D120" i="4"/>
  <c r="M119" i="4"/>
  <c r="D119" i="4"/>
  <c r="S117" i="4" s="1"/>
  <c r="M117" i="4"/>
  <c r="D117" i="4"/>
  <c r="D112" i="4"/>
  <c r="D110" i="4"/>
  <c r="Q112" i="4" s="1"/>
  <c r="F109" i="4"/>
  <c r="D109" i="4"/>
  <c r="S107" i="4" s="1"/>
  <c r="D107" i="4"/>
  <c r="F105" i="4"/>
  <c r="D105" i="4"/>
  <c r="Q107" i="4" s="1"/>
  <c r="F104" i="4"/>
  <c r="D104" i="4"/>
  <c r="S102" i="4" s="1"/>
  <c r="D102" i="4"/>
  <c r="F100" i="4"/>
  <c r="D100" i="4"/>
  <c r="D98" i="4"/>
  <c r="F96" i="4"/>
  <c r="D96" i="4"/>
  <c r="F95" i="4"/>
  <c r="D95" i="4"/>
  <c r="F94" i="4"/>
  <c r="D94" i="4"/>
  <c r="S92" i="4" s="1"/>
  <c r="D92" i="4"/>
  <c r="F90" i="4"/>
  <c r="D90" i="4"/>
  <c r="D88" i="4"/>
  <c r="F86" i="4"/>
  <c r="D86" i="4"/>
  <c r="Q88" i="4" s="1"/>
  <c r="F85" i="4"/>
  <c r="D85" i="4"/>
  <c r="S83" i="4" s="1"/>
  <c r="D83" i="4"/>
  <c r="S81" i="4" s="1"/>
  <c r="D81" i="4"/>
  <c r="D79" i="4"/>
  <c r="Q81" i="4" s="1"/>
  <c r="F77" i="4"/>
  <c r="D77" i="4"/>
  <c r="Q79" i="4" s="1"/>
  <c r="D76" i="4"/>
  <c r="F75" i="4"/>
  <c r="D75" i="4"/>
  <c r="S73" i="4" s="1"/>
  <c r="D73" i="4"/>
  <c r="D71" i="4"/>
  <c r="Q73" i="4" s="1"/>
  <c r="D70" i="4"/>
  <c r="D69" i="4"/>
  <c r="D68" i="4"/>
  <c r="D64" i="4"/>
  <c r="D62" i="4"/>
  <c r="G61" i="4"/>
  <c r="F61" i="4"/>
  <c r="D61" i="4"/>
  <c r="D60" i="4"/>
  <c r="D59" i="4"/>
  <c r="D58" i="4"/>
  <c r="H57" i="4"/>
  <c r="D57" i="4"/>
  <c r="F56" i="4"/>
  <c r="D56" i="4"/>
  <c r="D55" i="4"/>
  <c r="D53" i="4"/>
  <c r="F51" i="4"/>
  <c r="D51" i="4"/>
  <c r="Q53" i="4" s="1"/>
  <c r="F50" i="4"/>
  <c r="D50" i="4"/>
  <c r="S48" i="4" s="1"/>
  <c r="D48" i="4"/>
  <c r="S46" i="4" s="1"/>
  <c r="D46" i="4"/>
  <c r="D44" i="4"/>
  <c r="Q46" i="4" s="1"/>
  <c r="D42" i="4"/>
  <c r="D40" i="4"/>
  <c r="S38" i="4" s="1"/>
  <c r="D38" i="4"/>
  <c r="D36" i="4"/>
  <c r="Q38" i="4" s="1"/>
  <c r="F34" i="4"/>
  <c r="D34" i="4"/>
  <c r="D33" i="4"/>
  <c r="D32" i="4"/>
  <c r="H30" i="4"/>
  <c r="D31" i="4"/>
  <c r="D30" i="4"/>
  <c r="D29" i="4"/>
  <c r="S27" i="4" s="1"/>
  <c r="D27" i="4"/>
  <c r="D25" i="4"/>
  <c r="B13" i="4" s="1"/>
  <c r="S36" i="4" l="1"/>
  <c r="Q40" i="4"/>
  <c r="Q48" i="4"/>
  <c r="S44" i="4"/>
  <c r="Q102" i="4"/>
  <c r="S98" i="4"/>
  <c r="Q83" i="4"/>
  <c r="S79" i="4"/>
  <c r="S64" i="4"/>
  <c r="Q98" i="4"/>
  <c r="Q139" i="4"/>
  <c r="S126" i="4"/>
  <c r="Q44" i="4"/>
  <c r="S40" i="4"/>
  <c r="Q92" i="4"/>
  <c r="S88" i="4"/>
  <c r="S112" i="4"/>
  <c r="Q27" i="4"/>
  <c r="Q117" i="4"/>
</calcChain>
</file>

<file path=xl/sharedStrings.xml><?xml version="1.0" encoding="utf-8"?>
<sst xmlns="http://schemas.openxmlformats.org/spreadsheetml/2006/main" count="384" uniqueCount="82">
  <si>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</si>
  <si>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</si>
  <si>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</si>
  <si>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</si>
  <si>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</si>
  <si>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</si>
  <si>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</si>
  <si>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</si>
  <si>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</si>
  <si>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</si>
  <si>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</si>
  <si>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</si>
  <si>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</si>
  <si>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</si>
  <si>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</si>
  <si>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</si>
  <si>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</si>
  <si>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</si>
  <si>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</si>
  <si>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</si>
  <si>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</si>
  <si>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</si>
  <si>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</si>
  <si>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</si>
  <si>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</si>
  <si>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</si>
  <si>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</si>
  <si>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Out5.scad</t>
  </si>
  <si>
    <t>Refvol</t>
  </si>
  <si>
    <t>Flowpath</t>
  </si>
  <si>
    <t>LCV115C</t>
  </si>
  <si>
    <t>LCV115E</t>
  </si>
  <si>
    <t>V8440</t>
  </si>
  <si>
    <t>??? Längd</t>
  </si>
  <si>
    <t>??? Vinkel</t>
  </si>
  <si>
    <t>From VCT to common suction header 8"</t>
  </si>
  <si>
    <t>LCV115B</t>
  </si>
  <si>
    <t>V8127A</t>
  </si>
  <si>
    <t>V8127B</t>
  </si>
  <si>
    <t>Tee</t>
  </si>
  <si>
    <t>V8128A</t>
  </si>
  <si>
    <t>Tee from CS-19-1 at node 2</t>
  </si>
  <si>
    <t>V8128B</t>
  </si>
  <si>
    <t>Tee against CS-4 at node 2</t>
  </si>
  <si>
    <t>LCV115D</t>
  </si>
  <si>
    <t>Towards charging pump 2</t>
  </si>
  <si>
    <t>gh</t>
  </si>
  <si>
    <t>sd Tee avluftning nod 2</t>
  </si>
  <si>
    <t>Tee towards CS-3 at node 2</t>
  </si>
  <si>
    <t>Notes</t>
  </si>
  <si>
    <t>V8471B.scad</t>
  </si>
  <si>
    <t>Template</t>
  </si>
  <si>
    <t>Dwg</t>
  </si>
  <si>
    <t>Family</t>
  </si>
  <si>
    <t>Tee on Node 2</t>
  </si>
  <si>
    <t>Volume</t>
  </si>
  <si>
    <t>Component</t>
  </si>
  <si>
    <t>From RWST</t>
  </si>
  <si>
    <t>Conditional formatting below this line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</si>
  <si>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</si>
  <si>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</si>
  <si>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</si>
  <si>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</si>
  <si>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</si>
  <si>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</si>
  <si>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</si>
  <si>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</si>
  <si>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</si>
  <si>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</si>
  <si>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</si>
  <si>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</si>
  <si>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"C:\Users\Danne\Dropbox\Programmering\XlsPipePlot\XlsPipePlot\bin\Debug\XlsPipePlot.exe"</t>
  </si>
  <si>
    <t>A</t>
  </si>
  <si>
    <t>B</t>
  </si>
  <si>
    <t>Connects 0.5 m after V8471B</t>
  </si>
  <si>
    <t>Connects at 0.5 from top of tank</t>
  </si>
  <si>
    <t>Cylinder.scad</t>
  </si>
  <si>
    <t>V1</t>
  </si>
  <si>
    <t>Daba</t>
  </si>
  <si>
    <t>2,8,11</t>
  </si>
  <si>
    <t>4,8,11</t>
  </si>
  <si>
    <t>PIPE_17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</si>
</sst>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\°"/>
    <numFmt numFmtId="165" formatCode="0.000\ \m"/>
    <numFmt numFmtId="166" formatCode="0.00\ \m\m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8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7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Alignment="1"/>
    <xf numFmtId="165" fontId="1" fillId="0" borderId="0" xfId="0" applyNumberFormat="1" applyFont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</cellXfs>
  <cellStyles count="2">
    <cellStyle name="Hyperlänk" xfId="1" builtinId="8"/>
    <cellStyle name="Normal" xfId="0" builtinId="0"/>
  </cellStyles>
  <dxfs count="357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  <dxf>
      <border>
        <left style="thin">
          <color indexed="64"/>
        </left>
      </border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+Comp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B358"/>
  <sheetViews>
    <sheetView tabSelected="1" zoomScale="85" zoomScaleNormal="85" workbookViewId="0">
      <pane ySplit="4" topLeftCell="A16" activePane="bottomLeft" state="frozenSplit"/>
      <selection pane="bottomLeft" activeCell="A29" sqref="A29:V29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</cols>
  <sheetData>
    <row r="1" spans="1:26" s="13" customFormat="1" ht="18" x14ac:dyDescent="0.25">
      <c r="A1" s="11" t="s">
        <v>53</v>
      </c>
      <c r="B1" s="11" t="s">
        <v>0</v>
      </c>
      <c r="C1" s="11" t="s">
        <v>1</v>
      </c>
      <c r="D1" s="11" t="s">
        <v>18</v>
      </c>
      <c r="E1" s="11" t="s">
        <v>51</v>
      </c>
      <c r="F1" s="11" t="s">
        <v>2</v>
      </c>
      <c r="G1" s="11" t="s">
        <v>3</v>
      </c>
      <c r="H1" s="11" t="s">
        <v>4</v>
      </c>
      <c r="I1" s="11" t="s">
        <v>25</v>
      </c>
      <c r="J1" s="11" t="s">
        <v>19</v>
      </c>
      <c r="K1" s="11" t="s">
        <v>20</v>
      </c>
      <c r="L1" s="11" t="s">
        <v>21</v>
      </c>
      <c r="M1" s="11" t="s">
        <v>8</v>
      </c>
      <c r="N1" s="11" t="s">
        <v>16</v>
      </c>
      <c r="O1" s="12" t="s">
        <v>5</v>
      </c>
      <c r="P1" s="12" t="s">
        <v>6</v>
      </c>
      <c r="Q1" s="11" t="s">
        <v>12</v>
      </c>
      <c r="R1" s="11" t="s">
        <v>15</v>
      </c>
      <c r="S1" s="11" t="s">
        <v>13</v>
      </c>
      <c r="T1" s="11" t="s">
        <v>14</v>
      </c>
      <c r="U1" s="11" t="s">
        <v>52</v>
      </c>
      <c r="V1" s="11" t="s">
        <v>49</v>
      </c>
      <c r="W1" s="11"/>
      <c r="Y1" s="11"/>
      <c r="Z1" s="11"/>
    </row>
    <row r="2" spans="1:26" s="13" customFormat="1" x14ac:dyDescent="0.25">
      <c r="A2" s="13" t="s">
        <v>26</v>
      </c>
      <c r="B2" s="13" t="s">
        <v>27</v>
      </c>
      <c r="O2" s="14"/>
      <c r="P2" s="14"/>
    </row>
    <row r="3" spans="1:26" s="13" customFormat="1" x14ac:dyDescent="0.25">
      <c r="B3" s="15" t="str">
        <f>HYPERLINK(B2,"(Link)")</f>
        <v>(Link)</v>
      </c>
      <c r="D3" s="15"/>
      <c r="E3" s="15"/>
      <c r="O3" s="14"/>
      <c r="P3" s="14"/>
    </row>
    <row r="4" spans="1:26" s="13" customFormat="1" x14ac:dyDescent="0.25"/>
    <row r="5" spans="1:26" ht="18.75" x14ac:dyDescent="0.3">
      <c r="A5" s="16" t="s">
        <v>59</v>
      </c>
      <c r="O5"/>
      <c r="P5"/>
    </row>
    <row r="6" spans="1:26" x14ac:dyDescent="0.25">
      <c r="A6" s="30" t="s">
        <v>60</v>
      </c>
      <c r="B6" s="30"/>
      <c r="C6" s="30"/>
      <c r="D6" s="31" t="s">
        <v>71</v>
      </c>
      <c r="E6" s="31"/>
      <c r="F6" s="31"/>
      <c r="G6" s="31"/>
      <c r="O6"/>
      <c r="P6"/>
    </row>
    <row r="7" spans="1:26" x14ac:dyDescent="0.25">
      <c r="A7" t="s">
        <v>70</v>
      </c>
      <c r="D7" s="5" t="str">
        <f>HYPERLINK(SUBSTITUTE(D6,"XlsPipePlot.exe","Components\"))</f>
        <v>"C:\Users\Danne\Dropbox\Programmering\XlsPipePlot\XlsPipePlot\bin\Debug\Components\"</v>
      </c>
      <c r="O7"/>
      <c r="P7"/>
    </row>
    <row r="8" spans="1:26" x14ac:dyDescent="0.25">
      <c r="A8" s="30" t="s">
        <v>61</v>
      </c>
      <c r="B8" s="30"/>
      <c r="C8" s="30"/>
      <c r="D8" s="5" t="s">
        <v>62</v>
      </c>
      <c r="O8"/>
      <c r="P8"/>
    </row>
    <row r="9" spans="1:26" x14ac:dyDescent="0.25">
      <c r="O9"/>
      <c r="P9"/>
    </row>
    <row r="10" spans="1:26" ht="18.75" x14ac:dyDescent="0.3">
      <c r="A10" s="16" t="s">
        <v>63</v>
      </c>
      <c r="O10"/>
      <c r="P10"/>
    </row>
    <row r="11" spans="1:26" x14ac:dyDescent="0.25">
      <c r="A11" t="s">
        <v>64</v>
      </c>
      <c r="O11"/>
      <c r="P11"/>
    </row>
    <row r="12" spans="1:26" ht="18" x14ac:dyDescent="0.35">
      <c r="A12" s="17" t="s">
        <v>65</v>
      </c>
      <c r="B12" s="18" t="s">
        <v>18</v>
      </c>
      <c r="C12" s="19" t="s">
        <v>66</v>
      </c>
      <c r="D12" s="20" t="s">
        <v>67</v>
      </c>
      <c r="E12" s="21" t="s">
        <v>68</v>
      </c>
      <c r="F12" s="19" t="s">
        <v>69</v>
      </c>
      <c r="O12"/>
      <c r="P12"/>
    </row>
    <row r="13" spans="1:26" x14ac:dyDescent="0.25">
      <c r="A13" s="22" t="s">
        <v>28</v>
      </c>
      <c r="B13" s="23" t="str">
        <f>D25</f>
        <v>TANK_25</v>
      </c>
      <c r="C13" s="24">
        <v>1</v>
      </c>
      <c r="D13" s="25">
        <v>0</v>
      </c>
      <c r="E13" s="26">
        <v>0</v>
      </c>
      <c r="F13" s="27">
        <v>50</v>
      </c>
      <c r="O13"/>
      <c r="P13"/>
    </row>
    <row r="14" spans="1:26" x14ac:dyDescent="0.25">
      <c r="A14" s="22" t="s">
        <v>28</v>
      </c>
      <c r="B14" s="23" t="str">
        <f>D153</f>
        <v>VOL_153</v>
      </c>
      <c r="C14" s="24">
        <v>2</v>
      </c>
      <c r="D14" s="25">
        <v>0</v>
      </c>
      <c r="E14" s="26">
        <v>0</v>
      </c>
      <c r="F14" s="27">
        <v>100</v>
      </c>
      <c r="O14"/>
      <c r="P14"/>
    </row>
    <row r="15" spans="1:26" x14ac:dyDescent="0.25">
      <c r="A15" s="22"/>
      <c r="B15" s="23"/>
      <c r="C15" s="24"/>
      <c r="D15" s="25"/>
      <c r="E15" s="26"/>
      <c r="F15" s="27"/>
      <c r="O15"/>
      <c r="P15"/>
    </row>
    <row r="16" spans="1:26" x14ac:dyDescent="0.25">
      <c r="A16" s="22"/>
      <c r="B16" s="23"/>
      <c r="C16" s="24"/>
      <c r="D16" s="25"/>
      <c r="E16" s="26"/>
      <c r="F16" s="27"/>
      <c r="O16"/>
      <c r="P16"/>
    </row>
    <row r="17" spans="1:28" x14ac:dyDescent="0.25">
      <c r="A17" s="22"/>
      <c r="B17" s="23"/>
      <c r="C17" s="24"/>
      <c r="D17" s="25"/>
      <c r="E17" s="26"/>
      <c r="F17" s="27"/>
      <c r="O17"/>
      <c r="P17"/>
    </row>
    <row r="18" spans="1:28" x14ac:dyDescent="0.25">
      <c r="A18" s="28"/>
      <c r="B18" s="28"/>
      <c r="C18" s="28"/>
      <c r="D18" s="29"/>
      <c r="E18" s="29"/>
      <c r="F18" s="29"/>
      <c r="O18"/>
      <c r="P18"/>
    </row>
    <row r="19" spans="1:28" x14ac:dyDescent="0.25">
      <c r="A19">
        <v>1</v>
      </c>
      <c r="B19">
        <f>A19+1</f>
        <v>2</v>
      </c>
      <c r="C19">
        <f t="shared" ref="C19:V19" si="0">B19+1</f>
        <v>3</v>
      </c>
      <c r="D19">
        <f t="shared" si="0"/>
        <v>4</v>
      </c>
      <c r="E19">
        <f t="shared" si="0"/>
        <v>5</v>
      </c>
      <c r="F19">
        <f t="shared" si="0"/>
        <v>6</v>
      </c>
      <c r="G19">
        <f t="shared" si="0"/>
        <v>7</v>
      </c>
      <c r="H19">
        <f t="shared" si="0"/>
        <v>8</v>
      </c>
      <c r="I19">
        <f t="shared" si="0"/>
        <v>9</v>
      </c>
      <c r="J19">
        <f t="shared" si="0"/>
        <v>10</v>
      </c>
      <c r="K19">
        <f t="shared" si="0"/>
        <v>11</v>
      </c>
      <c r="L19">
        <f t="shared" si="0"/>
        <v>12</v>
      </c>
      <c r="M19">
        <f t="shared" si="0"/>
        <v>13</v>
      </c>
      <c r="N19">
        <f t="shared" si="0"/>
        <v>14</v>
      </c>
      <c r="O19">
        <f t="shared" si="0"/>
        <v>15</v>
      </c>
      <c r="P19">
        <f t="shared" si="0"/>
        <v>16</v>
      </c>
      <c r="Q19">
        <f t="shared" si="0"/>
        <v>17</v>
      </c>
      <c r="R19">
        <f t="shared" si="0"/>
        <v>18</v>
      </c>
      <c r="S19">
        <f t="shared" si="0"/>
        <v>19</v>
      </c>
      <c r="T19">
        <f t="shared" si="0"/>
        <v>20</v>
      </c>
      <c r="U19">
        <f t="shared" si="0"/>
        <v>21</v>
      </c>
      <c r="V19">
        <f t="shared" si="0"/>
        <v>22</v>
      </c>
    </row>
    <row r="20" spans="1:28" x14ac:dyDescent="0.25">
      <c r="O20"/>
      <c r="P20"/>
    </row>
    <row r="21" spans="1:28" ht="15.75" thickBot="1" x14ac:dyDescent="0.3">
      <c r="A21" s="10" t="s">
        <v>58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8" x14ac:dyDescent="0.25">
      <c r="C22" s="6"/>
      <c r="F22" s="1"/>
      <c r="G22" s="2"/>
      <c r="H22" s="2"/>
      <c r="I22" s="2"/>
      <c r="J22" s="4"/>
      <c r="K22" s="4"/>
      <c r="L22" s="4"/>
      <c r="M22" s="3"/>
      <c r="N22" s="3"/>
      <c r="O22" s="9"/>
      <c r="R22" s="1"/>
      <c r="T22" s="1"/>
    </row>
    <row r="23" spans="1:28" x14ac:dyDescent="0.25">
      <c r="C23" s="6"/>
      <c r="F23" s="1"/>
      <c r="G23" s="2"/>
      <c r="H23" s="2"/>
      <c r="I23" s="2"/>
      <c r="J23" s="4"/>
      <c r="K23" s="4"/>
      <c r="L23" s="4"/>
      <c r="M23" s="3"/>
      <c r="N23" s="3"/>
      <c r="O23" s="9"/>
      <c r="R23" s="1"/>
      <c r="T23" s="1"/>
    </row>
    <row r="24" spans="1:28" x14ac:dyDescent="0.25">
      <c r="A24" t="s">
        <v>29</v>
      </c>
      <c r="B24" t="s">
        <v>35</v>
      </c>
      <c r="C24" s="6"/>
      <c r="F24" s="1"/>
      <c r="G24" s="2"/>
      <c r="H24" s="2"/>
      <c r="I24" s="2"/>
      <c r="J24" s="4"/>
      <c r="K24" s="4"/>
      <c r="L24" s="4"/>
      <c r="M24" s="3"/>
      <c r="N24" s="3"/>
      <c r="O24" s="9"/>
      <c r="R24" s="1"/>
      <c r="T24" s="1"/>
    </row>
    <row r="25" spans="1:28" x14ac:dyDescent="0.25">
      <c r="A25" t="s">
        <v>55</v>
      </c>
      <c r="B25" t="s">
        <v>23</v>
      </c>
      <c r="C25" s="6" t="s">
        <v>24</v>
      </c>
      <c r="D25" t="str">
        <f>CONCATENATE("TANK_",ROW())</f>
        <v>TANK_25</v>
      </c>
      <c r="F25" s="1">
        <v>2</v>
      </c>
      <c r="G25" s="2">
        <v>-90</v>
      </c>
      <c r="H25" s="2">
        <v>0</v>
      </c>
      <c r="I25" s="2">
        <v>0</v>
      </c>
      <c r="J25" s="4">
        <v>0</v>
      </c>
      <c r="K25" s="4">
        <v>0</v>
      </c>
      <c r="L25" s="4">
        <v>0</v>
      </c>
      <c r="M25" s="3">
        <v>1200</v>
      </c>
      <c r="N25" s="3">
        <v>2.02</v>
      </c>
      <c r="Q25" t="s">
        <v>17</v>
      </c>
      <c r="R25" s="1"/>
      <c r="S25" t="s">
        <v>17</v>
      </c>
      <c r="T25" s="1"/>
      <c r="V25" t="s">
        <v>17</v>
      </c>
    </row>
    <row r="26" spans="1:28" x14ac:dyDescent="0.25">
      <c r="C26" s="6"/>
      <c r="F26" s="1"/>
      <c r="G26" s="2"/>
      <c r="H26" s="2"/>
      <c r="I26" s="2"/>
      <c r="J26" s="4"/>
      <c r="K26" s="4"/>
      <c r="L26" s="4"/>
      <c r="M26" s="3"/>
      <c r="N26" s="3"/>
      <c r="R26" s="1"/>
      <c r="T26" s="1"/>
    </row>
    <row r="27" spans="1:28" x14ac:dyDescent="0.25">
      <c r="A27" t="s">
        <v>56</v>
      </c>
      <c r="B27" t="s">
        <v>11</v>
      </c>
      <c r="C27" s="6" t="s">
        <v>22</v>
      </c>
      <c r="D27" t="str">
        <f>CONCATENATE("COMP_",ROW())</f>
        <v>COMP_27</v>
      </c>
      <c r="F27" s="1">
        <v>0</v>
      </c>
      <c r="G27" s="2">
        <v>0</v>
      </c>
      <c r="H27" s="2">
        <v>0</v>
      </c>
      <c r="I27" s="2">
        <v>0</v>
      </c>
      <c r="J27" s="4">
        <v>0</v>
      </c>
      <c r="K27" s="4">
        <v>0</v>
      </c>
      <c r="L27" s="4">
        <v>0</v>
      </c>
      <c r="M27" s="3">
        <v>97.93</v>
      </c>
      <c r="N27" s="3">
        <v>2.02</v>
      </c>
      <c r="Q27" t="str">
        <f ca="1">OFFSET($A$1,ROW()-3,3)</f>
        <v>TANK_25</v>
      </c>
      <c r="R27" s="1" t="s">
        <v>73</v>
      </c>
      <c r="S27" t="str">
        <f ca="1">OFFSET($A$1,ROW()+1,3)</f>
        <v>PIPE_29</v>
      </c>
      <c r="T27" s="1" t="s">
        <v>72</v>
      </c>
    </row>
    <row r="28" spans="1:28" x14ac:dyDescent="0.25">
      <c r="C28" s="6"/>
      <c r="F28" s="1"/>
      <c r="G28" s="2"/>
      <c r="H28" s="2"/>
      <c r="I28" s="2"/>
      <c r="J28" s="4"/>
      <c r="K28" s="4"/>
      <c r="L28" s="4"/>
      <c r="M28" s="3"/>
      <c r="N28" s="3"/>
      <c r="R28" s="1"/>
      <c r="T28" s="1"/>
    </row>
    <row r="29" spans="1:28" x14ac:dyDescent="0.25">
      <c r="A29" t="s">
        <v>7</v>
      </c>
      <c r="B29" t="s">
        <v>7</v>
      </c>
      <c r="C29" s="6" t="s">
        <v>7</v>
      </c>
      <c r="D29" t="str">
        <f t="shared" ref="D29:D34" si="1">CONCATENATE("PIPE_",ROW())</f>
        <v>PIPE_29</v>
      </c>
      <c r="F29" s="1">
        <v>0.5</v>
      </c>
      <c r="G29" s="2">
        <v>-90</v>
      </c>
      <c r="H29" s="2">
        <v>0</v>
      </c>
      <c r="I29" s="2">
        <v>0</v>
      </c>
      <c r="J29" s="4">
        <v>0</v>
      </c>
      <c r="K29" s="4">
        <v>0</v>
      </c>
      <c r="L29" s="4">
        <v>0</v>
      </c>
      <c r="M29" s="3">
        <v>114.3</v>
      </c>
      <c r="N29" s="3">
        <v>3.05</v>
      </c>
      <c r="O29" s="8">
        <v>1.5</v>
      </c>
      <c r="R29" s="1"/>
      <c r="T29" s="1"/>
      <c r="V29" t="s">
        <v>54</v>
      </c>
    </row>
    <row r="30" spans="1:28" x14ac:dyDescent="0.25">
      <c r="A30" t="s">
        <v>7</v>
      </c>
      <c r="B30" t="s">
        <v>7</v>
      </c>
      <c r="C30" s="6" t="s">
        <v>7</v>
      </c>
      <c r="D30" t="str">
        <f t="shared" si="1"/>
        <v>PIPE_30</v>
      </c>
      <c r="F30" s="1">
        <v>1.972</v>
      </c>
      <c r="G30" s="2">
        <v>0</v>
      </c>
      <c r="H30" s="2">
        <f>270+ATAN(1000/1700)*180/PI()</f>
        <v>300.46554491945989</v>
      </c>
      <c r="I30" s="2">
        <v>0</v>
      </c>
      <c r="J30" s="4">
        <v>0</v>
      </c>
      <c r="K30" s="4">
        <v>0</v>
      </c>
      <c r="L30" s="4">
        <v>0</v>
      </c>
      <c r="M30" s="3">
        <v>114.3</v>
      </c>
      <c r="N30" s="3">
        <v>3.05</v>
      </c>
      <c r="O30" s="8">
        <v>1.5</v>
      </c>
      <c r="R30" s="1"/>
      <c r="T30" s="1"/>
      <c r="V30" t="s">
        <v>17</v>
      </c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t="s">
        <v>7</v>
      </c>
      <c r="B31" t="s">
        <v>7</v>
      </c>
      <c r="C31" s="6" t="s">
        <v>7</v>
      </c>
      <c r="D31" t="str">
        <f t="shared" si="1"/>
        <v>PIPE_31</v>
      </c>
      <c r="F31" s="1">
        <v>1.5</v>
      </c>
      <c r="G31" s="2">
        <v>-90</v>
      </c>
      <c r="H31" s="2">
        <v>0</v>
      </c>
      <c r="I31" s="2">
        <v>0</v>
      </c>
      <c r="J31" s="4">
        <v>0</v>
      </c>
      <c r="K31" s="4">
        <v>0</v>
      </c>
      <c r="L31" s="4">
        <v>0</v>
      </c>
      <c r="M31" s="3">
        <v>114.3</v>
      </c>
      <c r="N31" s="3">
        <v>3.05</v>
      </c>
      <c r="O31" s="8">
        <v>1.5</v>
      </c>
      <c r="R31" s="1"/>
      <c r="T31" s="1"/>
    </row>
    <row r="32" spans="1:28" x14ac:dyDescent="0.25">
      <c r="A32" t="s">
        <v>7</v>
      </c>
      <c r="B32" t="s">
        <v>7</v>
      </c>
      <c r="C32" s="6" t="s">
        <v>7</v>
      </c>
      <c r="D32" t="str">
        <f t="shared" si="1"/>
        <v>PIPE_32</v>
      </c>
      <c r="F32" s="1">
        <v>0.5</v>
      </c>
      <c r="G32" s="2">
        <v>0</v>
      </c>
      <c r="H32" s="2">
        <v>270</v>
      </c>
      <c r="I32" s="2">
        <v>0</v>
      </c>
      <c r="J32" s="4">
        <v>0</v>
      </c>
      <c r="K32" s="4">
        <v>0</v>
      </c>
      <c r="L32" s="4">
        <v>0</v>
      </c>
      <c r="M32" s="3">
        <v>114.3</v>
      </c>
      <c r="N32" s="3">
        <v>3.05</v>
      </c>
      <c r="O32" s="8">
        <v>1.5</v>
      </c>
      <c r="R32" s="1"/>
      <c r="T32" s="1"/>
    </row>
    <row r="33" spans="1:20" x14ac:dyDescent="0.25">
      <c r="A33" t="s">
        <v>7</v>
      </c>
      <c r="B33" t="s">
        <v>7</v>
      </c>
      <c r="C33" s="6" t="s">
        <v>7</v>
      </c>
      <c r="D33" t="str">
        <f t="shared" si="1"/>
        <v>PIPE_33</v>
      </c>
      <c r="F33" s="1">
        <v>1.7</v>
      </c>
      <c r="G33" s="2">
        <v>-90</v>
      </c>
      <c r="H33" s="2">
        <v>0</v>
      </c>
      <c r="I33" s="2">
        <v>0</v>
      </c>
      <c r="J33" s="4">
        <v>0</v>
      </c>
      <c r="K33" s="4">
        <v>0</v>
      </c>
      <c r="L33" s="4">
        <v>0</v>
      </c>
      <c r="M33" s="3">
        <v>114.3</v>
      </c>
      <c r="N33" s="3">
        <v>3.05</v>
      </c>
      <c r="O33" s="8">
        <v>1.5</v>
      </c>
      <c r="R33" s="1"/>
      <c r="T33" s="1"/>
    </row>
    <row r="34" spans="1:20" x14ac:dyDescent="0.25">
      <c r="A34" t="s">
        <v>7</v>
      </c>
      <c r="B34" t="s">
        <v>7</v>
      </c>
      <c r="C34" s="6" t="s">
        <v>7</v>
      </c>
      <c r="D34" t="str">
        <f t="shared" si="1"/>
        <v>PIPE_34</v>
      </c>
      <c r="F34" s="1">
        <f>0.152+0.221</f>
        <v>0.373</v>
      </c>
      <c r="G34" s="2">
        <v>0</v>
      </c>
      <c r="H34" s="2">
        <v>90</v>
      </c>
      <c r="I34" s="2">
        <v>0</v>
      </c>
      <c r="J34" s="4">
        <v>0</v>
      </c>
      <c r="K34" s="4">
        <v>0</v>
      </c>
      <c r="L34" s="4">
        <v>0</v>
      </c>
      <c r="M34" s="3">
        <v>114.3</v>
      </c>
      <c r="N34" s="3">
        <v>3.05</v>
      </c>
      <c r="O34" s="8">
        <v>1.5</v>
      </c>
      <c r="R34" s="1"/>
      <c r="T34" s="1"/>
    </row>
    <row r="35" spans="1:20" x14ac:dyDescent="0.25">
      <c r="C35" s="6"/>
      <c r="F35" s="1"/>
      <c r="G35" s="2"/>
      <c r="H35" s="2"/>
      <c r="I35" s="2"/>
      <c r="J35" s="4"/>
      <c r="K35" s="4"/>
      <c r="L35" s="4"/>
      <c r="M35" s="3"/>
      <c r="N35" s="3"/>
      <c r="R35" s="1"/>
      <c r="T35" s="1"/>
    </row>
    <row r="36" spans="1:20" x14ac:dyDescent="0.25">
      <c r="A36" t="s">
        <v>56</v>
      </c>
      <c r="B36" t="s">
        <v>9</v>
      </c>
      <c r="C36" s="6" t="s">
        <v>22</v>
      </c>
      <c r="D36" t="str">
        <f>CONCATENATE("COMP_",ROW())</f>
        <v>COMP_36</v>
      </c>
      <c r="F36" s="1">
        <v>0.1</v>
      </c>
      <c r="G36" s="2">
        <v>0</v>
      </c>
      <c r="H36" s="2">
        <v>90</v>
      </c>
      <c r="I36" s="2">
        <v>0</v>
      </c>
      <c r="J36" s="4">
        <v>0</v>
      </c>
      <c r="K36" s="4">
        <v>0</v>
      </c>
      <c r="L36" s="4">
        <v>0</v>
      </c>
      <c r="M36" s="3">
        <v>125</v>
      </c>
      <c r="N36" s="3">
        <v>2.02</v>
      </c>
      <c r="O36" s="8">
        <v>0.125</v>
      </c>
      <c r="Q36" t="str">
        <f ca="1">OFFSET($A$1,ROW()-3,3)</f>
        <v>PIPE_34</v>
      </c>
      <c r="R36" s="1" t="s">
        <v>73</v>
      </c>
      <c r="S36" t="str">
        <f ca="1">OFFSET($A$1,ROW()+1,3)</f>
        <v>COMP_38</v>
      </c>
      <c r="T36" s="1" t="s">
        <v>72</v>
      </c>
    </row>
    <row r="37" spans="1:20" x14ac:dyDescent="0.25">
      <c r="C37" s="6"/>
      <c r="F37" s="1"/>
      <c r="G37" s="2"/>
      <c r="H37" s="2"/>
      <c r="I37" s="2"/>
      <c r="J37" s="4"/>
      <c r="K37" s="4"/>
      <c r="L37" s="4"/>
      <c r="M37" s="3"/>
      <c r="N37" s="3"/>
      <c r="R37" s="1"/>
      <c r="T37" s="1"/>
    </row>
    <row r="38" spans="1:20" x14ac:dyDescent="0.25">
      <c r="A38" t="s">
        <v>56</v>
      </c>
      <c r="B38" t="s">
        <v>10</v>
      </c>
      <c r="C38" s="6" t="s">
        <v>30</v>
      </c>
      <c r="D38" t="str">
        <f>CONCATENATE("COMP_",ROW())</f>
        <v>COMP_38</v>
      </c>
      <c r="F38" s="1">
        <v>0.35499999999999998</v>
      </c>
      <c r="G38" s="2">
        <v>0</v>
      </c>
      <c r="H38" s="2">
        <v>90</v>
      </c>
      <c r="I38" s="2">
        <v>0</v>
      </c>
      <c r="J38" s="4">
        <v>0</v>
      </c>
      <c r="K38" s="4">
        <v>0</v>
      </c>
      <c r="L38" s="4">
        <v>0</v>
      </c>
      <c r="M38" s="3">
        <v>125</v>
      </c>
      <c r="N38" s="3">
        <v>2.02</v>
      </c>
      <c r="Q38" t="str">
        <f ca="1">OFFSET($A$1,ROW()-3,3)</f>
        <v>COMP_36</v>
      </c>
      <c r="R38" s="1" t="s">
        <v>73</v>
      </c>
      <c r="S38" t="str">
        <f ca="1">OFFSET($A$1,ROW()+1,3)</f>
        <v>COMP_40</v>
      </c>
      <c r="T38" s="1" t="s">
        <v>72</v>
      </c>
    </row>
    <row r="39" spans="1:20" x14ac:dyDescent="0.25">
      <c r="C39" s="6"/>
      <c r="F39" s="1"/>
      <c r="G39" s="2"/>
      <c r="H39" s="2"/>
      <c r="I39" s="2"/>
      <c r="J39" s="4"/>
      <c r="K39" s="4"/>
      <c r="L39" s="4"/>
      <c r="M39" s="3"/>
      <c r="N39" s="3"/>
      <c r="R39" s="1"/>
      <c r="T39" s="1"/>
    </row>
    <row r="40" spans="1:20" x14ac:dyDescent="0.25">
      <c r="A40" t="s">
        <v>56</v>
      </c>
      <c r="B40" t="s">
        <v>9</v>
      </c>
      <c r="C40" s="6" t="s">
        <v>22</v>
      </c>
      <c r="D40" t="str">
        <f>CONCATENATE("COMP_",ROW())</f>
        <v>COMP_40</v>
      </c>
      <c r="F40" s="1">
        <v>0.1</v>
      </c>
      <c r="G40" s="2">
        <v>0</v>
      </c>
      <c r="H40" s="2">
        <v>90</v>
      </c>
      <c r="I40" s="2">
        <v>0</v>
      </c>
      <c r="J40" s="4">
        <v>0</v>
      </c>
      <c r="K40" s="4">
        <v>0</v>
      </c>
      <c r="L40" s="4">
        <v>0</v>
      </c>
      <c r="M40" s="3">
        <v>125</v>
      </c>
      <c r="N40" s="3">
        <v>2.02</v>
      </c>
      <c r="O40" s="8">
        <v>0.1143</v>
      </c>
      <c r="Q40" t="str">
        <f ca="1">OFFSET($A$1,ROW()-3,3)</f>
        <v>COMP_38</v>
      </c>
      <c r="R40" s="1" t="s">
        <v>73</v>
      </c>
      <c r="S40" t="str">
        <f ca="1">OFFSET($A$1,ROW()+1,3)</f>
        <v>PIPE_42</v>
      </c>
      <c r="T40" s="1" t="s">
        <v>72</v>
      </c>
    </row>
    <row r="41" spans="1:20" x14ac:dyDescent="0.25">
      <c r="C41" s="6"/>
      <c r="F41" s="1"/>
      <c r="G41" s="2"/>
      <c r="H41" s="2"/>
      <c r="I41" s="2"/>
      <c r="J41" s="4"/>
      <c r="K41" s="4"/>
      <c r="L41" s="4"/>
      <c r="M41" s="3"/>
      <c r="N41" s="3"/>
      <c r="R41" s="1"/>
      <c r="T41" s="1"/>
    </row>
    <row r="42" spans="1:20" x14ac:dyDescent="0.25">
      <c r="A42" t="s">
        <v>7</v>
      </c>
      <c r="B42" t="s">
        <v>7</v>
      </c>
      <c r="C42" s="6" t="s">
        <v>7</v>
      </c>
      <c r="D42" t="str">
        <f>CONCATENATE("PIPE_",ROW())</f>
        <v>PIPE_42</v>
      </c>
      <c r="F42" s="1">
        <v>0.44500000000000001</v>
      </c>
      <c r="G42" s="2">
        <v>0</v>
      </c>
      <c r="H42" s="2">
        <v>90</v>
      </c>
      <c r="I42" s="2">
        <v>0</v>
      </c>
      <c r="J42" s="4">
        <v>0</v>
      </c>
      <c r="K42" s="4">
        <v>0</v>
      </c>
      <c r="L42" s="4">
        <v>0</v>
      </c>
      <c r="M42" s="3">
        <v>114.3</v>
      </c>
      <c r="N42" s="3">
        <v>3.05</v>
      </c>
      <c r="O42" s="8">
        <v>1.5</v>
      </c>
      <c r="R42" s="1"/>
      <c r="T42" s="1"/>
    </row>
    <row r="43" spans="1:20" x14ac:dyDescent="0.25">
      <c r="C43" s="6"/>
      <c r="F43" s="1"/>
      <c r="G43" s="2"/>
      <c r="H43" s="2"/>
      <c r="I43" s="2"/>
      <c r="J43" s="4"/>
      <c r="K43" s="4"/>
      <c r="L43" s="4"/>
      <c r="M43" s="3"/>
      <c r="N43" s="3"/>
      <c r="R43" s="1"/>
      <c r="T43" s="1"/>
    </row>
    <row r="44" spans="1:20" x14ac:dyDescent="0.25">
      <c r="A44" t="s">
        <v>56</v>
      </c>
      <c r="B44" t="s">
        <v>9</v>
      </c>
      <c r="C44" s="6" t="s">
        <v>22</v>
      </c>
      <c r="D44" t="str">
        <f>CONCATENATE("COMP_",ROW())</f>
        <v>COMP_44</v>
      </c>
      <c r="F44" s="1">
        <v>0.1</v>
      </c>
      <c r="G44" s="2">
        <v>0</v>
      </c>
      <c r="H44" s="2">
        <v>90</v>
      </c>
      <c r="I44" s="2">
        <v>0</v>
      </c>
      <c r="J44" s="4">
        <v>0</v>
      </c>
      <c r="K44" s="4">
        <v>0</v>
      </c>
      <c r="L44" s="4">
        <v>0</v>
      </c>
      <c r="M44" s="3">
        <v>125</v>
      </c>
      <c r="N44" s="3">
        <v>2.02</v>
      </c>
      <c r="O44" s="8">
        <v>0.125</v>
      </c>
      <c r="Q44" t="str">
        <f ca="1">OFFSET($A$1,ROW()-3,3)</f>
        <v>PIPE_42</v>
      </c>
      <c r="R44" s="1" t="s">
        <v>73</v>
      </c>
      <c r="S44" t="str">
        <f ca="1">OFFSET($A$1,ROW()+1,3)</f>
        <v>COMP_46</v>
      </c>
      <c r="T44" s="1" t="s">
        <v>72</v>
      </c>
    </row>
    <row r="45" spans="1:20" x14ac:dyDescent="0.25">
      <c r="C45" s="6"/>
      <c r="F45" s="1"/>
      <c r="G45" s="2"/>
      <c r="H45" s="2"/>
      <c r="I45" s="2"/>
      <c r="J45" s="4"/>
      <c r="K45" s="4"/>
      <c r="L45" s="4"/>
      <c r="M45" s="3"/>
      <c r="N45" s="3"/>
      <c r="R45" s="1"/>
      <c r="T45" s="1"/>
    </row>
    <row r="46" spans="1:20" x14ac:dyDescent="0.25">
      <c r="A46" t="s">
        <v>56</v>
      </c>
      <c r="B46" t="s">
        <v>10</v>
      </c>
      <c r="C46" s="6" t="s">
        <v>31</v>
      </c>
      <c r="D46" t="str">
        <f>CONCATENATE("COMP_",ROW())</f>
        <v>COMP_46</v>
      </c>
      <c r="F46" s="1">
        <v>0.35499999999999998</v>
      </c>
      <c r="G46" s="2">
        <v>0</v>
      </c>
      <c r="H46" s="2">
        <v>90</v>
      </c>
      <c r="I46" s="2">
        <v>0</v>
      </c>
      <c r="J46" s="4">
        <v>0</v>
      </c>
      <c r="K46" s="4">
        <v>0</v>
      </c>
      <c r="L46" s="4">
        <v>0</v>
      </c>
      <c r="M46" s="3">
        <v>125</v>
      </c>
      <c r="N46" s="3">
        <v>2.02</v>
      </c>
      <c r="Q46" t="str">
        <f ca="1">OFFSET($A$1,ROW()-3,3)</f>
        <v>COMP_44</v>
      </c>
      <c r="R46" s="1" t="s">
        <v>73</v>
      </c>
      <c r="S46" t="str">
        <f ca="1">OFFSET($A$1,ROW()+1,3)</f>
        <v>COMP_48</v>
      </c>
      <c r="T46" s="1" t="s">
        <v>72</v>
      </c>
    </row>
    <row r="47" spans="1:20" x14ac:dyDescent="0.25">
      <c r="C47" s="6"/>
      <c r="F47" s="1"/>
      <c r="G47" s="2"/>
      <c r="H47" s="2"/>
      <c r="I47" s="2"/>
      <c r="J47" s="4"/>
      <c r="K47" s="4"/>
      <c r="L47" s="4"/>
      <c r="M47" s="3"/>
      <c r="N47" s="3"/>
      <c r="R47" s="1"/>
      <c r="T47" s="1"/>
    </row>
    <row r="48" spans="1:20" x14ac:dyDescent="0.25">
      <c r="A48" t="s">
        <v>56</v>
      </c>
      <c r="B48" t="s">
        <v>9</v>
      </c>
      <c r="C48" s="6" t="s">
        <v>22</v>
      </c>
      <c r="D48" t="str">
        <f>CONCATENATE("COMP_",ROW())</f>
        <v>COMP_48</v>
      </c>
      <c r="F48" s="1">
        <v>0.1</v>
      </c>
      <c r="G48" s="2">
        <v>0</v>
      </c>
      <c r="H48" s="2">
        <v>90</v>
      </c>
      <c r="I48" s="2">
        <v>0</v>
      </c>
      <c r="J48" s="4">
        <v>0</v>
      </c>
      <c r="K48" s="4">
        <v>0</v>
      </c>
      <c r="L48" s="4">
        <v>0</v>
      </c>
      <c r="M48" s="3">
        <v>125</v>
      </c>
      <c r="N48" s="3">
        <v>2.02</v>
      </c>
      <c r="O48" s="8">
        <v>0.1143</v>
      </c>
      <c r="Q48" t="str">
        <f ca="1">OFFSET($A$1,ROW()-3,3)</f>
        <v>COMP_46</v>
      </c>
      <c r="R48" s="1" t="s">
        <v>73</v>
      </c>
      <c r="S48" t="str">
        <f ca="1">OFFSET($A$1,ROW()+1,3)</f>
        <v>PIPE_50</v>
      </c>
      <c r="T48" s="1" t="s">
        <v>72</v>
      </c>
    </row>
    <row r="49" spans="1:23" x14ac:dyDescent="0.25">
      <c r="C49" s="6"/>
      <c r="F49" s="1"/>
      <c r="G49" s="2"/>
      <c r="H49" s="2"/>
      <c r="I49" s="2"/>
      <c r="J49" s="4"/>
      <c r="K49" s="4"/>
      <c r="L49" s="4"/>
      <c r="M49" s="3"/>
      <c r="N49" s="3"/>
      <c r="R49" s="1"/>
      <c r="T49" s="1"/>
    </row>
    <row r="50" spans="1:23" x14ac:dyDescent="0.25">
      <c r="A50" t="s">
        <v>7</v>
      </c>
      <c r="B50" t="s">
        <v>7</v>
      </c>
      <c r="C50" s="6" t="s">
        <v>7</v>
      </c>
      <c r="D50" t="str">
        <f>CONCATENATE("PIPE_",ROW())</f>
        <v>PIPE_50</v>
      </c>
      <c r="F50" s="1">
        <f>0.175+0.105</f>
        <v>0.27999999999999997</v>
      </c>
      <c r="G50" s="2">
        <v>0</v>
      </c>
      <c r="H50" s="2">
        <v>90</v>
      </c>
      <c r="I50" s="2">
        <v>0</v>
      </c>
      <c r="J50" s="4">
        <v>0</v>
      </c>
      <c r="K50" s="4">
        <v>0</v>
      </c>
      <c r="L50" s="4">
        <v>0</v>
      </c>
      <c r="M50" s="3">
        <v>114.3</v>
      </c>
      <c r="N50" s="3">
        <v>3.05</v>
      </c>
      <c r="O50" s="8">
        <v>1.5</v>
      </c>
      <c r="R50" s="1"/>
      <c r="T50" s="1"/>
    </row>
    <row r="51" spans="1:23" x14ac:dyDescent="0.25">
      <c r="A51" t="s">
        <v>7</v>
      </c>
      <c r="B51" t="s">
        <v>7</v>
      </c>
      <c r="C51" s="6" t="s">
        <v>7</v>
      </c>
      <c r="D51" t="str">
        <f>CONCATENATE("PIPE_",ROW())</f>
        <v>PIPE_51</v>
      </c>
      <c r="F51" s="1">
        <f>0.105</f>
        <v>0.105</v>
      </c>
      <c r="G51" s="2">
        <v>0</v>
      </c>
      <c r="H51" s="2">
        <v>90</v>
      </c>
      <c r="I51" s="2">
        <v>0</v>
      </c>
      <c r="J51" s="4">
        <v>0</v>
      </c>
      <c r="K51" s="4">
        <v>0</v>
      </c>
      <c r="L51" s="4">
        <v>0</v>
      </c>
      <c r="M51" s="3">
        <v>114.3</v>
      </c>
      <c r="N51" s="3">
        <v>3.05</v>
      </c>
      <c r="O51" s="8">
        <v>1.5</v>
      </c>
      <c r="R51" s="1"/>
      <c r="T51" s="1"/>
    </row>
    <row r="52" spans="1:23" x14ac:dyDescent="0.25">
      <c r="C52" s="6"/>
      <c r="F52" s="1"/>
      <c r="G52" s="2"/>
      <c r="H52" s="2"/>
      <c r="I52" s="2"/>
      <c r="J52" s="4"/>
      <c r="K52" s="4"/>
      <c r="L52" s="4"/>
      <c r="M52" s="3"/>
      <c r="N52" s="3"/>
      <c r="R52" s="1"/>
      <c r="T52" s="1"/>
    </row>
    <row r="53" spans="1:23" x14ac:dyDescent="0.25">
      <c r="A53" t="s">
        <v>56</v>
      </c>
      <c r="B53" t="s">
        <v>10</v>
      </c>
      <c r="C53" s="6" t="s">
        <v>32</v>
      </c>
      <c r="D53" t="str">
        <f>CONCATENATE("COMP_",ROW())</f>
        <v>COMP_53</v>
      </c>
      <c r="F53" s="1">
        <v>0.35499999999999998</v>
      </c>
      <c r="G53" s="2">
        <v>0</v>
      </c>
      <c r="H53" s="2">
        <v>90</v>
      </c>
      <c r="I53" s="2">
        <v>0</v>
      </c>
      <c r="J53" s="4">
        <v>0</v>
      </c>
      <c r="K53" s="4">
        <v>0</v>
      </c>
      <c r="L53" s="4">
        <v>0</v>
      </c>
      <c r="M53" s="3">
        <v>125</v>
      </c>
      <c r="N53" s="3">
        <v>2.02</v>
      </c>
      <c r="Q53" t="str">
        <f ca="1">OFFSET($A$1,ROW()-3,3)</f>
        <v>PIPE_51</v>
      </c>
      <c r="R53" s="1" t="s">
        <v>73</v>
      </c>
      <c r="S53" t="str">
        <f ca="1">OFFSET($A$1,ROW()+1,3)</f>
        <v>PIPE_55</v>
      </c>
      <c r="T53" s="1" t="s">
        <v>72</v>
      </c>
    </row>
    <row r="54" spans="1:23" x14ac:dyDescent="0.25">
      <c r="C54" s="6"/>
      <c r="F54" s="1"/>
      <c r="G54" s="2"/>
      <c r="H54" s="2"/>
      <c r="I54" s="2"/>
      <c r="J54" s="4"/>
      <c r="K54" s="4"/>
      <c r="L54" s="4"/>
      <c r="M54" s="3"/>
      <c r="N54" s="3"/>
      <c r="R54" s="1"/>
      <c r="T54" s="1"/>
    </row>
    <row r="55" spans="1:23" x14ac:dyDescent="0.25">
      <c r="A55" t="s">
        <v>7</v>
      </c>
      <c r="B55" t="s">
        <v>7</v>
      </c>
      <c r="C55" s="6" t="s">
        <v>7</v>
      </c>
      <c r="D55" t="str">
        <f t="shared" ref="D55:D62" si="2">CONCATENATE("PIPE_",ROW())</f>
        <v>PIPE_55</v>
      </c>
      <c r="F55" s="1">
        <v>0.152</v>
      </c>
      <c r="G55" s="2">
        <v>0</v>
      </c>
      <c r="H55" s="2">
        <v>90</v>
      </c>
      <c r="I55" s="2">
        <v>0</v>
      </c>
      <c r="J55" s="4">
        <v>0</v>
      </c>
      <c r="K55" s="4">
        <v>0</v>
      </c>
      <c r="L55" s="4">
        <v>0</v>
      </c>
      <c r="M55" s="3">
        <v>114.3</v>
      </c>
      <c r="N55" s="3">
        <v>3.05</v>
      </c>
      <c r="O55" s="8">
        <v>1.5</v>
      </c>
      <c r="R55" s="1"/>
      <c r="T55" s="1"/>
    </row>
    <row r="56" spans="1:23" x14ac:dyDescent="0.25">
      <c r="A56" t="s">
        <v>7</v>
      </c>
      <c r="B56" t="s">
        <v>7</v>
      </c>
      <c r="C56" s="6" t="s">
        <v>7</v>
      </c>
      <c r="D56" t="str">
        <f t="shared" si="2"/>
        <v>PIPE_56</v>
      </c>
      <c r="F56" s="1">
        <f>1.15+0.064</f>
        <v>1.214</v>
      </c>
      <c r="G56" s="2">
        <v>0</v>
      </c>
      <c r="H56" s="2">
        <v>180</v>
      </c>
      <c r="I56" s="2">
        <v>0</v>
      </c>
      <c r="J56" s="4">
        <v>0</v>
      </c>
      <c r="K56" s="4">
        <v>0</v>
      </c>
      <c r="L56" s="4">
        <v>0</v>
      </c>
      <c r="M56" s="3">
        <v>114.3</v>
      </c>
      <c r="N56" s="3">
        <v>3.05</v>
      </c>
      <c r="O56" s="8">
        <v>1.5</v>
      </c>
      <c r="R56" s="1"/>
      <c r="T56" s="1"/>
    </row>
    <row r="57" spans="1:23" x14ac:dyDescent="0.25">
      <c r="A57" t="s">
        <v>7</v>
      </c>
      <c r="B57" t="s">
        <v>7</v>
      </c>
      <c r="C57" s="6" t="s">
        <v>7</v>
      </c>
      <c r="D57" t="str">
        <f t="shared" si="2"/>
        <v>PIPE_57</v>
      </c>
      <c r="F57" s="1">
        <v>0.84799999999999998</v>
      </c>
      <c r="G57" s="2">
        <v>0</v>
      </c>
      <c r="H57" s="2">
        <f>180+45</f>
        <v>225</v>
      </c>
      <c r="I57" s="2">
        <v>0</v>
      </c>
      <c r="J57" s="4">
        <v>0</v>
      </c>
      <c r="K57" s="4">
        <v>0</v>
      </c>
      <c r="L57" s="4">
        <v>0</v>
      </c>
      <c r="M57" s="3">
        <v>114.3</v>
      </c>
      <c r="N57" s="3">
        <v>3.05</v>
      </c>
      <c r="O57" s="8">
        <v>1.5</v>
      </c>
      <c r="R57" s="1"/>
      <c r="T57" s="1"/>
    </row>
    <row r="58" spans="1:23" x14ac:dyDescent="0.25">
      <c r="A58" t="s">
        <v>7</v>
      </c>
      <c r="B58" t="s">
        <v>7</v>
      </c>
      <c r="C58" s="6" t="s">
        <v>7</v>
      </c>
      <c r="D58" t="str">
        <f t="shared" si="2"/>
        <v>PIPE_58</v>
      </c>
      <c r="F58" s="1">
        <v>0.35</v>
      </c>
      <c r="G58" s="2">
        <v>0</v>
      </c>
      <c r="H58" s="2">
        <v>270</v>
      </c>
      <c r="I58" s="2">
        <v>0</v>
      </c>
      <c r="J58" s="4">
        <v>0</v>
      </c>
      <c r="K58" s="4">
        <v>0</v>
      </c>
      <c r="L58" s="4">
        <v>0</v>
      </c>
      <c r="M58" s="3">
        <v>114.3</v>
      </c>
      <c r="N58" s="3">
        <v>3.05</v>
      </c>
      <c r="O58" s="8">
        <v>1.5</v>
      </c>
      <c r="R58" s="1"/>
      <c r="T58" s="1"/>
    </row>
    <row r="59" spans="1:23" x14ac:dyDescent="0.25">
      <c r="A59" t="s">
        <v>7</v>
      </c>
      <c r="B59" t="s">
        <v>7</v>
      </c>
      <c r="C59" s="6" t="s">
        <v>7</v>
      </c>
      <c r="D59" t="str">
        <f t="shared" si="2"/>
        <v>PIPE_59</v>
      </c>
      <c r="F59" s="1">
        <v>5.3</v>
      </c>
      <c r="G59" s="2">
        <v>-90</v>
      </c>
      <c r="H59" s="2">
        <v>0</v>
      </c>
      <c r="I59" s="2">
        <v>0</v>
      </c>
      <c r="J59" s="4">
        <v>0</v>
      </c>
      <c r="K59" s="4">
        <v>0</v>
      </c>
      <c r="L59" s="4">
        <v>0</v>
      </c>
      <c r="M59" s="3">
        <v>114.3</v>
      </c>
      <c r="N59" s="3">
        <v>3.05</v>
      </c>
      <c r="O59" s="8">
        <v>1.5</v>
      </c>
      <c r="R59" s="1"/>
      <c r="T59" s="1"/>
    </row>
    <row r="60" spans="1:23" x14ac:dyDescent="0.25">
      <c r="A60" t="s">
        <v>7</v>
      </c>
      <c r="B60" t="s">
        <v>7</v>
      </c>
      <c r="C60" s="6" t="s">
        <v>7</v>
      </c>
      <c r="D60" t="str">
        <f t="shared" si="2"/>
        <v>PIPE_60</v>
      </c>
      <c r="F60" s="1">
        <v>2.0499999999999998</v>
      </c>
      <c r="G60" s="2">
        <v>0</v>
      </c>
      <c r="H60" s="2">
        <v>0</v>
      </c>
      <c r="I60" s="2">
        <v>0</v>
      </c>
      <c r="J60" s="4">
        <v>0</v>
      </c>
      <c r="K60" s="4">
        <v>0</v>
      </c>
      <c r="L60" s="4">
        <v>0</v>
      </c>
      <c r="M60" s="3">
        <v>114.3</v>
      </c>
      <c r="N60" s="3">
        <v>3.05</v>
      </c>
      <c r="O60" s="8">
        <v>1.5</v>
      </c>
      <c r="R60" s="1"/>
      <c r="T60" s="1"/>
    </row>
    <row r="61" spans="1:23" x14ac:dyDescent="0.25">
      <c r="A61" t="s">
        <v>7</v>
      </c>
      <c r="B61" t="s">
        <v>7</v>
      </c>
      <c r="C61" s="6" t="s">
        <v>7</v>
      </c>
      <c r="D61" t="str">
        <f t="shared" si="2"/>
        <v>PIPE_61</v>
      </c>
      <c r="F61" s="1">
        <f>0.152+0.055</f>
        <v>0.20699999999999999</v>
      </c>
      <c r="G61" s="2">
        <f>-(90-24.9)</f>
        <v>-65.099999999999994</v>
      </c>
      <c r="H61" s="2">
        <v>180</v>
      </c>
      <c r="I61" s="2">
        <v>0</v>
      </c>
      <c r="J61" s="4">
        <v>0</v>
      </c>
      <c r="K61" s="4">
        <v>0</v>
      </c>
      <c r="L61" s="4">
        <v>0</v>
      </c>
      <c r="M61" s="3">
        <v>114.3</v>
      </c>
      <c r="N61" s="3">
        <v>3.05</v>
      </c>
      <c r="O61" s="8">
        <v>1.5</v>
      </c>
      <c r="R61" s="1"/>
      <c r="T61" s="1"/>
      <c r="W61" t="s">
        <v>34</v>
      </c>
    </row>
    <row r="62" spans="1:23" x14ac:dyDescent="0.25">
      <c r="A62" t="s">
        <v>7</v>
      </c>
      <c r="B62" t="s">
        <v>7</v>
      </c>
      <c r="C62" s="6" t="s">
        <v>7</v>
      </c>
      <c r="D62" t="str">
        <f t="shared" si="2"/>
        <v>PIPE_62</v>
      </c>
      <c r="F62" s="1">
        <v>1.61</v>
      </c>
      <c r="G62" s="2">
        <v>-90</v>
      </c>
      <c r="H62" s="2">
        <v>0</v>
      </c>
      <c r="I62" s="2">
        <v>0</v>
      </c>
      <c r="J62" s="4">
        <v>0</v>
      </c>
      <c r="K62" s="4">
        <v>0</v>
      </c>
      <c r="L62" s="4">
        <v>0</v>
      </c>
      <c r="M62" s="3">
        <v>114.3</v>
      </c>
      <c r="N62" s="3">
        <v>3.05</v>
      </c>
      <c r="O62" s="8">
        <v>1.5</v>
      </c>
      <c r="R62" s="1"/>
      <c r="T62" s="1"/>
      <c r="W62" t="s">
        <v>33</v>
      </c>
    </row>
    <row r="63" spans="1:23" x14ac:dyDescent="0.25">
      <c r="C63" s="6"/>
      <c r="F63" s="1"/>
      <c r="G63" s="2"/>
      <c r="H63" s="2"/>
      <c r="I63" s="2"/>
      <c r="J63" s="4"/>
      <c r="K63" s="4"/>
      <c r="L63" s="4"/>
      <c r="M63" s="3"/>
      <c r="N63" s="3"/>
      <c r="R63" s="1"/>
      <c r="T63" s="1"/>
    </row>
    <row r="64" spans="1:23" x14ac:dyDescent="0.25">
      <c r="A64" t="s">
        <v>56</v>
      </c>
      <c r="B64" t="s">
        <v>11</v>
      </c>
      <c r="C64" s="6" t="s">
        <v>22</v>
      </c>
      <c r="D64" t="str">
        <f>CONCATENATE("COMP_",ROW())</f>
        <v>COMP_64</v>
      </c>
      <c r="F64" s="1">
        <v>0</v>
      </c>
      <c r="G64" s="2">
        <v>-90</v>
      </c>
      <c r="H64" s="2">
        <v>0</v>
      </c>
      <c r="I64" s="2">
        <v>0</v>
      </c>
      <c r="J64" s="4">
        <v>0</v>
      </c>
      <c r="K64" s="4">
        <v>0</v>
      </c>
      <c r="L64" s="4">
        <v>0</v>
      </c>
      <c r="M64" s="3">
        <v>125</v>
      </c>
      <c r="N64" s="3">
        <v>2.02</v>
      </c>
      <c r="Q64" t="str">
        <f ca="1">OFFSET($A$1,ROW()-3,3)</f>
        <v>PIPE_62</v>
      </c>
      <c r="R64" s="1" t="s">
        <v>73</v>
      </c>
      <c r="S64" t="str">
        <f>D96</f>
        <v>PIPE_96</v>
      </c>
      <c r="T64" s="1" t="s">
        <v>72</v>
      </c>
    </row>
    <row r="65" spans="1:20" x14ac:dyDescent="0.25">
      <c r="C65" s="6"/>
      <c r="F65" s="1"/>
      <c r="G65" s="2"/>
      <c r="H65" s="2"/>
      <c r="I65" s="2"/>
      <c r="J65" s="4"/>
      <c r="K65" s="4"/>
      <c r="L65" s="4"/>
      <c r="M65" s="3"/>
      <c r="N65" s="3"/>
      <c r="R65" s="1"/>
      <c r="T65" s="1"/>
    </row>
    <row r="66" spans="1:20" x14ac:dyDescent="0.25">
      <c r="C66" s="6"/>
      <c r="F66" s="1"/>
      <c r="G66" s="2"/>
      <c r="H66" s="2"/>
      <c r="I66" s="2"/>
      <c r="J66" s="4"/>
      <c r="K66" s="4"/>
      <c r="L66" s="4"/>
      <c r="M66" s="3"/>
      <c r="N66" s="3"/>
      <c r="R66" s="1"/>
      <c r="T66" s="1"/>
    </row>
    <row r="67" spans="1:20" x14ac:dyDescent="0.25">
      <c r="A67" t="s">
        <v>29</v>
      </c>
      <c r="B67" t="s">
        <v>57</v>
      </c>
      <c r="C67" s="6"/>
      <c r="F67" s="1"/>
      <c r="G67" s="2"/>
      <c r="H67" s="2"/>
      <c r="I67" s="2"/>
      <c r="J67" s="4"/>
      <c r="K67" s="4"/>
      <c r="L67" s="4"/>
      <c r="M67" s="3"/>
      <c r="N67" s="3"/>
      <c r="R67" s="1"/>
      <c r="T67" s="1"/>
    </row>
    <row r="68" spans="1:20" x14ac:dyDescent="0.25">
      <c r="A68" t="s">
        <v>7</v>
      </c>
      <c r="B68" t="s">
        <v>7</v>
      </c>
      <c r="C68" s="6" t="s">
        <v>7</v>
      </c>
      <c r="D68" t="str">
        <f>CONCATENATE("PIPE_",ROW())</f>
        <v>PIPE_68</v>
      </c>
      <c r="F68" s="1">
        <v>12</v>
      </c>
      <c r="G68" s="2">
        <v>0</v>
      </c>
      <c r="H68" s="2">
        <v>270</v>
      </c>
      <c r="I68" s="2">
        <v>0</v>
      </c>
      <c r="J68" s="4">
        <v>0</v>
      </c>
      <c r="K68" s="4">
        <v>0</v>
      </c>
      <c r="L68" s="4">
        <v>0</v>
      </c>
      <c r="M68" s="3">
        <v>273</v>
      </c>
      <c r="N68" s="3">
        <v>4.1900000000000004</v>
      </c>
      <c r="O68" s="8">
        <v>1.5</v>
      </c>
      <c r="R68" s="1"/>
      <c r="T68" s="1"/>
    </row>
    <row r="69" spans="1:20" x14ac:dyDescent="0.25">
      <c r="A69" t="s">
        <v>7</v>
      </c>
      <c r="B69" t="s">
        <v>7</v>
      </c>
      <c r="C69" s="6" t="s">
        <v>7</v>
      </c>
      <c r="D69" t="str">
        <f>CONCATENATE("PIPE_",ROW())</f>
        <v>PIPE_69</v>
      </c>
      <c r="F69" s="1">
        <v>5.25</v>
      </c>
      <c r="G69" s="2">
        <v>0</v>
      </c>
      <c r="H69" s="2">
        <v>0</v>
      </c>
      <c r="I69" s="2">
        <v>0</v>
      </c>
      <c r="J69" s="4">
        <v>0</v>
      </c>
      <c r="K69" s="4">
        <v>0</v>
      </c>
      <c r="L69" s="4">
        <v>0</v>
      </c>
      <c r="M69" s="3">
        <v>273</v>
      </c>
      <c r="N69" s="3">
        <v>4.1900000000000004</v>
      </c>
      <c r="O69" s="8">
        <v>1.5</v>
      </c>
      <c r="R69" s="1"/>
      <c r="T69" s="1"/>
    </row>
    <row r="70" spans="1:20" x14ac:dyDescent="0.25">
      <c r="A70" t="s">
        <v>7</v>
      </c>
      <c r="B70" t="s">
        <v>7</v>
      </c>
      <c r="C70" s="6" t="s">
        <v>7</v>
      </c>
      <c r="D70" t="str">
        <f>CONCATENATE("PIPE_",ROW())</f>
        <v>PIPE_70</v>
      </c>
      <c r="F70" s="1">
        <v>8</v>
      </c>
      <c r="G70" s="2">
        <v>0</v>
      </c>
      <c r="H70" s="2">
        <v>270</v>
      </c>
      <c r="I70" s="2">
        <v>0</v>
      </c>
      <c r="J70" s="4">
        <v>0</v>
      </c>
      <c r="K70" s="4">
        <v>0</v>
      </c>
      <c r="L70" s="4">
        <v>0</v>
      </c>
      <c r="M70" s="3">
        <v>273</v>
      </c>
      <c r="N70" s="3">
        <v>4.1900000000000004</v>
      </c>
      <c r="O70" s="8">
        <v>1.5</v>
      </c>
      <c r="R70" s="1"/>
      <c r="T70" s="1"/>
    </row>
    <row r="71" spans="1:20" x14ac:dyDescent="0.25">
      <c r="A71" t="s">
        <v>7</v>
      </c>
      <c r="B71" t="s">
        <v>7</v>
      </c>
      <c r="C71" s="6" t="s">
        <v>7</v>
      </c>
      <c r="D71" t="str">
        <f>CONCATENATE("PIPE_",ROW())</f>
        <v>PIPE_71</v>
      </c>
      <c r="F71" s="1">
        <v>0.216</v>
      </c>
      <c r="G71" s="2">
        <v>0</v>
      </c>
      <c r="H71" s="2">
        <v>270</v>
      </c>
      <c r="I71" s="2">
        <v>0</v>
      </c>
      <c r="J71" s="4">
        <v>0</v>
      </c>
      <c r="K71" s="4">
        <v>0</v>
      </c>
      <c r="L71" s="4">
        <v>0</v>
      </c>
      <c r="M71" s="3">
        <v>273</v>
      </c>
      <c r="N71" s="3">
        <v>4.1900000000000004</v>
      </c>
      <c r="O71" s="8">
        <v>1.5</v>
      </c>
      <c r="R71" s="1"/>
      <c r="T71" s="1"/>
    </row>
    <row r="72" spans="1:20" x14ac:dyDescent="0.25">
      <c r="C72" s="6"/>
      <c r="F72" s="1"/>
      <c r="G72" s="2"/>
      <c r="H72" s="2"/>
      <c r="I72" s="2"/>
      <c r="J72" s="4"/>
      <c r="K72" s="4"/>
      <c r="L72" s="4"/>
      <c r="M72" s="3"/>
      <c r="N72" s="3"/>
      <c r="R72" s="1"/>
      <c r="T72" s="1"/>
    </row>
    <row r="73" spans="1:20" x14ac:dyDescent="0.25">
      <c r="A73" t="s">
        <v>56</v>
      </c>
      <c r="B73" t="s">
        <v>9</v>
      </c>
      <c r="C73" s="6" t="s">
        <v>22</v>
      </c>
      <c r="D73" t="str">
        <f>CONCATENATE("COMP_",ROW())</f>
        <v>COMP_73</v>
      </c>
      <c r="F73" s="1">
        <v>0.17799999999999999</v>
      </c>
      <c r="G73" s="2">
        <v>0</v>
      </c>
      <c r="H73" s="2">
        <v>270</v>
      </c>
      <c r="I73" s="2">
        <v>0</v>
      </c>
      <c r="J73" s="4">
        <v>0</v>
      </c>
      <c r="K73" s="4">
        <v>0</v>
      </c>
      <c r="L73" s="4">
        <v>0</v>
      </c>
      <c r="M73" s="3">
        <v>273</v>
      </c>
      <c r="N73" s="3">
        <v>4.1900000000000004</v>
      </c>
      <c r="O73" s="8">
        <v>0.2198</v>
      </c>
      <c r="Q73" t="str">
        <f ca="1">OFFSET($A$1,ROW()-3,3)</f>
        <v>PIPE_71</v>
      </c>
      <c r="R73" s="1" t="s">
        <v>73</v>
      </c>
      <c r="S73" t="str">
        <f ca="1">OFFSET($A$1,ROW()+1,3)</f>
        <v>PIPE_75</v>
      </c>
      <c r="T73" s="1" t="s">
        <v>72</v>
      </c>
    </row>
    <row r="74" spans="1:20" x14ac:dyDescent="0.25">
      <c r="C74" s="6"/>
      <c r="F74" s="1"/>
      <c r="G74" s="2"/>
      <c r="H74" s="2"/>
      <c r="I74" s="2"/>
      <c r="J74" s="4"/>
      <c r="K74" s="4"/>
      <c r="L74" s="4"/>
      <c r="M74" s="3"/>
      <c r="N74" s="3"/>
      <c r="R74" s="1"/>
      <c r="T74" s="1"/>
    </row>
    <row r="75" spans="1:20" x14ac:dyDescent="0.25">
      <c r="A75" t="s">
        <v>7</v>
      </c>
      <c r="B75" t="s">
        <v>7</v>
      </c>
      <c r="C75" s="6" t="s">
        <v>7</v>
      </c>
      <c r="D75" t="str">
        <f>CONCATENATE("PIPE_",ROW())</f>
        <v>PIPE_75</v>
      </c>
      <c r="F75" s="1">
        <f>9.851+0.305</f>
        <v>10.156000000000001</v>
      </c>
      <c r="G75" s="2">
        <v>0</v>
      </c>
      <c r="H75" s="2">
        <v>270</v>
      </c>
      <c r="I75" s="2">
        <v>0</v>
      </c>
      <c r="J75" s="4">
        <v>0</v>
      </c>
      <c r="K75" s="4">
        <v>0</v>
      </c>
      <c r="L75" s="4">
        <v>0</v>
      </c>
      <c r="M75" s="3">
        <v>219.8</v>
      </c>
      <c r="N75" s="3">
        <v>3.76</v>
      </c>
      <c r="O75" s="8">
        <v>1.5</v>
      </c>
      <c r="R75" s="1"/>
      <c r="T75" s="1"/>
    </row>
    <row r="76" spans="1:20" x14ac:dyDescent="0.25">
      <c r="A76" t="s">
        <v>7</v>
      </c>
      <c r="B76" t="s">
        <v>7</v>
      </c>
      <c r="C76" s="6" t="s">
        <v>7</v>
      </c>
      <c r="D76" t="str">
        <f>CONCATENATE("PIPE_",ROW())</f>
        <v>PIPE_76</v>
      </c>
      <c r="F76" s="1">
        <v>1.35</v>
      </c>
      <c r="G76" s="2">
        <v>0</v>
      </c>
      <c r="H76" s="2">
        <v>180</v>
      </c>
      <c r="I76" s="2">
        <v>0</v>
      </c>
      <c r="J76" s="4">
        <v>0</v>
      </c>
      <c r="K76" s="4">
        <v>0</v>
      </c>
      <c r="L76" s="4">
        <v>0</v>
      </c>
      <c r="M76" s="3">
        <v>219.8</v>
      </c>
      <c r="N76" s="3">
        <v>3.76</v>
      </c>
      <c r="O76" s="8">
        <v>1.5</v>
      </c>
      <c r="R76" s="1"/>
      <c r="T76" s="1"/>
    </row>
    <row r="77" spans="1:20" x14ac:dyDescent="0.25">
      <c r="A77" t="s">
        <v>7</v>
      </c>
      <c r="B77" t="s">
        <v>7</v>
      </c>
      <c r="C77" s="6" t="s">
        <v>7</v>
      </c>
      <c r="D77" t="str">
        <f>CONCATENATE("PIPE_",ROW())</f>
        <v>PIPE_77</v>
      </c>
      <c r="F77" s="1">
        <f>0.305+0.1</f>
        <v>0.40500000000000003</v>
      </c>
      <c r="G77" s="2">
        <v>0</v>
      </c>
      <c r="H77" s="2">
        <v>90</v>
      </c>
      <c r="I77" s="2">
        <v>0</v>
      </c>
      <c r="J77" s="4">
        <v>0</v>
      </c>
      <c r="K77" s="4">
        <v>0</v>
      </c>
      <c r="L77" s="4">
        <v>0</v>
      </c>
      <c r="M77" s="3">
        <v>219.8</v>
      </c>
      <c r="N77" s="3">
        <v>3.76</v>
      </c>
      <c r="O77" s="8">
        <v>1.5</v>
      </c>
      <c r="R77" s="1"/>
      <c r="T77" s="1"/>
    </row>
    <row r="78" spans="1:20" x14ac:dyDescent="0.25">
      <c r="C78" s="6"/>
      <c r="F78" s="1"/>
      <c r="G78" s="2"/>
      <c r="H78" s="2"/>
      <c r="I78" s="2"/>
      <c r="J78" s="4"/>
      <c r="K78" s="4"/>
      <c r="L78" s="4"/>
      <c r="M78" s="3"/>
      <c r="N78" s="3"/>
      <c r="R78" s="1"/>
      <c r="T78" s="1"/>
    </row>
    <row r="79" spans="1:20" x14ac:dyDescent="0.25">
      <c r="A79" t="s">
        <v>56</v>
      </c>
      <c r="B79" t="s">
        <v>9</v>
      </c>
      <c r="C79" s="6" t="s">
        <v>22</v>
      </c>
      <c r="D79" t="str">
        <f>CONCATENATE("COMP_",ROW())</f>
        <v>COMP_79</v>
      </c>
      <c r="F79" s="1">
        <v>0.24099999999999999</v>
      </c>
      <c r="G79" s="2">
        <v>0</v>
      </c>
      <c r="H79" s="2">
        <v>90</v>
      </c>
      <c r="I79" s="2">
        <v>0</v>
      </c>
      <c r="J79" s="4">
        <v>0</v>
      </c>
      <c r="K79" s="4">
        <v>0</v>
      </c>
      <c r="L79" s="4">
        <v>0</v>
      </c>
      <c r="M79" s="3">
        <v>219.8</v>
      </c>
      <c r="N79" s="3">
        <v>3.76</v>
      </c>
      <c r="O79" s="8">
        <v>0.22</v>
      </c>
      <c r="Q79" t="str">
        <f ca="1">OFFSET($A$1,ROW()-3,3)</f>
        <v>PIPE_77</v>
      </c>
      <c r="R79" s="1" t="s">
        <v>73</v>
      </c>
      <c r="S79" t="str">
        <f ca="1">OFFSET($A$1,ROW()+1,3)</f>
        <v>COMP_81</v>
      </c>
      <c r="T79" s="1" t="s">
        <v>72</v>
      </c>
    </row>
    <row r="80" spans="1:20" x14ac:dyDescent="0.25">
      <c r="C80" s="6"/>
      <c r="F80" s="1"/>
      <c r="G80" s="2"/>
      <c r="H80" s="2"/>
      <c r="I80" s="2"/>
      <c r="J80" s="4"/>
      <c r="K80" s="4"/>
      <c r="L80" s="4"/>
      <c r="M80" s="3"/>
      <c r="N80" s="3"/>
      <c r="R80" s="1"/>
      <c r="T80" s="1"/>
    </row>
    <row r="81" spans="1:23" x14ac:dyDescent="0.25">
      <c r="A81" t="s">
        <v>56</v>
      </c>
      <c r="B81" t="s">
        <v>10</v>
      </c>
      <c r="C81" s="6" t="s">
        <v>36</v>
      </c>
      <c r="D81" t="str">
        <f>CONCATENATE("COMP_",ROW())</f>
        <v>COMP_81</v>
      </c>
      <c r="F81" s="1">
        <v>0.50800000000000001</v>
      </c>
      <c r="G81" s="2">
        <v>0</v>
      </c>
      <c r="H81" s="2">
        <v>90</v>
      </c>
      <c r="I81" s="2">
        <v>0</v>
      </c>
      <c r="J81" s="4">
        <v>0</v>
      </c>
      <c r="K81" s="4">
        <v>0</v>
      </c>
      <c r="L81" s="4">
        <v>0</v>
      </c>
      <c r="M81" s="3">
        <v>220</v>
      </c>
      <c r="N81" s="3">
        <v>3.76</v>
      </c>
      <c r="Q81" t="str">
        <f ca="1">OFFSET($A$1,ROW()-3,3)</f>
        <v>COMP_79</v>
      </c>
      <c r="R81" s="1" t="s">
        <v>73</v>
      </c>
      <c r="S81" t="str">
        <f ca="1">OFFSET($A$1,ROW()+1,3)</f>
        <v>COMP_83</v>
      </c>
      <c r="T81" s="1" t="s">
        <v>72</v>
      </c>
    </row>
    <row r="82" spans="1:23" x14ac:dyDescent="0.25">
      <c r="C82" s="6"/>
      <c r="F82" s="1"/>
      <c r="G82" s="2"/>
      <c r="H82" s="2"/>
      <c r="I82" s="2"/>
      <c r="J82" s="4"/>
      <c r="K82" s="4"/>
      <c r="L82" s="4"/>
      <c r="M82" s="3"/>
      <c r="N82" s="3"/>
      <c r="R82" s="1"/>
      <c r="T82" s="1"/>
    </row>
    <row r="83" spans="1:23" x14ac:dyDescent="0.25">
      <c r="A83" t="s">
        <v>56</v>
      </c>
      <c r="B83" t="s">
        <v>9</v>
      </c>
      <c r="C83" s="6" t="s">
        <v>22</v>
      </c>
      <c r="D83" t="str">
        <f>CONCATENATE("COMP_",ROW())</f>
        <v>COMP_83</v>
      </c>
      <c r="F83" s="1">
        <v>0.2</v>
      </c>
      <c r="G83" s="2">
        <v>0</v>
      </c>
      <c r="H83" s="2">
        <v>90</v>
      </c>
      <c r="I83" s="2">
        <v>0</v>
      </c>
      <c r="J83" s="4">
        <v>0</v>
      </c>
      <c r="K83" s="4">
        <v>0</v>
      </c>
      <c r="L83" s="4">
        <v>0</v>
      </c>
      <c r="M83" s="3">
        <v>220</v>
      </c>
      <c r="N83" s="3">
        <v>3.76</v>
      </c>
      <c r="O83" s="8">
        <v>0.2198</v>
      </c>
      <c r="Q83" t="str">
        <f ca="1">OFFSET($A$1,ROW()-3,3)</f>
        <v>COMP_81</v>
      </c>
      <c r="R83" s="1" t="s">
        <v>73</v>
      </c>
      <c r="S83" t="str">
        <f ca="1">OFFSET($A$1,ROW()+1,3)</f>
        <v>PIPE_85</v>
      </c>
      <c r="T83" s="1" t="s">
        <v>72</v>
      </c>
    </row>
    <row r="84" spans="1:23" x14ac:dyDescent="0.25">
      <c r="C84" s="6"/>
      <c r="F84" s="1"/>
      <c r="G84" s="2"/>
      <c r="H84" s="2"/>
      <c r="I84" s="2"/>
      <c r="J84" s="4"/>
      <c r="K84" s="4"/>
      <c r="L84" s="4"/>
      <c r="M84" s="3"/>
      <c r="N84" s="3"/>
      <c r="R84" s="1"/>
      <c r="T84" s="1"/>
    </row>
    <row r="85" spans="1:23" x14ac:dyDescent="0.25">
      <c r="A85" t="s">
        <v>7</v>
      </c>
      <c r="B85" t="s">
        <v>7</v>
      </c>
      <c r="C85" s="6" t="s">
        <v>7</v>
      </c>
      <c r="D85" t="str">
        <f>CONCATENATE("PIPE_",ROW())</f>
        <v>PIPE_85</v>
      </c>
      <c r="F85" s="1">
        <f>0.268+0.178</f>
        <v>0.44600000000000001</v>
      </c>
      <c r="G85" s="2">
        <v>0</v>
      </c>
      <c r="H85" s="2">
        <v>90</v>
      </c>
      <c r="I85" s="2">
        <v>0</v>
      </c>
      <c r="J85" s="4">
        <v>0</v>
      </c>
      <c r="K85" s="4">
        <v>0</v>
      </c>
      <c r="L85" s="4">
        <v>0</v>
      </c>
      <c r="M85" s="3">
        <v>219.8</v>
      </c>
      <c r="N85" s="3">
        <v>3.76</v>
      </c>
      <c r="O85" s="8">
        <v>1.5</v>
      </c>
      <c r="R85" s="1"/>
      <c r="T85" s="1"/>
      <c r="W85" t="s">
        <v>39</v>
      </c>
    </row>
    <row r="86" spans="1:23" x14ac:dyDescent="0.25">
      <c r="A86" t="s">
        <v>7</v>
      </c>
      <c r="B86" t="s">
        <v>7</v>
      </c>
      <c r="C86" s="6" t="s">
        <v>7</v>
      </c>
      <c r="D86" t="str">
        <f>CONCATENATE("PIPE_",ROW())</f>
        <v>PIPE_86</v>
      </c>
      <c r="F86" s="1">
        <f>0.178+0.2</f>
        <v>0.378</v>
      </c>
      <c r="G86" s="2">
        <v>0</v>
      </c>
      <c r="H86" s="2">
        <v>90</v>
      </c>
      <c r="I86" s="2">
        <v>0</v>
      </c>
      <c r="J86" s="4">
        <v>0</v>
      </c>
      <c r="K86" s="4">
        <v>0</v>
      </c>
      <c r="L86" s="4">
        <v>0</v>
      </c>
      <c r="M86" s="3">
        <v>219.8</v>
      </c>
      <c r="N86" s="3">
        <v>3.76</v>
      </c>
      <c r="O86" s="8">
        <v>1.5</v>
      </c>
      <c r="R86" s="1"/>
      <c r="T86" s="1"/>
    </row>
    <row r="87" spans="1:23" x14ac:dyDescent="0.25">
      <c r="C87" s="6"/>
      <c r="F87" s="1"/>
      <c r="G87" s="2"/>
      <c r="H87" s="2"/>
      <c r="I87" s="2"/>
      <c r="J87" s="4"/>
      <c r="K87" s="4"/>
      <c r="L87" s="4"/>
      <c r="M87" s="3"/>
      <c r="N87" s="3"/>
      <c r="R87" s="1"/>
      <c r="T87" s="1"/>
    </row>
    <row r="88" spans="1:23" x14ac:dyDescent="0.25">
      <c r="A88" t="s">
        <v>56</v>
      </c>
      <c r="B88" t="s">
        <v>10</v>
      </c>
      <c r="C88" s="6" t="s">
        <v>37</v>
      </c>
      <c r="D88" t="str">
        <f>CONCATENATE("COMP_",ROW())</f>
        <v>COMP_88</v>
      </c>
      <c r="F88" s="1">
        <v>0.50800000000000001</v>
      </c>
      <c r="G88" s="2">
        <v>0</v>
      </c>
      <c r="H88" s="2">
        <v>90</v>
      </c>
      <c r="I88" s="2">
        <v>0</v>
      </c>
      <c r="J88" s="4">
        <v>0</v>
      </c>
      <c r="K88" s="4">
        <v>0</v>
      </c>
      <c r="L88" s="4">
        <v>0</v>
      </c>
      <c r="M88" s="3">
        <v>220</v>
      </c>
      <c r="N88" s="3">
        <v>3.76</v>
      </c>
      <c r="Q88" t="str">
        <f ca="1">OFFSET($A$1,ROW()-3,3)</f>
        <v>PIPE_86</v>
      </c>
      <c r="R88" s="1" t="s">
        <v>73</v>
      </c>
      <c r="S88" t="str">
        <f ca="1">OFFSET($A$1,ROW()+1,3)</f>
        <v>PIPE_90</v>
      </c>
      <c r="T88" s="1" t="s">
        <v>72</v>
      </c>
    </row>
    <row r="89" spans="1:23" x14ac:dyDescent="0.25">
      <c r="C89" s="6"/>
      <c r="F89" s="1"/>
      <c r="G89" s="2"/>
      <c r="H89" s="2"/>
      <c r="I89" s="2"/>
      <c r="J89" s="4"/>
      <c r="K89" s="4"/>
      <c r="L89" s="4"/>
      <c r="M89" s="3"/>
      <c r="N89" s="3"/>
      <c r="R89" s="1"/>
      <c r="T89" s="1"/>
    </row>
    <row r="90" spans="1:23" x14ac:dyDescent="0.25">
      <c r="A90" t="s">
        <v>7</v>
      </c>
      <c r="B90" t="s">
        <v>7</v>
      </c>
      <c r="C90" s="6" t="s">
        <v>7</v>
      </c>
      <c r="D90" t="str">
        <f>CONCATENATE("PIPE_",ROW())</f>
        <v>PIPE_90</v>
      </c>
      <c r="F90" s="1">
        <f>0.2+0.478+0.2</f>
        <v>0.87799999999999989</v>
      </c>
      <c r="G90" s="2">
        <v>0</v>
      </c>
      <c r="H90" s="2">
        <v>90</v>
      </c>
      <c r="I90" s="2">
        <v>0</v>
      </c>
      <c r="J90" s="4">
        <v>0</v>
      </c>
      <c r="K90" s="4">
        <v>0</v>
      </c>
      <c r="L90" s="4">
        <v>0</v>
      </c>
      <c r="M90" s="3">
        <v>219.8</v>
      </c>
      <c r="N90" s="3">
        <v>3.76</v>
      </c>
      <c r="O90" s="8">
        <v>1.5</v>
      </c>
      <c r="R90" s="1"/>
      <c r="T90" s="1"/>
    </row>
    <row r="91" spans="1:23" x14ac:dyDescent="0.25">
      <c r="C91" s="6"/>
      <c r="F91" s="1"/>
      <c r="G91" s="2"/>
      <c r="H91" s="2"/>
      <c r="I91" s="2"/>
      <c r="J91" s="4"/>
      <c r="K91" s="4"/>
      <c r="L91" s="4"/>
      <c r="M91" s="3"/>
      <c r="N91" s="3"/>
      <c r="R91" s="1"/>
      <c r="T91" s="1"/>
    </row>
    <row r="92" spans="1:23" x14ac:dyDescent="0.25">
      <c r="A92" t="s">
        <v>56</v>
      </c>
      <c r="B92" t="s">
        <v>10</v>
      </c>
      <c r="C92" s="6" t="s">
        <v>38</v>
      </c>
      <c r="D92" t="str">
        <f>CONCATENATE("COMP_",ROW())</f>
        <v>COMP_92</v>
      </c>
      <c r="F92" s="1">
        <v>0.50800000000000001</v>
      </c>
      <c r="G92" s="2">
        <v>0</v>
      </c>
      <c r="H92" s="2">
        <v>90</v>
      </c>
      <c r="I92" s="2">
        <v>0</v>
      </c>
      <c r="J92" s="4">
        <v>0</v>
      </c>
      <c r="K92" s="4">
        <v>0</v>
      </c>
      <c r="L92" s="4">
        <v>0</v>
      </c>
      <c r="M92" s="3">
        <v>220</v>
      </c>
      <c r="N92" s="3">
        <v>3.76</v>
      </c>
      <c r="Q92" t="str">
        <f ca="1">OFFSET($A$1,ROW()-3,3)</f>
        <v>PIPE_90</v>
      </c>
      <c r="R92" s="1" t="s">
        <v>73</v>
      </c>
      <c r="S92" t="str">
        <f ca="1">OFFSET($A$1,ROW()+1,3)</f>
        <v>PIPE_94</v>
      </c>
      <c r="T92" s="1" t="s">
        <v>72</v>
      </c>
    </row>
    <row r="93" spans="1:23" x14ac:dyDescent="0.25">
      <c r="C93" s="6"/>
      <c r="F93" s="1"/>
      <c r="G93" s="2"/>
      <c r="H93" s="2"/>
      <c r="I93" s="2"/>
      <c r="J93" s="4"/>
      <c r="K93" s="4"/>
      <c r="L93" s="4"/>
      <c r="M93" s="3"/>
      <c r="N93" s="3"/>
      <c r="R93" s="1"/>
      <c r="T93" s="1"/>
    </row>
    <row r="94" spans="1:23" x14ac:dyDescent="0.25">
      <c r="A94" t="s">
        <v>7</v>
      </c>
      <c r="B94" t="s">
        <v>7</v>
      </c>
      <c r="C94" s="6" t="s">
        <v>7</v>
      </c>
      <c r="D94" t="str">
        <f>CONCATENATE("PIPE_",ROW())</f>
        <v>PIPE_94</v>
      </c>
      <c r="F94" s="1">
        <f>0.2+0.178</f>
        <v>0.378</v>
      </c>
      <c r="G94" s="2">
        <v>0</v>
      </c>
      <c r="H94" s="2">
        <v>90</v>
      </c>
      <c r="I94" s="2">
        <v>0</v>
      </c>
      <c r="J94" s="4">
        <v>0</v>
      </c>
      <c r="K94" s="4">
        <v>0</v>
      </c>
      <c r="L94" s="4">
        <v>0</v>
      </c>
      <c r="M94" s="3">
        <v>219.8</v>
      </c>
      <c r="N94" s="3">
        <v>3.76</v>
      </c>
      <c r="O94" s="8">
        <v>1.5</v>
      </c>
      <c r="R94" s="1"/>
      <c r="T94" s="1"/>
      <c r="W94" t="s">
        <v>48</v>
      </c>
    </row>
    <row r="95" spans="1:23" x14ac:dyDescent="0.25">
      <c r="A95" t="s">
        <v>7</v>
      </c>
      <c r="B95" t="s">
        <v>7</v>
      </c>
      <c r="C95" s="6" t="s">
        <v>7</v>
      </c>
      <c r="D95" t="str">
        <f>CONCATENATE("PIPE_",ROW())</f>
        <v>PIPE_95</v>
      </c>
      <c r="F95" s="1">
        <f>0.178+0.1+0.178</f>
        <v>0.45600000000000002</v>
      </c>
      <c r="G95" s="2">
        <v>0</v>
      </c>
      <c r="H95" s="2">
        <v>90</v>
      </c>
      <c r="I95" s="2">
        <v>0</v>
      </c>
      <c r="J95" s="4">
        <v>0</v>
      </c>
      <c r="K95" s="4">
        <v>0</v>
      </c>
      <c r="L95" s="4">
        <v>0</v>
      </c>
      <c r="M95" s="3">
        <v>219.8</v>
      </c>
      <c r="N95" s="3">
        <v>3.76</v>
      </c>
      <c r="O95" s="8">
        <v>1.5</v>
      </c>
      <c r="R95" s="1"/>
      <c r="T95" s="1"/>
      <c r="W95" t="s">
        <v>41</v>
      </c>
    </row>
    <row r="96" spans="1:23" x14ac:dyDescent="0.25">
      <c r="A96" t="s">
        <v>7</v>
      </c>
      <c r="B96" t="s">
        <v>7</v>
      </c>
      <c r="C96" s="6" t="s">
        <v>7</v>
      </c>
      <c r="D96" t="str">
        <f>CONCATENATE("PIPE_",ROW())</f>
        <v>PIPE_96</v>
      </c>
      <c r="F96" s="1">
        <f>0.178+0.412+0.2</f>
        <v>0.79</v>
      </c>
      <c r="G96" s="2">
        <v>0</v>
      </c>
      <c r="H96" s="2">
        <v>90</v>
      </c>
      <c r="I96" s="2">
        <v>0</v>
      </c>
      <c r="J96" s="4">
        <v>0</v>
      </c>
      <c r="K96" s="4">
        <v>0</v>
      </c>
      <c r="L96" s="4">
        <v>0</v>
      </c>
      <c r="M96" s="3">
        <v>219.8</v>
      </c>
      <c r="N96" s="3">
        <v>3.76</v>
      </c>
      <c r="O96" s="8">
        <v>1.5</v>
      </c>
      <c r="R96" s="1"/>
      <c r="T96" s="1"/>
    </row>
    <row r="97" spans="1:23" x14ac:dyDescent="0.25">
      <c r="C97" s="6"/>
      <c r="F97" s="1"/>
      <c r="G97" s="2"/>
      <c r="H97" s="2"/>
      <c r="I97" s="2"/>
      <c r="J97" s="4"/>
      <c r="K97" s="4"/>
      <c r="L97" s="4"/>
      <c r="M97" s="3"/>
      <c r="N97" s="3"/>
      <c r="R97" s="1"/>
      <c r="T97" s="1"/>
    </row>
    <row r="98" spans="1:23" x14ac:dyDescent="0.25">
      <c r="A98" t="s">
        <v>56</v>
      </c>
      <c r="B98" t="s">
        <v>10</v>
      </c>
      <c r="C98" s="6" t="s">
        <v>40</v>
      </c>
      <c r="D98" t="str">
        <f>CONCATENATE("COMP_",ROW())</f>
        <v>COMP_98</v>
      </c>
      <c r="F98" s="1">
        <v>0.50800000000000001</v>
      </c>
      <c r="G98" s="2">
        <v>0</v>
      </c>
      <c r="H98" s="2">
        <v>90</v>
      </c>
      <c r="I98" s="2">
        <v>0</v>
      </c>
      <c r="J98" s="4">
        <v>0</v>
      </c>
      <c r="K98" s="4">
        <v>0</v>
      </c>
      <c r="L98" s="4">
        <v>0</v>
      </c>
      <c r="M98" s="3">
        <v>220</v>
      </c>
      <c r="N98" s="3">
        <v>3.76</v>
      </c>
      <c r="Q98" t="str">
        <f ca="1">OFFSET($A$1,ROW()-3,3)</f>
        <v>PIPE_96</v>
      </c>
      <c r="R98" s="1" t="s">
        <v>73</v>
      </c>
      <c r="S98" t="str">
        <f ca="1">OFFSET($A$1,ROW()+1,3)</f>
        <v>PIPE_100</v>
      </c>
      <c r="T98" s="1" t="s">
        <v>72</v>
      </c>
    </row>
    <row r="99" spans="1:23" x14ac:dyDescent="0.25">
      <c r="C99" s="6"/>
      <c r="F99" s="1"/>
      <c r="G99" s="2"/>
      <c r="H99" s="2"/>
      <c r="I99" s="2"/>
      <c r="J99" s="4"/>
      <c r="K99" s="4"/>
      <c r="L99" s="4"/>
      <c r="M99" s="3"/>
      <c r="N99" s="3"/>
      <c r="R99" s="1"/>
      <c r="T99" s="1"/>
    </row>
    <row r="100" spans="1:23" x14ac:dyDescent="0.25">
      <c r="A100" t="s">
        <v>7</v>
      </c>
      <c r="B100" t="s">
        <v>7</v>
      </c>
      <c r="C100" s="6" t="s">
        <v>7</v>
      </c>
      <c r="D100" t="str">
        <f>CONCATENATE("PIPE_",ROW())</f>
        <v>PIPE_100</v>
      </c>
      <c r="F100" s="1">
        <f>0.2+0.592+0.2</f>
        <v>0.99199999999999999</v>
      </c>
      <c r="G100" s="2">
        <v>0</v>
      </c>
      <c r="H100" s="2">
        <v>90</v>
      </c>
      <c r="I100" s="2">
        <v>0</v>
      </c>
      <c r="J100" s="4">
        <v>0</v>
      </c>
      <c r="K100" s="4">
        <v>0</v>
      </c>
      <c r="L100" s="4">
        <v>0</v>
      </c>
      <c r="M100" s="3">
        <v>219.8</v>
      </c>
      <c r="N100" s="3">
        <v>3.76</v>
      </c>
      <c r="O100" s="8">
        <v>1.5</v>
      </c>
      <c r="R100" s="1"/>
      <c r="T100" s="1"/>
    </row>
    <row r="101" spans="1:23" x14ac:dyDescent="0.25">
      <c r="C101" s="6"/>
      <c r="F101" s="1"/>
      <c r="G101" s="2"/>
      <c r="H101" s="2"/>
      <c r="I101" s="2"/>
      <c r="J101" s="4"/>
      <c r="K101" s="4"/>
      <c r="L101" s="4"/>
      <c r="M101" s="3"/>
      <c r="N101" s="3"/>
      <c r="R101" s="1"/>
      <c r="T101" s="1"/>
    </row>
    <row r="102" spans="1:23" x14ac:dyDescent="0.25">
      <c r="A102" t="s">
        <v>56</v>
      </c>
      <c r="B102" t="s">
        <v>10</v>
      </c>
      <c r="C102" s="6" t="s">
        <v>42</v>
      </c>
      <c r="D102" t="str">
        <f>CONCATENATE("COMP_",ROW())</f>
        <v>COMP_102</v>
      </c>
      <c r="F102" s="1">
        <v>0.50800000000000001</v>
      </c>
      <c r="G102" s="2">
        <v>0</v>
      </c>
      <c r="H102" s="2">
        <v>90</v>
      </c>
      <c r="I102" s="2">
        <v>0</v>
      </c>
      <c r="J102" s="4">
        <v>0</v>
      </c>
      <c r="K102" s="4">
        <v>0</v>
      </c>
      <c r="L102" s="4">
        <v>0</v>
      </c>
      <c r="M102" s="3">
        <v>220</v>
      </c>
      <c r="N102" s="3">
        <v>3.76</v>
      </c>
      <c r="Q102" t="str">
        <f ca="1">OFFSET($A$1,ROW()-3,3)</f>
        <v>PIPE_100</v>
      </c>
      <c r="R102" s="1" t="s">
        <v>73</v>
      </c>
      <c r="S102" t="str">
        <f ca="1">OFFSET($A$1,ROW()+1,3)</f>
        <v>PIPE_104</v>
      </c>
      <c r="T102" s="1" t="s">
        <v>72</v>
      </c>
    </row>
    <row r="103" spans="1:23" x14ac:dyDescent="0.25">
      <c r="C103" s="6"/>
      <c r="F103" s="1"/>
      <c r="G103" s="2"/>
      <c r="H103" s="2"/>
      <c r="I103" s="2"/>
      <c r="J103" s="4"/>
      <c r="K103" s="4"/>
      <c r="L103" s="4"/>
      <c r="M103" s="3"/>
      <c r="N103" s="3"/>
      <c r="R103" s="1"/>
      <c r="T103" s="1"/>
    </row>
    <row r="104" spans="1:23" x14ac:dyDescent="0.25">
      <c r="A104" t="s">
        <v>7</v>
      </c>
      <c r="B104" t="s">
        <v>7</v>
      </c>
      <c r="C104" s="6" t="s">
        <v>7</v>
      </c>
      <c r="D104" t="str">
        <f>CONCATENATE("PIPE_",ROW())</f>
        <v>PIPE_104</v>
      </c>
      <c r="F104" s="1">
        <f>0.2+0.303+0.178</f>
        <v>0.68100000000000005</v>
      </c>
      <c r="G104" s="2">
        <v>0</v>
      </c>
      <c r="H104" s="2">
        <v>90</v>
      </c>
      <c r="I104" s="2">
        <v>0</v>
      </c>
      <c r="J104" s="4">
        <v>0</v>
      </c>
      <c r="K104" s="4">
        <v>0</v>
      </c>
      <c r="L104" s="4">
        <v>0</v>
      </c>
      <c r="M104" s="3">
        <v>219.8</v>
      </c>
      <c r="N104" s="3">
        <v>3.76</v>
      </c>
      <c r="O104" s="8">
        <v>1.5</v>
      </c>
      <c r="R104" s="1"/>
      <c r="T104" s="1"/>
      <c r="W104" t="s">
        <v>43</v>
      </c>
    </row>
    <row r="105" spans="1:23" x14ac:dyDescent="0.25">
      <c r="A105" t="s">
        <v>7</v>
      </c>
      <c r="B105" t="s">
        <v>7</v>
      </c>
      <c r="C105" s="6" t="s">
        <v>7</v>
      </c>
      <c r="D105" t="str">
        <f>CONCATENATE("PIPE_",ROW())</f>
        <v>PIPE_105</v>
      </c>
      <c r="F105" s="1">
        <f>0.178+0.733+0.2</f>
        <v>1.111</v>
      </c>
      <c r="G105" s="2">
        <v>0</v>
      </c>
      <c r="H105" s="2">
        <v>90</v>
      </c>
      <c r="I105" s="2">
        <v>0</v>
      </c>
      <c r="J105" s="4">
        <v>0</v>
      </c>
      <c r="K105" s="4">
        <v>0</v>
      </c>
      <c r="L105" s="4">
        <v>0</v>
      </c>
      <c r="M105" s="3">
        <v>219.8</v>
      </c>
      <c r="N105" s="3">
        <v>3.76</v>
      </c>
      <c r="O105" s="8">
        <v>1.5</v>
      </c>
      <c r="R105" s="1"/>
      <c r="T105" s="1"/>
    </row>
    <row r="106" spans="1:23" x14ac:dyDescent="0.25">
      <c r="C106" s="6"/>
      <c r="F106" s="1"/>
      <c r="G106" s="2"/>
      <c r="H106" s="2"/>
      <c r="I106" s="2"/>
      <c r="J106" s="4"/>
      <c r="K106" s="4"/>
      <c r="L106" s="4"/>
      <c r="M106" s="3"/>
      <c r="N106" s="3"/>
      <c r="R106" s="1"/>
      <c r="T106" s="1"/>
    </row>
    <row r="107" spans="1:23" x14ac:dyDescent="0.25">
      <c r="A107" t="s">
        <v>56</v>
      </c>
      <c r="B107" t="s">
        <v>10</v>
      </c>
      <c r="C107" s="6" t="s">
        <v>44</v>
      </c>
      <c r="D107" t="str">
        <f>CONCATENATE("COMP_",ROW())</f>
        <v>COMP_107</v>
      </c>
      <c r="F107" s="1">
        <v>0.50800000000000001</v>
      </c>
      <c r="G107" s="2">
        <v>0</v>
      </c>
      <c r="H107" s="2">
        <v>90</v>
      </c>
      <c r="I107" s="2">
        <v>0</v>
      </c>
      <c r="J107" s="4">
        <v>0</v>
      </c>
      <c r="K107" s="4">
        <v>0</v>
      </c>
      <c r="L107" s="4">
        <v>0</v>
      </c>
      <c r="M107" s="3">
        <v>220</v>
      </c>
      <c r="N107" s="3">
        <v>3.76</v>
      </c>
      <c r="Q107" t="str">
        <f ca="1">OFFSET($A$1,ROW()-3,3)</f>
        <v>PIPE_105</v>
      </c>
      <c r="R107" s="1" t="s">
        <v>73</v>
      </c>
      <c r="S107" t="str">
        <f ca="1">OFFSET($A$1,ROW()+1,3)</f>
        <v>PIPE_109</v>
      </c>
      <c r="T107" s="1" t="s">
        <v>72</v>
      </c>
    </row>
    <row r="108" spans="1:23" x14ac:dyDescent="0.25">
      <c r="C108" s="6"/>
      <c r="F108" s="1"/>
      <c r="G108" s="2"/>
      <c r="H108" s="2"/>
      <c r="I108" s="2"/>
      <c r="J108" s="4"/>
      <c r="K108" s="4"/>
      <c r="L108" s="4"/>
      <c r="M108" s="3"/>
      <c r="N108" s="3"/>
      <c r="R108" s="1"/>
      <c r="T108" s="1"/>
    </row>
    <row r="109" spans="1:23" x14ac:dyDescent="0.25">
      <c r="A109" t="s">
        <v>7</v>
      </c>
      <c r="B109" t="s">
        <v>7</v>
      </c>
      <c r="C109" s="6" t="s">
        <v>7</v>
      </c>
      <c r="D109" t="str">
        <f>CONCATENATE("PIPE_",ROW())</f>
        <v>PIPE_109</v>
      </c>
      <c r="F109" s="1">
        <f>0.241+0.305</f>
        <v>0.54600000000000004</v>
      </c>
      <c r="G109" s="2">
        <v>0</v>
      </c>
      <c r="H109" s="2">
        <v>90</v>
      </c>
      <c r="I109" s="2">
        <v>0</v>
      </c>
      <c r="J109" s="4">
        <v>0</v>
      </c>
      <c r="K109" s="4">
        <v>0</v>
      </c>
      <c r="L109" s="4">
        <v>0</v>
      </c>
      <c r="M109" s="3">
        <v>219.8</v>
      </c>
      <c r="N109" s="3">
        <v>3.76</v>
      </c>
      <c r="O109" s="8">
        <v>1.5</v>
      </c>
      <c r="R109" s="1"/>
      <c r="T109" s="1"/>
    </row>
    <row r="110" spans="1:23" x14ac:dyDescent="0.25">
      <c r="A110" t="s">
        <v>7</v>
      </c>
      <c r="B110" t="s">
        <v>7</v>
      </c>
      <c r="C110" s="6" t="s">
        <v>7</v>
      </c>
      <c r="D110" t="str">
        <f>CONCATENATE("PIPE_",ROW())</f>
        <v>PIPE_110</v>
      </c>
      <c r="F110" s="1">
        <v>1.35</v>
      </c>
      <c r="G110" s="2">
        <v>0</v>
      </c>
      <c r="H110" s="2">
        <v>0</v>
      </c>
      <c r="I110" s="2">
        <v>0</v>
      </c>
      <c r="J110" s="4">
        <v>0</v>
      </c>
      <c r="K110" s="4">
        <v>0</v>
      </c>
      <c r="L110" s="4">
        <v>0</v>
      </c>
      <c r="M110" s="3">
        <v>219.8</v>
      </c>
      <c r="N110" s="3">
        <v>3.76</v>
      </c>
      <c r="O110" s="8">
        <v>1.5</v>
      </c>
      <c r="R110" s="1"/>
      <c r="T110" s="1"/>
    </row>
    <row r="111" spans="1:23" x14ac:dyDescent="0.25">
      <c r="C111" s="6"/>
      <c r="F111" s="1"/>
      <c r="G111" s="2"/>
      <c r="H111" s="2"/>
      <c r="I111" s="2"/>
      <c r="J111" s="4"/>
      <c r="K111" s="4"/>
      <c r="L111" s="4"/>
      <c r="M111" s="3"/>
      <c r="N111" s="3"/>
      <c r="R111" s="1"/>
      <c r="T111" s="1"/>
    </row>
    <row r="112" spans="1:23" x14ac:dyDescent="0.25">
      <c r="A112" t="s">
        <v>56</v>
      </c>
      <c r="B112" t="s">
        <v>11</v>
      </c>
      <c r="C112" s="6" t="s">
        <v>22</v>
      </c>
      <c r="D112" t="str">
        <f>CONCATENATE("COMP_",ROW())</f>
        <v>COMP_112</v>
      </c>
      <c r="F112" s="1">
        <v>0</v>
      </c>
      <c r="G112" s="2">
        <v>0</v>
      </c>
      <c r="H112" s="2">
        <v>0</v>
      </c>
      <c r="I112" s="2">
        <v>0</v>
      </c>
      <c r="J112" s="4">
        <v>0</v>
      </c>
      <c r="K112" s="4">
        <v>0</v>
      </c>
      <c r="L112" s="4">
        <v>0</v>
      </c>
      <c r="M112" s="3">
        <v>220</v>
      </c>
      <c r="N112" s="3">
        <v>3.76</v>
      </c>
      <c r="Q112" t="str">
        <f ca="1">OFFSET($A$1,ROW()-3,3)</f>
        <v>PIPE_110</v>
      </c>
      <c r="R112" s="1" t="s">
        <v>73</v>
      </c>
      <c r="S112" t="str">
        <f>D71</f>
        <v>PIPE_71</v>
      </c>
      <c r="T112" s="1" t="s">
        <v>72</v>
      </c>
    </row>
    <row r="113" spans="1:23" x14ac:dyDescent="0.25">
      <c r="C113" s="6"/>
      <c r="F113" s="1"/>
      <c r="G113" s="2"/>
      <c r="H113" s="2"/>
      <c r="I113" s="2"/>
      <c r="J113" s="4"/>
      <c r="K113" s="4"/>
      <c r="L113" s="4"/>
      <c r="M113" s="3"/>
      <c r="N113" s="3"/>
      <c r="R113" s="1"/>
      <c r="T113" s="1"/>
    </row>
    <row r="114" spans="1:23" x14ac:dyDescent="0.25">
      <c r="C114" s="6"/>
      <c r="F114" s="1"/>
      <c r="G114" s="2"/>
      <c r="H114" s="2"/>
      <c r="I114" s="2"/>
      <c r="J114" s="4"/>
      <c r="K114" s="4"/>
      <c r="L114" s="4"/>
      <c r="M114" s="3"/>
      <c r="N114" s="3"/>
      <c r="R114" s="1"/>
      <c r="T114" s="1"/>
    </row>
    <row r="115" spans="1:23" x14ac:dyDescent="0.25">
      <c r="C115" s="6"/>
      <c r="F115" s="1"/>
      <c r="G115" s="2"/>
      <c r="H115" s="2"/>
      <c r="I115" s="2"/>
      <c r="J115" s="4"/>
      <c r="K115" s="4"/>
      <c r="L115" s="4"/>
      <c r="M115" s="3"/>
      <c r="N115" s="3"/>
      <c r="R115" s="1"/>
      <c r="T115" s="1"/>
    </row>
    <row r="116" spans="1:23" x14ac:dyDescent="0.25">
      <c r="A116" t="s">
        <v>29</v>
      </c>
      <c r="B116" t="s">
        <v>45</v>
      </c>
      <c r="C116" s="6"/>
      <c r="F116" s="1"/>
      <c r="G116" s="2"/>
      <c r="H116" s="2"/>
      <c r="I116" s="2"/>
      <c r="J116" s="4"/>
      <c r="K116" s="4"/>
      <c r="L116" s="4"/>
      <c r="M116" s="3"/>
      <c r="N116" s="3"/>
      <c r="R116" s="1"/>
      <c r="T116" s="1"/>
    </row>
    <row r="117" spans="1:23" x14ac:dyDescent="0.25">
      <c r="A117" t="s">
        <v>56</v>
      </c>
      <c r="B117" t="s">
        <v>11</v>
      </c>
      <c r="C117" s="6" t="s">
        <v>22</v>
      </c>
      <c r="D117" t="str">
        <f>CONCATENATE("COMP_",ROW())</f>
        <v>COMP_117</v>
      </c>
      <c r="F117" s="1">
        <v>0</v>
      </c>
      <c r="G117" s="2">
        <v>0</v>
      </c>
      <c r="H117" s="2">
        <v>0</v>
      </c>
      <c r="I117" s="2">
        <v>0</v>
      </c>
      <c r="J117" s="4">
        <v>0</v>
      </c>
      <c r="K117" s="4">
        <v>0</v>
      </c>
      <c r="L117" s="4">
        <v>0</v>
      </c>
      <c r="M117" s="3">
        <f>6*25.4</f>
        <v>152.39999999999998</v>
      </c>
      <c r="N117" s="3">
        <v>3.76</v>
      </c>
      <c r="Q117" t="str">
        <f>D94</f>
        <v>PIPE_94</v>
      </c>
      <c r="R117" s="1">
        <v>0.378</v>
      </c>
      <c r="S117" t="str">
        <f ca="1">OFFSET($A$1,ROW()+1,3)</f>
        <v>PIPE_119</v>
      </c>
      <c r="T117" s="1" t="s">
        <v>72</v>
      </c>
    </row>
    <row r="118" spans="1:23" x14ac:dyDescent="0.25">
      <c r="C118" s="6"/>
      <c r="F118" s="1"/>
      <c r="G118" s="2"/>
      <c r="H118" s="2"/>
      <c r="I118" s="2"/>
      <c r="J118" s="4"/>
      <c r="K118" s="4"/>
      <c r="L118" s="4"/>
      <c r="M118" s="3"/>
      <c r="N118" s="3"/>
      <c r="R118" s="1"/>
      <c r="T118" s="1"/>
    </row>
    <row r="119" spans="1:23" x14ac:dyDescent="0.25">
      <c r="A119" t="s">
        <v>7</v>
      </c>
      <c r="B119" t="s">
        <v>7</v>
      </c>
      <c r="C119" s="6" t="s">
        <v>7</v>
      </c>
      <c r="D119" t="str">
        <f t="shared" ref="D119:D124" si="3">CONCATENATE("PIPE_",ROW())</f>
        <v>PIPE_119</v>
      </c>
      <c r="F119" s="1">
        <v>0.5</v>
      </c>
      <c r="G119" s="2">
        <v>0</v>
      </c>
      <c r="H119" s="2">
        <v>0</v>
      </c>
      <c r="I119" s="2">
        <v>0</v>
      </c>
      <c r="J119" s="4">
        <v>0</v>
      </c>
      <c r="K119" s="4">
        <v>0</v>
      </c>
      <c r="L119" s="4">
        <v>0</v>
      </c>
      <c r="M119" s="3">
        <f t="shared" ref="M119:M124" si="4">6*25.4</f>
        <v>152.39999999999998</v>
      </c>
      <c r="N119" s="3">
        <v>3.76</v>
      </c>
      <c r="O119" s="8">
        <v>1.5</v>
      </c>
      <c r="R119" s="1"/>
      <c r="T119" s="1"/>
    </row>
    <row r="120" spans="1:23" x14ac:dyDescent="0.25">
      <c r="A120" t="s">
        <v>7</v>
      </c>
      <c r="B120" t="s">
        <v>7</v>
      </c>
      <c r="C120" s="6" t="s">
        <v>7</v>
      </c>
      <c r="D120" t="str">
        <f t="shared" si="3"/>
        <v>PIPE_120</v>
      </c>
      <c r="F120" s="1">
        <v>1.49</v>
      </c>
      <c r="G120" s="2">
        <v>90</v>
      </c>
      <c r="H120" s="2">
        <v>0</v>
      </c>
      <c r="I120" s="2">
        <v>0</v>
      </c>
      <c r="J120" s="4">
        <v>0</v>
      </c>
      <c r="K120" s="4">
        <v>0</v>
      </c>
      <c r="L120" s="4">
        <v>0</v>
      </c>
      <c r="M120" s="3">
        <f t="shared" si="4"/>
        <v>152.39999999999998</v>
      </c>
      <c r="N120" s="3">
        <v>3.76</v>
      </c>
      <c r="O120" s="8">
        <v>1.5</v>
      </c>
      <c r="R120" s="1"/>
      <c r="T120" s="1"/>
    </row>
    <row r="121" spans="1:23" x14ac:dyDescent="0.25">
      <c r="A121" t="s">
        <v>7</v>
      </c>
      <c r="B121" t="s">
        <v>7</v>
      </c>
      <c r="C121" s="6" t="s">
        <v>7</v>
      </c>
      <c r="D121" t="str">
        <f t="shared" si="3"/>
        <v>PIPE_121</v>
      </c>
      <c r="F121" s="1">
        <v>1.49</v>
      </c>
      <c r="G121" s="2">
        <v>0</v>
      </c>
      <c r="H121" s="2">
        <v>270</v>
      </c>
      <c r="I121" s="2">
        <v>0</v>
      </c>
      <c r="J121" s="4">
        <v>0</v>
      </c>
      <c r="K121" s="4">
        <v>0</v>
      </c>
      <c r="L121" s="4">
        <v>0</v>
      </c>
      <c r="M121" s="3">
        <f t="shared" si="4"/>
        <v>152.39999999999998</v>
      </c>
      <c r="N121" s="3">
        <v>3.76</v>
      </c>
      <c r="O121" s="8">
        <v>1.5</v>
      </c>
      <c r="R121" s="1"/>
      <c r="T121" s="1"/>
      <c r="W121" t="s">
        <v>46</v>
      </c>
    </row>
    <row r="122" spans="1:23" x14ac:dyDescent="0.25">
      <c r="A122" t="s">
        <v>7</v>
      </c>
      <c r="B122" t="s">
        <v>7</v>
      </c>
      <c r="C122" s="6" t="s">
        <v>7</v>
      </c>
      <c r="D122" t="str">
        <f t="shared" si="3"/>
        <v>PIPE_122</v>
      </c>
      <c r="F122" s="1">
        <v>1.49</v>
      </c>
      <c r="G122" s="2">
        <v>0</v>
      </c>
      <c r="H122" s="2">
        <v>0</v>
      </c>
      <c r="I122" s="2">
        <v>0</v>
      </c>
      <c r="J122" s="4">
        <v>0</v>
      </c>
      <c r="K122" s="4">
        <v>0</v>
      </c>
      <c r="L122" s="4">
        <v>0</v>
      </c>
      <c r="M122" s="3">
        <f t="shared" si="4"/>
        <v>152.39999999999998</v>
      </c>
      <c r="N122" s="3">
        <v>3.76</v>
      </c>
      <c r="O122" s="8">
        <v>1.5</v>
      </c>
      <c r="R122" s="1"/>
      <c r="T122" s="1"/>
      <c r="W122" t="s">
        <v>46</v>
      </c>
    </row>
    <row r="123" spans="1:23" x14ac:dyDescent="0.25">
      <c r="A123" t="s">
        <v>7</v>
      </c>
      <c r="B123" t="s">
        <v>7</v>
      </c>
      <c r="C123" s="6" t="s">
        <v>7</v>
      </c>
      <c r="D123" t="str">
        <f t="shared" si="3"/>
        <v>PIPE_123</v>
      </c>
      <c r="F123" s="1">
        <v>3.2</v>
      </c>
      <c r="G123" s="2">
        <v>90</v>
      </c>
      <c r="H123" s="2">
        <v>0</v>
      </c>
      <c r="I123" s="2">
        <v>0</v>
      </c>
      <c r="J123" s="4">
        <v>0</v>
      </c>
      <c r="K123" s="4">
        <v>0</v>
      </c>
      <c r="L123" s="4">
        <v>0</v>
      </c>
      <c r="M123" s="3">
        <f t="shared" si="4"/>
        <v>152.39999999999998</v>
      </c>
      <c r="N123" s="3">
        <v>3.76</v>
      </c>
      <c r="O123" s="8">
        <v>1.5</v>
      </c>
      <c r="R123" s="1"/>
      <c r="T123" s="1"/>
    </row>
    <row r="124" spans="1:23" x14ac:dyDescent="0.25">
      <c r="A124" t="s">
        <v>7</v>
      </c>
      <c r="B124" t="s">
        <v>7</v>
      </c>
      <c r="C124" s="6" t="s">
        <v>7</v>
      </c>
      <c r="D124" t="str">
        <f t="shared" si="3"/>
        <v>PIPE_124</v>
      </c>
      <c r="F124" s="1">
        <f>0.229+0.1</f>
        <v>0.32900000000000001</v>
      </c>
      <c r="G124" s="2">
        <v>0</v>
      </c>
      <c r="H124" s="2">
        <v>51</v>
      </c>
      <c r="I124" s="2">
        <v>0</v>
      </c>
      <c r="J124" s="4">
        <v>0</v>
      </c>
      <c r="K124" s="4">
        <v>0</v>
      </c>
      <c r="L124" s="4">
        <v>0</v>
      </c>
      <c r="M124" s="3">
        <f t="shared" si="4"/>
        <v>152.39999999999998</v>
      </c>
      <c r="N124" s="3">
        <v>3.76</v>
      </c>
      <c r="O124" s="8">
        <v>1.5</v>
      </c>
      <c r="R124" s="1"/>
      <c r="T124" s="1"/>
    </row>
    <row r="125" spans="1:23" x14ac:dyDescent="0.25">
      <c r="C125" s="6"/>
      <c r="F125" s="1"/>
      <c r="G125" s="2"/>
      <c r="H125" s="2"/>
      <c r="I125" s="2"/>
      <c r="J125" s="4"/>
      <c r="K125" s="4"/>
      <c r="L125" s="4"/>
      <c r="M125" s="3"/>
      <c r="N125" s="3"/>
      <c r="R125" s="1"/>
      <c r="T125" s="1"/>
    </row>
    <row r="126" spans="1:23" x14ac:dyDescent="0.25">
      <c r="A126" t="s">
        <v>56</v>
      </c>
      <c r="B126" t="s">
        <v>10</v>
      </c>
      <c r="C126" s="6" t="s">
        <v>50</v>
      </c>
      <c r="D126" t="str">
        <f>CONCATENATE("COMP_",ROW())</f>
        <v>COMP_126</v>
      </c>
      <c r="F126" s="1">
        <v>0.50800000000000001</v>
      </c>
      <c r="G126" s="2">
        <v>0</v>
      </c>
      <c r="H126" s="2">
        <v>51</v>
      </c>
      <c r="I126" s="2">
        <v>0</v>
      </c>
      <c r="J126" s="4">
        <v>0</v>
      </c>
      <c r="K126" s="4">
        <v>0</v>
      </c>
      <c r="L126" s="4">
        <v>0</v>
      </c>
      <c r="M126" s="3">
        <f>6*25.4</f>
        <v>152.39999999999998</v>
      </c>
      <c r="N126" s="3">
        <v>3.76</v>
      </c>
      <c r="Q126" t="str">
        <f ca="1">OFFSET($A$1,ROW()-3,3)</f>
        <v>PIPE_124</v>
      </c>
      <c r="R126" s="1" t="s">
        <v>73</v>
      </c>
      <c r="S126" t="str">
        <f ca="1">OFFSET($A$1,ROW()+1,3)</f>
        <v>PIPE_128</v>
      </c>
      <c r="T126" s="1" t="s">
        <v>72</v>
      </c>
    </row>
    <row r="127" spans="1:23" x14ac:dyDescent="0.25">
      <c r="C127" s="6"/>
      <c r="F127" s="1"/>
      <c r="G127" s="2"/>
      <c r="H127" s="2"/>
      <c r="I127" s="2"/>
      <c r="J127" s="4"/>
      <c r="K127" s="4"/>
      <c r="L127" s="4"/>
      <c r="M127" s="3"/>
      <c r="N127" s="3"/>
      <c r="R127" s="1"/>
      <c r="T127" s="1"/>
    </row>
    <row r="128" spans="1:23" x14ac:dyDescent="0.25">
      <c r="A128" t="s">
        <v>7</v>
      </c>
      <c r="B128" t="s">
        <v>7</v>
      </c>
      <c r="C128" s="6" t="s">
        <v>7</v>
      </c>
      <c r="D128" t="str">
        <f>CONCATENATE("PIPE_",ROW())</f>
        <v>PIPE_128</v>
      </c>
      <c r="F128" s="1">
        <f>0.15+0.15</f>
        <v>0.3</v>
      </c>
      <c r="G128" s="2">
        <v>0</v>
      </c>
      <c r="H128" s="2">
        <v>51</v>
      </c>
      <c r="I128" s="2">
        <v>0</v>
      </c>
      <c r="J128" s="4">
        <v>0</v>
      </c>
      <c r="K128" s="4">
        <v>0</v>
      </c>
      <c r="L128" s="4">
        <v>0</v>
      </c>
      <c r="M128" s="3">
        <f>6*25.4</f>
        <v>152.39999999999998</v>
      </c>
      <c r="N128" s="3">
        <v>3.76</v>
      </c>
      <c r="O128" s="8">
        <v>1.5</v>
      </c>
      <c r="R128" s="1"/>
      <c r="T128" s="1"/>
      <c r="W128" t="s">
        <v>47</v>
      </c>
    </row>
    <row r="129" spans="1:22" x14ac:dyDescent="0.25">
      <c r="A129" t="s">
        <v>7</v>
      </c>
      <c r="B129" t="s">
        <v>7</v>
      </c>
      <c r="C129" s="6" t="s">
        <v>7</v>
      </c>
      <c r="D129" t="str">
        <f>CONCATENATE("PIPE_",ROW())</f>
        <v>PIPE_129</v>
      </c>
      <c r="F129" s="1">
        <f>0.322-0.15+0.089*2+0.332+0.229</f>
        <v>0.91099999999999992</v>
      </c>
      <c r="G129" s="2">
        <v>0</v>
      </c>
      <c r="H129" s="2">
        <v>51</v>
      </c>
      <c r="I129" s="2">
        <v>0</v>
      </c>
      <c r="J129" s="4">
        <v>0</v>
      </c>
      <c r="K129" s="4">
        <v>0</v>
      </c>
      <c r="L129" s="4">
        <v>0</v>
      </c>
      <c r="M129" s="3">
        <f>6*25.4</f>
        <v>152.39999999999998</v>
      </c>
      <c r="N129" s="3">
        <v>3.76</v>
      </c>
      <c r="O129" s="8">
        <v>1.5</v>
      </c>
      <c r="R129" s="1"/>
      <c r="T129" s="1"/>
    </row>
    <row r="130" spans="1:22" x14ac:dyDescent="0.25">
      <c r="A130" t="s">
        <v>7</v>
      </c>
      <c r="B130" t="s">
        <v>7</v>
      </c>
      <c r="C130" s="6" t="s">
        <v>7</v>
      </c>
      <c r="D130" t="str">
        <f>CONCATENATE("PIPE_",ROW())</f>
        <v>PIPE_130</v>
      </c>
      <c r="F130" s="1">
        <v>0.22900000000000001</v>
      </c>
      <c r="G130" s="2">
        <v>-90</v>
      </c>
      <c r="H130" s="2">
        <v>0</v>
      </c>
      <c r="I130" s="2">
        <v>0</v>
      </c>
      <c r="J130" s="4">
        <v>0</v>
      </c>
      <c r="K130" s="4">
        <v>0</v>
      </c>
      <c r="L130" s="4">
        <v>0</v>
      </c>
      <c r="M130" s="3">
        <f>6*25.4</f>
        <v>152.39999999999998</v>
      </c>
      <c r="N130" s="3">
        <v>3.76</v>
      </c>
      <c r="O130" s="8">
        <v>1.5</v>
      </c>
      <c r="R130" s="1"/>
      <c r="T130" s="1"/>
    </row>
    <row r="131" spans="1:22" x14ac:dyDescent="0.25">
      <c r="C131" s="6"/>
      <c r="F131" s="1"/>
      <c r="G131" s="2"/>
      <c r="H131" s="2"/>
      <c r="I131" s="2"/>
      <c r="J131" s="4"/>
      <c r="K131" s="4"/>
      <c r="L131" s="4"/>
      <c r="M131" s="3"/>
      <c r="N131" s="3"/>
      <c r="R131" s="1"/>
      <c r="T131" s="1"/>
    </row>
    <row r="132" spans="1:22" x14ac:dyDescent="0.25">
      <c r="A132" t="s">
        <v>56</v>
      </c>
      <c r="B132" t="s">
        <v>9</v>
      </c>
      <c r="C132" s="6" t="s">
        <v>22</v>
      </c>
      <c r="D132" t="str">
        <f>CONCATENATE("COMP_",ROW())</f>
        <v>COMP_132</v>
      </c>
      <c r="F132" s="1">
        <v>0.152</v>
      </c>
      <c r="G132" s="2">
        <v>-90</v>
      </c>
      <c r="H132" s="2">
        <v>0</v>
      </c>
      <c r="I132" s="2">
        <v>0</v>
      </c>
      <c r="J132" s="4">
        <v>0</v>
      </c>
      <c r="K132" s="4">
        <v>0</v>
      </c>
      <c r="L132" s="4">
        <v>0</v>
      </c>
      <c r="M132" s="3">
        <f>6*25.4</f>
        <v>152.39999999999998</v>
      </c>
      <c r="N132" s="3">
        <v>3.76</v>
      </c>
      <c r="O132" s="8">
        <v>0.2198</v>
      </c>
      <c r="Q132" t="str">
        <f ca="1">OFFSET($A$1,ROW()-3,3)</f>
        <v>PIPE_130</v>
      </c>
      <c r="R132" s="1" t="s">
        <v>73</v>
      </c>
      <c r="S132" t="str">
        <f ca="1">OFFSET($A$1,ROW()+1,3)</f>
        <v>PIPE_134</v>
      </c>
      <c r="T132" s="1" t="s">
        <v>72</v>
      </c>
    </row>
    <row r="133" spans="1:22" x14ac:dyDescent="0.25">
      <c r="C133" s="6"/>
      <c r="F133" s="1"/>
      <c r="G133" s="2"/>
      <c r="H133" s="2"/>
      <c r="I133" s="2"/>
      <c r="J133" s="4"/>
      <c r="K133" s="4"/>
      <c r="L133" s="4"/>
      <c r="M133" s="3"/>
      <c r="N133" s="3"/>
      <c r="R133" s="1"/>
      <c r="T133" s="1"/>
    </row>
    <row r="134" spans="1:22" x14ac:dyDescent="0.25">
      <c r="A134" t="s">
        <v>7</v>
      </c>
      <c r="B134" t="s">
        <v>7</v>
      </c>
      <c r="C134" s="6" t="s">
        <v>7</v>
      </c>
      <c r="D134" t="str">
        <f>CONCATENATE("PIPE_",ROW())</f>
        <v>PIPE_134</v>
      </c>
      <c r="F134" s="1">
        <v>0.22900000000000001</v>
      </c>
      <c r="G134" s="2">
        <v>-90</v>
      </c>
      <c r="H134" s="2">
        <v>0</v>
      </c>
      <c r="I134" s="2">
        <v>0</v>
      </c>
      <c r="J134" s="4">
        <v>0</v>
      </c>
      <c r="K134" s="4">
        <v>0</v>
      </c>
      <c r="L134" s="4">
        <v>0</v>
      </c>
      <c r="M134" s="3">
        <v>219.8</v>
      </c>
      <c r="N134" s="3">
        <v>3.76</v>
      </c>
      <c r="O134" s="8">
        <v>1.5</v>
      </c>
      <c r="R134" s="1"/>
      <c r="T134" s="1"/>
    </row>
    <row r="135" spans="1:22" x14ac:dyDescent="0.25">
      <c r="C135" s="6"/>
      <c r="F135" s="1"/>
      <c r="G135" s="2"/>
      <c r="H135" s="2"/>
      <c r="I135" s="2"/>
      <c r="J135" s="4"/>
      <c r="K135" s="4"/>
      <c r="L135" s="4"/>
      <c r="M135" s="3"/>
      <c r="N135" s="3"/>
      <c r="R135" s="1"/>
      <c r="T135" s="1"/>
    </row>
    <row r="136" spans="1:22" x14ac:dyDescent="0.25">
      <c r="C136" s="6"/>
      <c r="F136" s="1"/>
      <c r="G136" s="2"/>
      <c r="H136" s="2"/>
      <c r="I136" s="2"/>
      <c r="J136" s="4"/>
      <c r="K136" s="4"/>
      <c r="L136" s="4"/>
      <c r="M136" s="3"/>
      <c r="N136" s="3"/>
      <c r="R136" s="1"/>
      <c r="T136" s="1"/>
    </row>
    <row r="137" spans="1:22" x14ac:dyDescent="0.25">
      <c r="C137" s="6"/>
      <c r="F137" s="1"/>
      <c r="G137" s="2"/>
      <c r="H137" s="2"/>
      <c r="I137" s="2"/>
      <c r="J137" s="4"/>
      <c r="K137" s="4"/>
      <c r="L137" s="4"/>
      <c r="M137" s="3"/>
      <c r="N137" s="3"/>
      <c r="R137" s="1"/>
      <c r="T137" s="1"/>
    </row>
    <row r="138" spans="1:22" x14ac:dyDescent="0.25">
      <c r="A138" t="s">
        <v>29</v>
      </c>
      <c r="B138" t="s">
        <v>74</v>
      </c>
      <c r="C138" s="6"/>
      <c r="F138" s="1"/>
      <c r="G138" s="2"/>
      <c r="H138" s="2"/>
      <c r="I138" s="2"/>
      <c r="J138" s="4"/>
      <c r="K138" s="4"/>
      <c r="L138" s="4"/>
      <c r="M138" s="3"/>
      <c r="N138" s="3"/>
      <c r="R138" s="1"/>
      <c r="T138" s="1"/>
    </row>
    <row r="139" spans="1:22" x14ac:dyDescent="0.25">
      <c r="A139" t="s">
        <v>56</v>
      </c>
      <c r="B139" t="s">
        <v>11</v>
      </c>
      <c r="C139" s="6" t="s">
        <v>22</v>
      </c>
      <c r="D139" t="str">
        <f>CONCATENATE("COMP_",ROW())</f>
        <v>COMP_139</v>
      </c>
      <c r="F139" s="1">
        <v>0</v>
      </c>
      <c r="G139" s="2">
        <v>0</v>
      </c>
      <c r="H139" s="2">
        <v>0</v>
      </c>
      <c r="I139" s="2">
        <v>0</v>
      </c>
      <c r="J139" s="4">
        <v>0</v>
      </c>
      <c r="K139" s="4">
        <v>0</v>
      </c>
      <c r="L139" s="4">
        <v>0</v>
      </c>
      <c r="M139" s="3">
        <f>6*25.4</f>
        <v>152.39999999999998</v>
      </c>
      <c r="N139" s="3">
        <v>3.76</v>
      </c>
      <c r="Q139" t="str">
        <f>D128</f>
        <v>PIPE_128</v>
      </c>
      <c r="R139" s="1">
        <v>0.5</v>
      </c>
      <c r="S139" t="str">
        <f ca="1">OFFSET($A$1,ROW()+1,3)</f>
        <v>PIPE_141</v>
      </c>
      <c r="T139" s="1" t="s">
        <v>72</v>
      </c>
    </row>
    <row r="140" spans="1:22" x14ac:dyDescent="0.25">
      <c r="C140" s="6"/>
      <c r="F140" s="1"/>
      <c r="G140" s="2"/>
      <c r="H140" s="2"/>
      <c r="I140" s="2"/>
      <c r="J140" s="4"/>
      <c r="K140" s="4"/>
      <c r="L140" s="4"/>
      <c r="M140" s="3"/>
      <c r="N140" s="3"/>
      <c r="R140" s="1"/>
      <c r="T140" s="1"/>
    </row>
    <row r="141" spans="1:22" x14ac:dyDescent="0.25">
      <c r="A141" t="s">
        <v>7</v>
      </c>
      <c r="B141" t="s">
        <v>7</v>
      </c>
      <c r="C141" s="6" t="s">
        <v>7</v>
      </c>
      <c r="D141" t="str">
        <f t="shared" ref="D141:D142" si="5">CONCATENATE("PIPE_",ROW())</f>
        <v>PIPE_141</v>
      </c>
      <c r="F141" s="1">
        <v>2</v>
      </c>
      <c r="G141" s="2">
        <v>0</v>
      </c>
      <c r="H141" s="2">
        <f>51+90</f>
        <v>141</v>
      </c>
      <c r="I141" s="2">
        <v>0</v>
      </c>
      <c r="J141" s="4">
        <v>0</v>
      </c>
      <c r="K141" s="4">
        <v>0</v>
      </c>
      <c r="L141" s="4">
        <v>0</v>
      </c>
      <c r="M141" s="3">
        <f t="shared" ref="M141:M142" si="6">6*25.4</f>
        <v>152.39999999999998</v>
      </c>
      <c r="N141" s="3">
        <v>3.76</v>
      </c>
      <c r="O141" s="8">
        <v>1.5</v>
      </c>
      <c r="R141" s="1"/>
      <c r="T141" s="1"/>
    </row>
    <row r="142" spans="1:22" x14ac:dyDescent="0.25">
      <c r="A142" t="s">
        <v>7</v>
      </c>
      <c r="B142" t="s">
        <v>7</v>
      </c>
      <c r="C142" s="6" t="s">
        <v>7</v>
      </c>
      <c r="D142" t="str">
        <f t="shared" si="5"/>
        <v>PIPE_142</v>
      </c>
      <c r="F142" s="1">
        <v>2</v>
      </c>
      <c r="G142" s="2">
        <v>0</v>
      </c>
      <c r="H142" s="2">
        <f>51+90+90</f>
        <v>231</v>
      </c>
      <c r="I142" s="2">
        <v>0</v>
      </c>
      <c r="J142" s="4">
        <v>0</v>
      </c>
      <c r="K142" s="4">
        <v>0</v>
      </c>
      <c r="L142" s="4">
        <v>0</v>
      </c>
      <c r="M142" s="3">
        <f t="shared" si="6"/>
        <v>152.39999999999998</v>
      </c>
      <c r="N142" s="3">
        <v>3.76</v>
      </c>
      <c r="O142" s="8">
        <v>1.5</v>
      </c>
      <c r="R142" s="1"/>
      <c r="T142" s="1"/>
    </row>
    <row r="143" spans="1:22" x14ac:dyDescent="0.25">
      <c r="C143" s="6"/>
      <c r="F143" s="1"/>
      <c r="G143" s="2"/>
      <c r="H143" s="2"/>
      <c r="I143" s="2"/>
      <c r="J143" s="4"/>
      <c r="K143" s="4"/>
      <c r="L143" s="4"/>
      <c r="M143" s="3"/>
      <c r="N143" s="3"/>
      <c r="R143" s="1"/>
      <c r="T143" s="1"/>
    </row>
    <row r="144" spans="1:22" x14ac:dyDescent="0.25">
      <c r="A144" t="s">
        <v>56</v>
      </c>
      <c r="B144" t="s">
        <v>11</v>
      </c>
      <c r="C144" s="6" t="s">
        <v>22</v>
      </c>
      <c r="D144" t="str">
        <f>CONCATENATE("COMP_",ROW())</f>
        <v>COMP_144</v>
      </c>
      <c r="F144" s="1">
        <v>0</v>
      </c>
      <c r="G144" s="2">
        <v>0</v>
      </c>
      <c r="H144" s="2">
        <v>0</v>
      </c>
      <c r="I144" s="2">
        <v>0</v>
      </c>
      <c r="J144" s="4">
        <v>0</v>
      </c>
      <c r="K144" s="4">
        <v>0</v>
      </c>
      <c r="L144" s="4">
        <v>0</v>
      </c>
      <c r="M144" s="3">
        <f>6*25.4</f>
        <v>152.39999999999998</v>
      </c>
      <c r="N144" s="3">
        <v>3.76</v>
      </c>
      <c r="Q144" t="str">
        <f ca="1">OFFSET($A$1,ROW()-3,3)</f>
        <v>PIPE_142</v>
      </c>
      <c r="R144" s="1">
        <v>3.01</v>
      </c>
      <c r="S144" t="str">
        <f>D149</f>
        <v>PIPE_149</v>
      </c>
      <c r="T144" s="1">
        <v>0.5</v>
      </c>
      <c r="V144" t="s">
        <v>75</v>
      </c>
    </row>
    <row r="145" spans="1:20" x14ac:dyDescent="0.25">
      <c r="C145" s="6"/>
      <c r="F145" s="1"/>
      <c r="G145" s="2"/>
      <c r="H145" s="2"/>
      <c r="I145" s="2"/>
      <c r="J145" s="4"/>
      <c r="K145" s="4"/>
      <c r="L145" s="4"/>
      <c r="M145" s="3"/>
      <c r="N145" s="3"/>
      <c r="R145" s="1"/>
      <c r="T145" s="1"/>
    </row>
    <row r="146" spans="1:20" x14ac:dyDescent="0.25">
      <c r="C146" s="6"/>
      <c r="F146" s="1"/>
      <c r="G146" s="2"/>
      <c r="H146" s="2"/>
      <c r="I146" s="2"/>
      <c r="J146" s="4"/>
      <c r="K146" s="4"/>
      <c r="L146" s="4"/>
      <c r="M146" s="3"/>
      <c r="N146" s="3"/>
      <c r="R146" s="1"/>
      <c r="T146" s="1"/>
    </row>
    <row r="147" spans="1:20" x14ac:dyDescent="0.25">
      <c r="C147" s="6"/>
      <c r="F147" s="1"/>
      <c r="G147" s="2"/>
      <c r="H147" s="2"/>
      <c r="I147" s="2"/>
      <c r="J147" s="4"/>
      <c r="K147" s="4"/>
      <c r="L147" s="4"/>
      <c r="M147" s="3"/>
      <c r="N147" s="3"/>
      <c r="R147" s="1"/>
      <c r="T147" s="1"/>
    </row>
    <row r="148" spans="1:20" x14ac:dyDescent="0.25">
      <c r="A148" t="s">
        <v>29</v>
      </c>
      <c r="B148" t="s">
        <v>23</v>
      </c>
      <c r="C148" s="6"/>
      <c r="F148" s="1"/>
      <c r="G148" s="2"/>
      <c r="H148" s="2"/>
      <c r="I148" s="2"/>
      <c r="J148" s="4"/>
      <c r="K148" s="4"/>
      <c r="L148" s="4"/>
      <c r="M148" s="3"/>
      <c r="N148" s="3"/>
      <c r="R148" s="1"/>
      <c r="T148" s="1"/>
    </row>
    <row r="149" spans="1:20" x14ac:dyDescent="0.25">
      <c r="A149" t="s">
        <v>55</v>
      </c>
      <c r="B149" t="s">
        <v>23</v>
      </c>
      <c r="C149" s="6" t="s">
        <v>23</v>
      </c>
      <c r="D149" t="str">
        <f>CONCATENATE("PIPE_",ROW())</f>
        <v>PIPE_149</v>
      </c>
      <c r="E149" t="s">
        <v>76</v>
      </c>
      <c r="F149" s="1">
        <v>2</v>
      </c>
      <c r="G149" s="2">
        <v>-90</v>
      </c>
      <c r="H149" s="2">
        <v>0</v>
      </c>
      <c r="I149" s="2">
        <v>0</v>
      </c>
      <c r="J149" s="4">
        <v>0</v>
      </c>
      <c r="K149" s="4">
        <v>0</v>
      </c>
      <c r="L149" s="4">
        <v>0</v>
      </c>
      <c r="M149" s="3">
        <v>2000</v>
      </c>
      <c r="N149" s="3">
        <v>4</v>
      </c>
      <c r="O149" s="8">
        <v>1.5</v>
      </c>
      <c r="R149" s="1"/>
      <c r="T149" s="1"/>
    </row>
    <row r="150" spans="1:20" x14ac:dyDescent="0.25">
      <c r="C150" s="6"/>
      <c r="F150" s="1"/>
      <c r="G150" s="2"/>
      <c r="H150" s="2"/>
      <c r="I150" s="2"/>
      <c r="J150" s="4"/>
      <c r="K150" s="4"/>
      <c r="L150" s="4"/>
      <c r="M150" s="3"/>
      <c r="N150" s="3"/>
      <c r="R150" s="1"/>
      <c r="T150" s="1"/>
    </row>
    <row r="151" spans="1:20" x14ac:dyDescent="0.25">
      <c r="C151" s="6"/>
      <c r="F151" s="1"/>
      <c r="G151" s="2"/>
      <c r="H151" s="2"/>
      <c r="I151" s="2"/>
      <c r="J151" s="4"/>
      <c r="K151" s="4"/>
      <c r="L151" s="4"/>
      <c r="M151" s="3"/>
      <c r="N151" s="3"/>
      <c r="R151" s="1"/>
      <c r="T151" s="1"/>
    </row>
    <row r="152" spans="1:20" x14ac:dyDescent="0.25">
      <c r="C152" s="6"/>
      <c r="F152" s="1"/>
      <c r="G152" s="2"/>
      <c r="H152" s="2"/>
      <c r="I152" s="2"/>
      <c r="J152" s="4"/>
      <c r="K152" s="4"/>
      <c r="L152" s="4"/>
      <c r="M152" s="3"/>
      <c r="N152" s="3"/>
      <c r="R152" s="1"/>
      <c r="T152" s="1"/>
    </row>
    <row r="153" spans="1:20" x14ac:dyDescent="0.25">
      <c r="A153" t="s">
        <v>55</v>
      </c>
      <c r="B153" t="s">
        <v>23</v>
      </c>
      <c r="C153" s="6" t="s">
        <v>23</v>
      </c>
      <c r="D153" t="str">
        <f>CONCATENATE("VOL_",ROW())</f>
        <v>VOL_153</v>
      </c>
      <c r="F153" s="1">
        <v>2</v>
      </c>
      <c r="G153" s="2">
        <v>-90</v>
      </c>
      <c r="H153" s="2">
        <v>0</v>
      </c>
      <c r="I153" s="2">
        <v>0</v>
      </c>
      <c r="J153" s="4">
        <v>0</v>
      </c>
      <c r="K153" s="4">
        <v>0</v>
      </c>
      <c r="L153" s="4">
        <v>0</v>
      </c>
      <c r="M153" s="3">
        <v>1200</v>
      </c>
      <c r="N153" s="3">
        <v>4</v>
      </c>
      <c r="O153" s="8">
        <v>1.5</v>
      </c>
      <c r="R153" s="1"/>
      <c r="T153" s="1"/>
    </row>
    <row r="154" spans="1:20" x14ac:dyDescent="0.25">
      <c r="C154" s="6"/>
      <c r="F154" s="1"/>
      <c r="G154" s="2"/>
      <c r="H154" s="2"/>
      <c r="I154" s="2"/>
      <c r="J154" s="4"/>
      <c r="K154" s="4"/>
      <c r="L154" s="4"/>
      <c r="M154" s="3"/>
      <c r="N154" s="3"/>
      <c r="R154" s="1"/>
      <c r="T154" s="1"/>
    </row>
    <row r="155" spans="1:20" x14ac:dyDescent="0.25">
      <c r="A155" t="s">
        <v>56</v>
      </c>
      <c r="B155" t="s">
        <v>11</v>
      </c>
      <c r="C155" s="6" t="s">
        <v>22</v>
      </c>
      <c r="D155" t="str">
        <f>CONCATENATE("COMP_",ROW())</f>
        <v>COMP_155</v>
      </c>
      <c r="F155" s="1">
        <v>0</v>
      </c>
      <c r="G155" s="2">
        <v>0</v>
      </c>
      <c r="H155" s="2">
        <v>90</v>
      </c>
      <c r="I155" s="2">
        <v>0</v>
      </c>
      <c r="J155" s="4">
        <v>0</v>
      </c>
      <c r="K155" s="4">
        <v>0</v>
      </c>
      <c r="L155" s="4">
        <v>0</v>
      </c>
      <c r="M155" s="3">
        <f>6*25.4</f>
        <v>152.39999999999998</v>
      </c>
      <c r="N155" s="3">
        <v>3.76</v>
      </c>
      <c r="Q155" t="str">
        <f ca="1">OFFSET($A$1,ROW()-3,3)</f>
        <v>VOL_153</v>
      </c>
      <c r="R155" s="1" t="s">
        <v>73</v>
      </c>
      <c r="S155" t="str">
        <f ca="1">OFFSET($A$1,ROW()+1,3)</f>
        <v>PIPE_157</v>
      </c>
      <c r="T155" s="1" t="s">
        <v>72</v>
      </c>
    </row>
    <row r="156" spans="1:20" x14ac:dyDescent="0.25">
      <c r="C156" s="6"/>
      <c r="F156" s="1"/>
      <c r="G156" s="2"/>
      <c r="H156" s="2"/>
      <c r="I156" s="2"/>
      <c r="J156" s="4"/>
      <c r="K156" s="4"/>
      <c r="L156" s="4"/>
      <c r="M156" s="3"/>
      <c r="N156" s="3"/>
      <c r="R156" s="1"/>
      <c r="T156" s="1"/>
    </row>
    <row r="157" spans="1:20" x14ac:dyDescent="0.25">
      <c r="A157" t="s">
        <v>7</v>
      </c>
      <c r="B157" t="s">
        <v>7</v>
      </c>
      <c r="C157" s="6" t="s">
        <v>7</v>
      </c>
      <c r="D157" t="str">
        <f t="shared" ref="D157" si="7">CONCATENATE("PIPE_",ROW())</f>
        <v>PIPE_157</v>
      </c>
      <c r="F157" s="1">
        <v>2</v>
      </c>
      <c r="G157" s="2">
        <v>0</v>
      </c>
      <c r="H157" s="2">
        <v>90</v>
      </c>
      <c r="I157" s="2">
        <v>0</v>
      </c>
      <c r="J157" s="4">
        <v>0</v>
      </c>
      <c r="K157" s="4">
        <v>0</v>
      </c>
      <c r="L157" s="4">
        <v>0</v>
      </c>
      <c r="M157" s="3">
        <f t="shared" ref="M157" si="8">6*25.4</f>
        <v>152.39999999999998</v>
      </c>
      <c r="N157" s="3">
        <v>3.76</v>
      </c>
      <c r="O157" s="8">
        <v>1.5</v>
      </c>
      <c r="R157" s="1"/>
      <c r="T157" s="1"/>
    </row>
    <row r="158" spans="1:20" x14ac:dyDescent="0.25">
      <c r="C158" s="6"/>
      <c r="F158" s="1"/>
      <c r="G158" s="2"/>
      <c r="H158" s="2"/>
      <c r="I158" s="2"/>
      <c r="J158" s="4"/>
      <c r="K158" s="4"/>
      <c r="L158" s="4"/>
      <c r="M158" s="3"/>
      <c r="N158" s="3"/>
      <c r="R158" s="1"/>
      <c r="T158" s="1"/>
    </row>
    <row r="159" spans="1:20" x14ac:dyDescent="0.25">
      <c r="A159" t="s">
        <v>56</v>
      </c>
      <c r="B159" t="s">
        <v>9</v>
      </c>
      <c r="C159" s="6" t="s">
        <v>22</v>
      </c>
      <c r="D159" t="str">
        <f>CONCATENATE("COMP_",ROW())</f>
        <v>COMP_159</v>
      </c>
      <c r="F159" s="1">
        <v>0.152</v>
      </c>
      <c r="G159" s="2">
        <v>0</v>
      </c>
      <c r="H159" s="2">
        <v>90</v>
      </c>
      <c r="I159" s="2">
        <v>0</v>
      </c>
      <c r="J159" s="4">
        <v>0</v>
      </c>
      <c r="K159" s="4">
        <v>0</v>
      </c>
      <c r="L159" s="4">
        <v>0</v>
      </c>
      <c r="M159" s="3">
        <f>6*25.4</f>
        <v>152.39999999999998</v>
      </c>
      <c r="N159" s="3">
        <v>3.76</v>
      </c>
      <c r="O159" s="8">
        <v>0.2198</v>
      </c>
      <c r="Q159" t="str">
        <f ca="1">OFFSET($A$1,ROW()-3,3)</f>
        <v>PIPE_157</v>
      </c>
      <c r="R159" s="1" t="s">
        <v>73</v>
      </c>
      <c r="S159" t="str">
        <f ca="1">OFFSET($A$1,ROW()+1,3)</f>
        <v>PIPE_161</v>
      </c>
      <c r="T159" s="1" t="s">
        <v>72</v>
      </c>
    </row>
    <row r="160" spans="1:20" x14ac:dyDescent="0.25">
      <c r="C160" s="6"/>
      <c r="F160" s="1"/>
      <c r="G160" s="2"/>
      <c r="H160" s="2"/>
      <c r="I160" s="2"/>
      <c r="J160" s="4"/>
      <c r="K160" s="4"/>
      <c r="L160" s="4"/>
      <c r="M160" s="3"/>
      <c r="N160" s="3"/>
      <c r="R160" s="1"/>
      <c r="T160" s="1"/>
    </row>
    <row r="161" spans="1:20" x14ac:dyDescent="0.25">
      <c r="A161" t="s">
        <v>7</v>
      </c>
      <c r="B161" t="s">
        <v>7</v>
      </c>
      <c r="C161" s="6" t="s">
        <v>7</v>
      </c>
      <c r="D161" t="str">
        <f t="shared" ref="D161:D163" si="9">CONCATENATE("PIPE_",ROW())</f>
        <v>PIPE_161</v>
      </c>
      <c r="F161" s="1">
        <v>2</v>
      </c>
      <c r="G161" s="2">
        <v>0</v>
      </c>
      <c r="H161" s="2">
        <v>90</v>
      </c>
      <c r="I161" s="2">
        <v>0</v>
      </c>
      <c r="J161" s="4">
        <v>0</v>
      </c>
      <c r="K161" s="4">
        <v>0</v>
      </c>
      <c r="L161" s="4">
        <v>0</v>
      </c>
      <c r="M161" s="3">
        <f t="shared" ref="M161:M163" si="10">6*25.4</f>
        <v>152.39999999999998</v>
      </c>
      <c r="N161" s="3">
        <v>3.76</v>
      </c>
      <c r="O161" s="8">
        <v>1.5</v>
      </c>
      <c r="R161" s="1"/>
      <c r="T161" s="1"/>
    </row>
    <row r="162" spans="1:20" x14ac:dyDescent="0.25">
      <c r="A162" t="s">
        <v>7</v>
      </c>
      <c r="B162" t="s">
        <v>7</v>
      </c>
      <c r="C162" s="6" t="s">
        <v>7</v>
      </c>
      <c r="D162" t="str">
        <f t="shared" si="9"/>
        <v>PIPE_162</v>
      </c>
      <c r="F162" s="1">
        <v>1.5</v>
      </c>
      <c r="G162" s="2">
        <v>0</v>
      </c>
      <c r="H162" s="2">
        <v>180</v>
      </c>
      <c r="I162" s="2">
        <v>0</v>
      </c>
      <c r="J162" s="4">
        <v>0</v>
      </c>
      <c r="K162" s="4">
        <v>0</v>
      </c>
      <c r="L162" s="4">
        <v>0</v>
      </c>
      <c r="M162" s="3">
        <f t="shared" si="10"/>
        <v>152.39999999999998</v>
      </c>
      <c r="N162" s="3">
        <v>3.76</v>
      </c>
      <c r="O162" s="8">
        <v>1.5</v>
      </c>
      <c r="R162" s="1"/>
      <c r="T162" s="1"/>
    </row>
    <row r="163" spans="1:20" x14ac:dyDescent="0.25">
      <c r="A163" t="s">
        <v>7</v>
      </c>
      <c r="B163" t="s">
        <v>7</v>
      </c>
      <c r="C163" s="6" t="s">
        <v>7</v>
      </c>
      <c r="D163" t="str">
        <f t="shared" si="9"/>
        <v>PIPE_163</v>
      </c>
      <c r="F163" s="1">
        <v>4.2</v>
      </c>
      <c r="G163" s="2">
        <v>0</v>
      </c>
      <c r="H163" s="2">
        <v>90</v>
      </c>
      <c r="I163" s="2">
        <v>0</v>
      </c>
      <c r="J163" s="4">
        <v>0</v>
      </c>
      <c r="K163" s="4">
        <v>0</v>
      </c>
      <c r="L163" s="4">
        <v>0</v>
      </c>
      <c r="M163" s="3">
        <f t="shared" si="10"/>
        <v>152.39999999999998</v>
      </c>
      <c r="N163" s="3">
        <v>3.76</v>
      </c>
      <c r="O163" s="8">
        <v>1.5</v>
      </c>
      <c r="R163" s="1"/>
      <c r="T163" s="1"/>
    </row>
    <row r="164" spans="1:20" x14ac:dyDescent="0.25">
      <c r="C164" s="6"/>
      <c r="F164" s="1"/>
      <c r="G164" s="2"/>
      <c r="H164" s="2"/>
      <c r="I164" s="2"/>
      <c r="J164" s="4"/>
      <c r="K164" s="4"/>
      <c r="L164" s="4"/>
      <c r="M164" s="3"/>
      <c r="N164" s="3"/>
      <c r="R164" s="1"/>
      <c r="T164" s="1"/>
    </row>
    <row r="165" spans="1:20" x14ac:dyDescent="0.25">
      <c r="A165" t="s">
        <v>56</v>
      </c>
      <c r="B165" t="s">
        <v>10</v>
      </c>
      <c r="C165" s="6" t="s">
        <v>77</v>
      </c>
      <c r="D165" t="str">
        <f>CONCATENATE("COMP_",ROW())</f>
        <v>COMP_165</v>
      </c>
      <c r="F165" s="1">
        <v>0.50800000000000001</v>
      </c>
      <c r="G165" s="2">
        <v>0</v>
      </c>
      <c r="H165" s="2">
        <v>90</v>
      </c>
      <c r="I165" s="2">
        <v>0</v>
      </c>
      <c r="J165" s="4">
        <v>0</v>
      </c>
      <c r="K165" s="4">
        <v>0</v>
      </c>
      <c r="L165" s="4">
        <v>0</v>
      </c>
      <c r="M165" s="3">
        <f>6*25.4</f>
        <v>152.39999999999998</v>
      </c>
      <c r="N165" s="3">
        <v>3.76</v>
      </c>
      <c r="Q165" t="str">
        <f ca="1">OFFSET($A$1,ROW()-3,3)</f>
        <v>PIPE_163</v>
      </c>
      <c r="R165" s="1" t="s">
        <v>73</v>
      </c>
      <c r="S165" t="str">
        <f ca="1">OFFSET($A$1,ROW()+1,3)</f>
        <v>PIPE_167</v>
      </c>
      <c r="T165" s="1" t="s">
        <v>72</v>
      </c>
    </row>
    <row r="166" spans="1:20" x14ac:dyDescent="0.25">
      <c r="C166" s="6"/>
      <c r="F166" s="1"/>
      <c r="G166" s="2"/>
      <c r="H166" s="2"/>
      <c r="I166" s="2"/>
      <c r="J166" s="4"/>
      <c r="K166" s="4"/>
      <c r="L166" s="4"/>
      <c r="M166" s="3"/>
      <c r="N166" s="3"/>
      <c r="R166" s="1"/>
      <c r="T166" s="1"/>
    </row>
    <row r="167" spans="1:20" x14ac:dyDescent="0.25">
      <c r="A167" t="s">
        <v>7</v>
      </c>
      <c r="B167" t="s">
        <v>7</v>
      </c>
      <c r="C167" s="6" t="s">
        <v>7</v>
      </c>
      <c r="D167" t="str">
        <f t="shared" ref="D167" si="11">CONCATENATE("PIPE_",ROW())</f>
        <v>PIPE_167</v>
      </c>
      <c r="F167" s="1">
        <v>4.2</v>
      </c>
      <c r="G167" s="2">
        <v>0</v>
      </c>
      <c r="H167" s="2">
        <v>90</v>
      </c>
      <c r="I167" s="2">
        <v>0</v>
      </c>
      <c r="J167" s="4">
        <v>0</v>
      </c>
      <c r="K167" s="4">
        <v>0</v>
      </c>
      <c r="L167" s="4">
        <v>0</v>
      </c>
      <c r="M167" s="3">
        <f t="shared" ref="M167" si="12">6*25.4</f>
        <v>152.39999999999998</v>
      </c>
      <c r="N167" s="3">
        <v>3.76</v>
      </c>
      <c r="O167" s="8">
        <v>1.5</v>
      </c>
      <c r="R167" s="1"/>
      <c r="T167" s="1"/>
    </row>
    <row r="168" spans="1:20" x14ac:dyDescent="0.25">
      <c r="C168" s="6"/>
      <c r="F168" s="1"/>
      <c r="G168" s="2"/>
      <c r="H168" s="2"/>
      <c r="I168" s="2"/>
      <c r="J168" s="4"/>
      <c r="K168" s="4"/>
      <c r="L168" s="4"/>
      <c r="M168" s="3"/>
      <c r="N168" s="3"/>
      <c r="R168" s="1"/>
      <c r="T168" s="1"/>
    </row>
    <row r="169" spans="1:20" x14ac:dyDescent="0.25">
      <c r="C169" s="6"/>
      <c r="F169" s="1"/>
      <c r="G169" s="2"/>
      <c r="H169" s="2"/>
      <c r="I169" s="2"/>
      <c r="J169" s="4"/>
      <c r="K169" s="4"/>
      <c r="L169" s="4"/>
      <c r="M169" s="3"/>
      <c r="N169" s="3"/>
      <c r="R169" s="1"/>
      <c r="T169" s="1"/>
    </row>
    <row r="170" spans="1:20" x14ac:dyDescent="0.25">
      <c r="C170" s="6"/>
      <c r="F170" s="1"/>
      <c r="G170" s="2"/>
      <c r="H170" s="2"/>
      <c r="I170" s="2"/>
      <c r="J170" s="4"/>
      <c r="K170" s="4"/>
      <c r="L170" s="4"/>
      <c r="M170" s="3"/>
      <c r="N170" s="3"/>
      <c r="R170" s="1"/>
      <c r="T170" s="1"/>
    </row>
    <row r="171" spans="1:20" x14ac:dyDescent="0.25">
      <c r="C171" s="6"/>
      <c r="F171" s="1"/>
      <c r="G171" s="2"/>
      <c r="H171" s="2"/>
      <c r="I171" s="2"/>
      <c r="J171" s="4"/>
      <c r="K171" s="4"/>
      <c r="L171" s="4"/>
      <c r="M171" s="3"/>
      <c r="N171" s="3"/>
      <c r="R171" s="1"/>
      <c r="T171" s="1"/>
    </row>
    <row r="172" spans="1:20" x14ac:dyDescent="0.25">
      <c r="C172" s="6"/>
      <c r="F172" s="1"/>
      <c r="G172" s="2"/>
      <c r="H172" s="2"/>
      <c r="I172" s="2"/>
      <c r="J172" s="4"/>
      <c r="K172" s="4"/>
      <c r="L172" s="4"/>
      <c r="M172" s="3"/>
      <c r="N172" s="3"/>
      <c r="R172" s="1"/>
      <c r="T172" s="1"/>
    </row>
    <row r="173" spans="1:20" x14ac:dyDescent="0.25">
      <c r="C173" s="6"/>
      <c r="F173" s="1"/>
      <c r="G173" s="2"/>
      <c r="H173" s="2"/>
      <c r="I173" s="2"/>
      <c r="J173" s="4"/>
      <c r="K173" s="4"/>
      <c r="L173" s="4"/>
      <c r="M173" s="3"/>
      <c r="N173" s="3"/>
      <c r="R173" s="1"/>
      <c r="T173" s="1"/>
    </row>
    <row r="174" spans="1:20" x14ac:dyDescent="0.25">
      <c r="C174" s="6"/>
      <c r="F174" s="1"/>
      <c r="G174" s="2"/>
      <c r="H174" s="2"/>
      <c r="I174" s="2"/>
      <c r="J174" s="4"/>
      <c r="K174" s="4"/>
      <c r="L174" s="4"/>
      <c r="M174" s="3"/>
      <c r="N174" s="3"/>
      <c r="R174" s="1"/>
      <c r="T174" s="1"/>
    </row>
    <row r="175" spans="1:20" x14ac:dyDescent="0.25">
      <c r="C175" s="6"/>
      <c r="F175" s="1"/>
      <c r="G175" s="2"/>
      <c r="H175" s="2"/>
      <c r="I175" s="2"/>
      <c r="J175" s="4"/>
      <c r="K175" s="4"/>
      <c r="L175" s="4"/>
      <c r="M175" s="3"/>
      <c r="N175" s="3"/>
      <c r="R175" s="1"/>
      <c r="T175" s="1"/>
    </row>
    <row r="176" spans="1:20" x14ac:dyDescent="0.25">
      <c r="C176" s="6"/>
      <c r="F176" s="1"/>
      <c r="G176" s="2"/>
      <c r="H176" s="2"/>
      <c r="I176" s="2"/>
      <c r="J176" s="4"/>
      <c r="K176" s="4"/>
      <c r="L176" s="4"/>
      <c r="M176" s="3"/>
      <c r="N176" s="3"/>
      <c r="R176" s="1"/>
      <c r="T176" s="1"/>
    </row>
    <row r="177" spans="3:20" x14ac:dyDescent="0.25">
      <c r="C177" s="6"/>
      <c r="F177" s="1"/>
      <c r="G177" s="2"/>
      <c r="H177" s="2"/>
      <c r="I177" s="2"/>
      <c r="J177" s="4"/>
      <c r="K177" s="4"/>
      <c r="L177" s="4"/>
      <c r="M177" s="3"/>
      <c r="N177" s="3"/>
      <c r="R177" s="1"/>
      <c r="T177" s="1"/>
    </row>
    <row r="178" spans="3:20" x14ac:dyDescent="0.25">
      <c r="C178" s="6"/>
      <c r="F178" s="1"/>
      <c r="G178" s="2"/>
      <c r="H178" s="2"/>
      <c r="I178" s="2"/>
      <c r="J178" s="4"/>
      <c r="K178" s="4"/>
      <c r="L178" s="4"/>
      <c r="M178" s="3"/>
      <c r="N178" s="3"/>
      <c r="R178" s="1"/>
      <c r="T178" s="1"/>
    </row>
    <row r="179" spans="3:20" x14ac:dyDescent="0.25">
      <c r="C179" s="6"/>
      <c r="F179" s="1"/>
      <c r="G179" s="2"/>
      <c r="H179" s="2"/>
      <c r="I179" s="2"/>
      <c r="J179" s="4"/>
      <c r="K179" s="4"/>
      <c r="L179" s="4"/>
      <c r="M179" s="3"/>
      <c r="N179" s="3"/>
      <c r="R179" s="1"/>
      <c r="T179" s="1"/>
    </row>
    <row r="180" spans="3:20" x14ac:dyDescent="0.25">
      <c r="C180" s="6"/>
      <c r="F180" s="1"/>
      <c r="G180" s="2"/>
      <c r="H180" s="2"/>
      <c r="I180" s="2"/>
      <c r="J180" s="4"/>
      <c r="K180" s="4"/>
      <c r="L180" s="4"/>
      <c r="M180" s="3"/>
      <c r="N180" s="3"/>
      <c r="R180" s="1"/>
      <c r="T180" s="1"/>
    </row>
    <row r="181" spans="3:20" x14ac:dyDescent="0.25">
      <c r="C181" s="6"/>
      <c r="F181" s="1"/>
      <c r="G181" s="2"/>
      <c r="H181" s="2"/>
      <c r="I181" s="2"/>
      <c r="J181" s="4"/>
      <c r="K181" s="4"/>
      <c r="L181" s="4"/>
      <c r="M181" s="3"/>
      <c r="N181" s="3"/>
      <c r="R181" s="1"/>
      <c r="T181" s="1"/>
    </row>
    <row r="182" spans="3:20" x14ac:dyDescent="0.25">
      <c r="C182" s="6"/>
      <c r="F182" s="1"/>
      <c r="G182" s="2"/>
      <c r="H182" s="2"/>
      <c r="I182" s="2"/>
      <c r="J182" s="4"/>
      <c r="K182" s="4"/>
      <c r="L182" s="4"/>
      <c r="M182" s="3"/>
      <c r="N182" s="3"/>
      <c r="R182" s="1"/>
      <c r="T182" s="1"/>
    </row>
    <row r="183" spans="3:20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3:20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3:20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3:20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3:20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3:20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3:20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3:20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3:20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3:20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  <row r="356" spans="3:20" x14ac:dyDescent="0.25">
      <c r="C356" s="6"/>
      <c r="F356" s="1"/>
      <c r="G356" s="2"/>
      <c r="H356" s="2"/>
      <c r="I356" s="2"/>
      <c r="J356" s="4"/>
      <c r="K356" s="4"/>
      <c r="L356" s="4"/>
      <c r="M356" s="3"/>
      <c r="N356" s="3"/>
      <c r="R356" s="1"/>
      <c r="T356" s="1"/>
    </row>
    <row r="357" spans="3:20" x14ac:dyDescent="0.25">
      <c r="C357" s="6"/>
      <c r="F357" s="1"/>
      <c r="G357" s="2"/>
      <c r="H357" s="2"/>
      <c r="I357" s="2"/>
      <c r="J357" s="4"/>
      <c r="K357" s="4"/>
      <c r="L357" s="4"/>
      <c r="M357" s="3"/>
      <c r="N357" s="3"/>
      <c r="R357" s="1"/>
      <c r="T357" s="1"/>
    </row>
    <row r="358" spans="3:20" x14ac:dyDescent="0.25">
      <c r="C358" s="6"/>
      <c r="F358" s="1"/>
      <c r="G358" s="2"/>
      <c r="H358" s="2"/>
      <c r="I358" s="2"/>
      <c r="J358" s="4"/>
      <c r="K358" s="4"/>
      <c r="L358" s="4"/>
      <c r="M358" s="3"/>
      <c r="N358" s="3"/>
      <c r="R358" s="1"/>
      <c r="T358" s="1"/>
    </row>
  </sheetData>
  <mergeCells count="3">
    <mergeCell ref="A6:C6"/>
    <mergeCell ref="D6:G6"/>
    <mergeCell ref="A8:C8"/>
  </mergeCells>
  <conditionalFormatting sqref="M16">
    <cfRule type="expression" dxfId="355" priority="219" stopIfTrue="1">
      <formula>$A16="Pipe"</formula>
    </cfRule>
  </conditionalFormatting>
  <conditionalFormatting sqref="J22:J25 M22:M25 U22:U25 A22:A25 O22:O25 S22:S25 Q22:Q25">
    <cfRule type="expression" dxfId="354" priority="216">
      <formula>OR($A22="Pipe",$A22="Component",$A22="Volume")</formula>
    </cfRule>
  </conditionalFormatting>
  <conditionalFormatting sqref="E22:E25 I22:I25 L22:L25 N22:N25 P22:P25 V22:V25 T22:T23 R22:R25">
    <cfRule type="expression" dxfId="353" priority="217">
      <formula>OR($A22="Pipe",$A22="Component",$A22="Volume")</formula>
    </cfRule>
  </conditionalFormatting>
  <conditionalFormatting sqref="G22:H25 K22:K25 B22:D25">
    <cfRule type="expression" dxfId="352" priority="215">
      <formula>OR($A22="Pipe",$A22="Component",$A22="Volume")</formula>
    </cfRule>
  </conditionalFormatting>
  <conditionalFormatting sqref="U22:V25 A22:P25">
    <cfRule type="expression" dxfId="351" priority="214">
      <formula>$A22="Pipe"</formula>
    </cfRule>
  </conditionalFormatting>
  <conditionalFormatting sqref="Q22:T23 Q24:S25">
    <cfRule type="expression" dxfId="350" priority="213">
      <formula>OR($A22="Volume",$A22="Pipe")</formula>
    </cfRule>
  </conditionalFormatting>
  <conditionalFormatting sqref="A22:V23 A24:S25 U24:V25">
    <cfRule type="expression" dxfId="349" priority="212">
      <formula>$A22="Component"</formula>
    </cfRule>
  </conditionalFormatting>
  <conditionalFormatting sqref="U22:V25 A22:P25">
    <cfRule type="expression" dxfId="348" priority="211">
      <formula>$A22="Volume"</formula>
    </cfRule>
  </conditionalFormatting>
  <conditionalFormatting sqref="J22:L25">
    <cfRule type="cellIs" dxfId="347" priority="193" operator="notEqual">
      <formula>0</formula>
    </cfRule>
  </conditionalFormatting>
  <conditionalFormatting sqref="B22:C24">
    <cfRule type="expression" dxfId="346" priority="210">
      <formula>OR($A22="Pipe",$A22="Valve",$A22="Connection",$A22="Tank",$A22="Reducer")</formula>
    </cfRule>
  </conditionalFormatting>
  <conditionalFormatting sqref="F22:F25">
    <cfRule type="expression" dxfId="337" priority="218">
      <formula>OR($A22="Pipe",$A22="Component",$A22="Volume")</formula>
    </cfRule>
  </conditionalFormatting>
  <conditionalFormatting sqref="T24:T25">
    <cfRule type="expression" dxfId="330" priority="189">
      <formula>OR($A24="Pipe",$A24="Component",$A24="Volume")</formula>
    </cfRule>
  </conditionalFormatting>
  <conditionalFormatting sqref="T24:T25">
    <cfRule type="expression" dxfId="329" priority="188">
      <formula>OR($A24="Volume",$A24="Pipe")</formula>
    </cfRule>
  </conditionalFormatting>
  <conditionalFormatting sqref="T24:T25">
    <cfRule type="expression" dxfId="328" priority="187">
      <formula>$A24="Component"</formula>
    </cfRule>
  </conditionalFormatting>
  <conditionalFormatting sqref="J26:J358 M26:M358 U26:U358 A26:A358 O26:O358 S26:S358 Q26:Q358">
    <cfRule type="expression" dxfId="153" priority="10">
      <formula>OR($A26="Pipe",$A26="Component",$A26="Volume")</formula>
    </cfRule>
  </conditionalFormatting>
  <conditionalFormatting sqref="E26:E358 I26:I358 L26:L358 N26:N358 P26:P358 V26:V358 R26:R358">
    <cfRule type="expression" dxfId="152" priority="11">
      <formula>OR($A26="Pipe",$A26="Component",$A26="Volume")</formula>
    </cfRule>
  </conditionalFormatting>
  <conditionalFormatting sqref="G26:H358 K26:K358 B26:D358">
    <cfRule type="expression" dxfId="151" priority="9">
      <formula>OR($A26="Pipe",$A26="Component",$A26="Volume")</formula>
    </cfRule>
  </conditionalFormatting>
  <conditionalFormatting sqref="U26:V358 A26:P358">
    <cfRule type="expression" dxfId="150" priority="8">
      <formula>$A26="Pipe"</formula>
    </cfRule>
  </conditionalFormatting>
  <conditionalFormatting sqref="Q26:S358">
    <cfRule type="expression" dxfId="149" priority="7">
      <formula>OR($A26="Volume",$A26="Pipe")</formula>
    </cfRule>
  </conditionalFormatting>
  <conditionalFormatting sqref="A26:S358 U26:V358">
    <cfRule type="expression" dxfId="148" priority="6">
      <formula>$A26="Component"</formula>
    </cfRule>
  </conditionalFormatting>
  <conditionalFormatting sqref="U26:V358 A26:P358">
    <cfRule type="expression" dxfId="147" priority="5">
      <formula>$A26="Volume"</formula>
    </cfRule>
  </conditionalFormatting>
  <conditionalFormatting sqref="J26:L358">
    <cfRule type="cellIs" dxfId="146" priority="4" operator="notEqual">
      <formula>0</formula>
    </cfRule>
  </conditionalFormatting>
  <conditionalFormatting sqref="F26:F358">
    <cfRule type="expression" dxfId="145" priority="12">
      <formula>OR($A26="Pipe",$A26="Component",$A26="Volume")</formula>
    </cfRule>
  </conditionalFormatting>
  <conditionalFormatting sqref="T26:T358">
    <cfRule type="expression" dxfId="144" priority="3">
      <formula>OR($A26="Pipe",$A26="Component",$A26="Volume")</formula>
    </cfRule>
  </conditionalFormatting>
  <conditionalFormatting sqref="T26:T358">
    <cfRule type="expression" dxfId="143" priority="2">
      <formula>OR($A26="Volume",$A26="Pipe")</formula>
    </cfRule>
  </conditionalFormatting>
  <conditionalFormatting sqref="T26:T358">
    <cfRule type="expression" dxfId="142" priority="1">
      <formula>$A26="Component"</formula>
    </cfRule>
  </conditionalFormatting>
  <dataValidations count="1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C:\ProgramLocal\XlsPipePlot\XlsPipePlot.exe,"""C:\Users\Danne\Dropbox\Programmering\XlsPipePlot\XlsPipePlot\bin\Debug\XlsPipePlot.exe"""</x12ac:list>
        </mc:Choice>
        <mc:Fallback>
          <formula1>"C:\ProgramLocal\XlsPipePlot\XlsPipePlot.exe,""C:\Users\Danne\Dropbox\Programmering\XlsPipePlot\XlsPipePlot\bin\Debug\XlsPipePlot.exe"""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ddComponent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5:V49"/>
  <sheetViews>
    <sheetView topLeftCell="A7" zoomScale="85" zoomScaleNormal="85" workbookViewId="0">
      <selection activeCell="A43" sqref="A43"/>
    </sheetView>
  </sheetViews>
  <sheetFormatPr defaultRowHeight="15" x14ac:dyDescent="0.25"/>
  <cols>
    <col min="13" max="13" width="11.5703125" bestFit="1" customWidth="1"/>
  </cols>
  <sheetData>
    <row r="15" spans="1:22" x14ac:dyDescent="0.25">
      <c r="A15">
        <v>1</v>
      </c>
      <c r="B15">
        <f>A15+1</f>
        <v>2</v>
      </c>
      <c r="C15">
        <f t="shared" ref="C15:V15" si="0">B15+1</f>
        <v>3</v>
      </c>
      <c r="D15">
        <f t="shared" si="0"/>
        <v>4</v>
      </c>
      <c r="E15">
        <f t="shared" si="0"/>
        <v>5</v>
      </c>
      <c r="F15">
        <f t="shared" si="0"/>
        <v>6</v>
      </c>
      <c r="G15">
        <f t="shared" si="0"/>
        <v>7</v>
      </c>
      <c r="H15">
        <f t="shared" si="0"/>
        <v>8</v>
      </c>
      <c r="I15">
        <f t="shared" si="0"/>
        <v>9</v>
      </c>
      <c r="J15">
        <f t="shared" si="0"/>
        <v>10</v>
      </c>
      <c r="K15">
        <f t="shared" si="0"/>
        <v>11</v>
      </c>
      <c r="L15">
        <f t="shared" si="0"/>
        <v>12</v>
      </c>
      <c r="M15">
        <f t="shared" si="0"/>
        <v>13</v>
      </c>
      <c r="N15">
        <f t="shared" si="0"/>
        <v>14</v>
      </c>
      <c r="O15">
        <f t="shared" si="0"/>
        <v>15</v>
      </c>
      <c r="P15">
        <f t="shared" si="0"/>
        <v>16</v>
      </c>
      <c r="Q15">
        <f t="shared" si="0"/>
        <v>17</v>
      </c>
      <c r="R15">
        <f t="shared" si="0"/>
        <v>18</v>
      </c>
      <c r="S15">
        <f t="shared" si="0"/>
        <v>19</v>
      </c>
      <c r="T15">
        <f t="shared" si="0"/>
        <v>20</v>
      </c>
      <c r="U15">
        <f t="shared" si="0"/>
        <v>21</v>
      </c>
      <c r="V15">
        <f t="shared" si="0"/>
        <v>22</v>
      </c>
    </row>
    <row r="17" spans="1:22" x14ac:dyDescent="0.25">
      <c r="A17" t="s">
        <v>7</v>
      </c>
      <c r="B17" t="s">
        <v>7</v>
      </c>
      <c r="C17" s="6" t="s">
        <v>7</v>
      </c>
      <c r="D17" t="str">
        <f t="shared" ref="D17" si="1">CONCATENATE("PIPE_",ROW())</f>
        <v>PIPE_17</v>
      </c>
      <c r="F17" s="32">
        <v>1.972</v>
      </c>
      <c r="G17" s="2">
        <v>0</v>
      </c>
      <c r="H17" s="2">
        <f>270+ATAN(1000/1700)*180/PI()</f>
        <v>300.46554491945989</v>
      </c>
      <c r="I17" s="2">
        <v>0</v>
      </c>
      <c r="J17" s="4">
        <v>0</v>
      </c>
      <c r="K17" s="4">
        <v>0</v>
      </c>
      <c r="L17" s="4">
        <v>0</v>
      </c>
      <c r="M17" s="3">
        <v>114.3</v>
      </c>
      <c r="N17" s="3">
        <v>3.05</v>
      </c>
      <c r="O17" s="8">
        <v>1.5</v>
      </c>
      <c r="P17" s="8"/>
      <c r="R17" s="1"/>
      <c r="T17" s="1"/>
      <c r="V17" t="s">
        <v>17</v>
      </c>
    </row>
    <row r="18" spans="1:22" x14ac:dyDescent="0.25">
      <c r="F18" s="6"/>
    </row>
    <row r="19" spans="1:22" x14ac:dyDescent="0.25">
      <c r="F19" s="6"/>
    </row>
    <row r="20" spans="1:22" x14ac:dyDescent="0.25">
      <c r="A20" s="7"/>
      <c r="B20" s="7" t="s">
        <v>79</v>
      </c>
      <c r="C20" s="34" t="s">
        <v>80</v>
      </c>
      <c r="D20" s="7"/>
      <c r="E20" s="7"/>
      <c r="F20" s="35"/>
      <c r="G20" s="36"/>
      <c r="H20" s="36"/>
      <c r="I20" s="36"/>
      <c r="J20" s="33"/>
      <c r="K20" s="33"/>
      <c r="L20" s="33"/>
      <c r="M20" s="37"/>
      <c r="N20" s="37"/>
      <c r="O20" s="7"/>
      <c r="P20" s="7"/>
      <c r="Q20" s="7"/>
      <c r="R20" s="35"/>
      <c r="S20" s="7"/>
      <c r="T20" s="35"/>
      <c r="U20" s="7"/>
      <c r="V20" s="7"/>
    </row>
    <row r="21" spans="1:22" x14ac:dyDescent="0.25">
      <c r="A21" s="7"/>
      <c r="B21" s="7"/>
      <c r="C21" s="34"/>
      <c r="D21" s="7"/>
      <c r="E21" s="7"/>
      <c r="F21" s="35"/>
      <c r="G21" s="36"/>
      <c r="H21" s="36"/>
      <c r="I21" s="36"/>
      <c r="J21" s="33"/>
      <c r="K21" s="33"/>
      <c r="L21" s="33"/>
      <c r="M21" s="37"/>
      <c r="N21" s="37"/>
      <c r="O21" s="7"/>
      <c r="P21" s="7"/>
      <c r="Q21" s="7"/>
      <c r="R21" s="35"/>
      <c r="S21" s="7"/>
      <c r="T21" s="35"/>
      <c r="U21" s="7"/>
      <c r="V21" s="7"/>
    </row>
    <row r="22" spans="1:22" x14ac:dyDescent="0.25">
      <c r="A22" s="7"/>
      <c r="B22" s="7"/>
      <c r="C22" s="34"/>
      <c r="D22" s="7"/>
      <c r="E22" s="7"/>
      <c r="F22" s="35"/>
      <c r="G22" s="36"/>
      <c r="H22" s="36"/>
      <c r="I22" s="36"/>
      <c r="J22" s="33"/>
      <c r="K22" s="33"/>
      <c r="L22" s="33"/>
      <c r="M22" s="37"/>
      <c r="N22" s="37"/>
      <c r="O22" s="7"/>
      <c r="P22" s="7"/>
      <c r="Q22" s="7"/>
      <c r="R22" s="35"/>
      <c r="S22" s="7"/>
      <c r="T22" s="35"/>
      <c r="U22" s="7"/>
      <c r="V22" s="7"/>
    </row>
    <row r="23" spans="1:22" x14ac:dyDescent="0.25">
      <c r="A23" s="7"/>
      <c r="B23" s="7"/>
      <c r="C23" s="34" t="s">
        <v>7</v>
      </c>
      <c r="D23" s="7">
        <v>34</v>
      </c>
      <c r="E23" s="7"/>
      <c r="F23" s="35">
        <v>2</v>
      </c>
      <c r="G23" s="36"/>
      <c r="H23" s="36"/>
      <c r="I23" s="36"/>
      <c r="J23" s="33">
        <v>2</v>
      </c>
      <c r="K23" s="33">
        <v>4</v>
      </c>
      <c r="L23" s="33"/>
      <c r="M23" s="37">
        <v>1200</v>
      </c>
      <c r="N23" s="37">
        <v>2</v>
      </c>
      <c r="O23" s="7"/>
      <c r="P23" s="7"/>
      <c r="Q23" s="7"/>
      <c r="R23" s="35">
        <v>6</v>
      </c>
      <c r="S23" s="7"/>
      <c r="T23" s="35">
        <v>2</v>
      </c>
      <c r="U23" s="7"/>
      <c r="V23" s="7"/>
    </row>
    <row r="24" spans="1:22" x14ac:dyDescent="0.25">
      <c r="A24" s="7" t="s">
        <v>78</v>
      </c>
      <c r="B24" s="7"/>
      <c r="C24" s="34"/>
      <c r="D24" s="7"/>
      <c r="E24" s="7"/>
      <c r="F24" s="35"/>
      <c r="G24" s="36"/>
      <c r="H24" s="36"/>
      <c r="I24" s="36"/>
      <c r="J24" s="33"/>
      <c r="K24" s="33"/>
      <c r="L24" s="33"/>
      <c r="M24" s="37"/>
      <c r="N24" s="37"/>
      <c r="O24" s="7"/>
      <c r="P24" s="7"/>
      <c r="Q24" s="7"/>
      <c r="R24" s="35"/>
      <c r="S24" s="7"/>
      <c r="T24" s="35"/>
      <c r="U24" s="7"/>
      <c r="V24" s="7"/>
    </row>
    <row r="25" spans="1:22" x14ac:dyDescent="0.25">
      <c r="A25" s="7"/>
      <c r="B25" s="7"/>
      <c r="C25" s="34"/>
      <c r="D25" s="7"/>
      <c r="E25" s="7"/>
      <c r="F25" s="35"/>
      <c r="G25" s="36"/>
      <c r="H25" s="36"/>
      <c r="I25" s="36"/>
      <c r="J25" s="33"/>
      <c r="K25" s="33"/>
      <c r="L25" s="33"/>
      <c r="M25" s="37"/>
      <c r="N25" s="37"/>
      <c r="O25" s="7"/>
      <c r="P25" s="7"/>
      <c r="Q25" s="7"/>
      <c r="R25" s="35"/>
      <c r="S25" s="7"/>
      <c r="T25" s="35"/>
      <c r="U25" s="7"/>
      <c r="V25" s="7"/>
    </row>
    <row r="26" spans="1:22" x14ac:dyDescent="0.25">
      <c r="A26" s="7" t="s">
        <v>7</v>
      </c>
      <c r="B26" s="7" t="s">
        <v>7</v>
      </c>
      <c r="C26" s="34" t="s">
        <v>7</v>
      </c>
      <c r="D26" s="7" t="s">
        <v>81</v>
      </c>
      <c r="E26" s="7"/>
      <c r="F26" s="35">
        <v>1.972</v>
      </c>
      <c r="G26" s="36">
        <v>0</v>
      </c>
      <c r="H26" s="36">
        <v>300.46554491945989</v>
      </c>
      <c r="I26" s="36">
        <v>0</v>
      </c>
      <c r="J26" s="33">
        <v>0</v>
      </c>
      <c r="K26" s="33">
        <v>0</v>
      </c>
      <c r="L26" s="33">
        <v>0</v>
      </c>
      <c r="M26" s="37">
        <v>114.3</v>
      </c>
      <c r="N26" s="37">
        <v>3.05</v>
      </c>
      <c r="O26" s="7">
        <v>1.5</v>
      </c>
      <c r="P26" s="7"/>
      <c r="Q26" s="7"/>
      <c r="R26" s="35"/>
      <c r="S26" s="7"/>
      <c r="T26" s="35"/>
      <c r="U26" s="7"/>
      <c r="V26" s="7"/>
    </row>
    <row r="27" spans="1:22" x14ac:dyDescent="0.25">
      <c r="A27" s="7" t="s">
        <v>55</v>
      </c>
      <c r="B27" s="7"/>
      <c r="C27" s="34"/>
      <c r="D27" s="7"/>
      <c r="E27" s="7"/>
      <c r="F27" s="35"/>
      <c r="G27" s="36"/>
      <c r="H27" s="36"/>
      <c r="I27" s="36"/>
      <c r="J27" s="33"/>
      <c r="K27" s="33"/>
      <c r="L27" s="33"/>
      <c r="M27" s="37"/>
      <c r="N27" s="37"/>
      <c r="O27" s="7"/>
      <c r="P27" s="7"/>
      <c r="Q27" s="7"/>
      <c r="R27" s="35"/>
      <c r="S27" s="7"/>
      <c r="T27" s="35"/>
      <c r="U27" s="7"/>
      <c r="V27" s="7"/>
    </row>
    <row r="28" spans="1:22" x14ac:dyDescent="0.25">
      <c r="A28" s="7" t="s">
        <v>56</v>
      </c>
      <c r="B28" s="7"/>
      <c r="C28" s="34"/>
      <c r="D28" s="7"/>
      <c r="E28" s="7"/>
      <c r="F28" s="35"/>
      <c r="G28" s="36"/>
      <c r="H28" s="36"/>
      <c r="I28" s="36"/>
      <c r="J28" s="33"/>
      <c r="K28" s="33"/>
      <c r="L28" s="33"/>
      <c r="M28" s="37"/>
      <c r="N28" s="37"/>
      <c r="O28" s="7"/>
      <c r="P28" s="7"/>
      <c r="Q28" s="7"/>
      <c r="R28" s="35"/>
      <c r="S28" s="7"/>
      <c r="T28" s="35"/>
      <c r="U28" s="7"/>
      <c r="V28" s="7"/>
    </row>
    <row r="29" spans="1:22" x14ac:dyDescent="0.25">
      <c r="A29" s="7"/>
      <c r="B29" s="7"/>
      <c r="C29" s="34"/>
      <c r="D29" s="7"/>
      <c r="E29" s="7"/>
      <c r="F29" s="35"/>
      <c r="G29" s="36"/>
      <c r="H29" s="36"/>
      <c r="I29" s="36"/>
      <c r="J29" s="33"/>
      <c r="K29" s="33"/>
      <c r="L29" s="33"/>
      <c r="M29" s="37"/>
      <c r="N29" s="37"/>
      <c r="O29" s="7"/>
      <c r="P29" s="7"/>
      <c r="Q29" s="7"/>
      <c r="R29" s="35"/>
      <c r="S29" s="7"/>
      <c r="T29" s="35"/>
      <c r="U29" s="7"/>
      <c r="V29" s="7"/>
    </row>
    <row r="30" spans="1:22" x14ac:dyDescent="0.25">
      <c r="A30" s="7" t="s">
        <v>55</v>
      </c>
      <c r="B30" s="7"/>
      <c r="C30" s="34"/>
      <c r="D30" s="7"/>
      <c r="E30" s="7"/>
      <c r="F30" s="35"/>
      <c r="G30" s="36"/>
      <c r="H30" s="36"/>
      <c r="I30" s="36"/>
      <c r="J30" s="33"/>
      <c r="K30" s="33"/>
      <c r="L30" s="33"/>
      <c r="M30" s="37"/>
      <c r="N30" s="37"/>
      <c r="O30" s="7"/>
      <c r="P30" s="7"/>
      <c r="Q30" s="7"/>
      <c r="R30" s="35"/>
      <c r="S30" s="7"/>
      <c r="T30" s="35"/>
      <c r="U30" s="7"/>
      <c r="V30" s="7"/>
    </row>
    <row r="31" spans="1:22" x14ac:dyDescent="0.25">
      <c r="A31" s="7"/>
      <c r="B31" s="7"/>
      <c r="C31" s="34"/>
      <c r="D31" s="7"/>
      <c r="E31" s="7"/>
      <c r="F31" s="35"/>
      <c r="G31" s="36"/>
      <c r="H31" s="36"/>
      <c r="I31" s="36"/>
      <c r="J31" s="33"/>
      <c r="K31" s="33"/>
      <c r="L31" s="33"/>
      <c r="M31" s="37"/>
      <c r="N31" s="37"/>
      <c r="O31" s="7"/>
      <c r="P31" s="7"/>
      <c r="Q31" s="7"/>
      <c r="R31" s="35"/>
      <c r="S31" s="7"/>
      <c r="T31" s="35"/>
      <c r="U31" s="7"/>
      <c r="V31" s="7"/>
    </row>
    <row r="32" spans="1:22" x14ac:dyDescent="0.25">
      <c r="A32" s="7"/>
      <c r="B32" s="7"/>
      <c r="C32" s="34"/>
      <c r="D32" s="7"/>
      <c r="E32" s="7"/>
      <c r="F32" s="35"/>
      <c r="G32" s="36"/>
      <c r="H32" s="36"/>
      <c r="I32" s="36"/>
      <c r="J32" s="33"/>
      <c r="K32" s="33"/>
      <c r="L32" s="33"/>
      <c r="M32" s="37"/>
      <c r="N32" s="37"/>
      <c r="O32" s="7"/>
      <c r="P32" s="7"/>
      <c r="Q32" s="7"/>
      <c r="R32" s="35"/>
      <c r="S32" s="7"/>
      <c r="T32" s="35"/>
      <c r="U32" s="7"/>
      <c r="V32" s="7"/>
    </row>
    <row r="33" spans="1:22" x14ac:dyDescent="0.25">
      <c r="A33" s="7"/>
      <c r="B33" s="7"/>
      <c r="C33" s="34"/>
      <c r="D33" s="7"/>
      <c r="E33" s="7"/>
      <c r="F33" s="35"/>
      <c r="G33" s="36"/>
      <c r="H33" s="36"/>
      <c r="I33" s="36"/>
      <c r="J33" s="33"/>
      <c r="K33" s="33"/>
      <c r="L33" s="33"/>
      <c r="M33" s="37"/>
      <c r="N33" s="37"/>
      <c r="O33" s="7"/>
      <c r="P33" s="7"/>
      <c r="Q33" s="7"/>
      <c r="R33" s="35"/>
      <c r="S33" s="7"/>
      <c r="T33" s="35"/>
      <c r="U33" s="7"/>
      <c r="V33" s="7"/>
    </row>
    <row r="34" spans="1:22" x14ac:dyDescent="0.25">
      <c r="A34" s="7"/>
      <c r="B34" s="7"/>
      <c r="C34" s="34"/>
      <c r="D34" s="7"/>
      <c r="E34" s="7"/>
      <c r="F34" s="35"/>
      <c r="G34" s="36"/>
      <c r="H34" s="36"/>
      <c r="I34" s="36"/>
      <c r="J34" s="33"/>
      <c r="K34" s="33"/>
      <c r="L34" s="33"/>
      <c r="M34" s="37"/>
      <c r="N34" s="37"/>
      <c r="O34" s="7"/>
      <c r="P34" s="7"/>
      <c r="Q34" s="7"/>
      <c r="R34" s="35"/>
      <c r="S34" s="7"/>
      <c r="T34" s="35"/>
      <c r="U34" s="7"/>
      <c r="V34" s="7"/>
    </row>
    <row r="35" spans="1:22" x14ac:dyDescent="0.25">
      <c r="A35" s="7"/>
      <c r="B35" s="7"/>
      <c r="C35" s="34"/>
      <c r="D35" s="7"/>
      <c r="E35" s="7"/>
      <c r="F35" s="35"/>
      <c r="G35" s="36"/>
      <c r="H35" s="36"/>
      <c r="I35" s="36"/>
      <c r="J35" s="33"/>
      <c r="K35" s="33"/>
      <c r="L35" s="33"/>
      <c r="M35" s="37"/>
      <c r="N35" s="37"/>
      <c r="O35" s="7"/>
      <c r="P35" s="7"/>
      <c r="Q35" s="7"/>
      <c r="R35" s="35"/>
      <c r="S35" s="7"/>
      <c r="T35" s="35"/>
      <c r="U35" s="7"/>
      <c r="V35" s="7"/>
    </row>
    <row r="36" spans="1:22" x14ac:dyDescent="0.25">
      <c r="A36" s="7"/>
      <c r="B36" s="7"/>
      <c r="C36" s="7"/>
      <c r="D36" s="7"/>
      <c r="E36" s="7"/>
      <c r="F36" s="35"/>
      <c r="G36" s="36"/>
      <c r="H36" s="36"/>
      <c r="I36" s="36"/>
      <c r="J36" s="33"/>
      <c r="K36" s="33"/>
      <c r="L36" s="33"/>
      <c r="M36" s="37"/>
      <c r="N36" s="37"/>
      <c r="O36" s="7"/>
      <c r="P36" s="7"/>
      <c r="Q36" s="7"/>
      <c r="R36" s="35"/>
      <c r="S36" s="7"/>
      <c r="T36" s="35"/>
      <c r="U36" s="7"/>
      <c r="V36" s="7"/>
    </row>
    <row r="37" spans="1:22" x14ac:dyDescent="0.25">
      <c r="A37" s="7"/>
      <c r="B37" s="7"/>
      <c r="C37" s="7"/>
      <c r="D37" s="7"/>
      <c r="E37" s="7"/>
      <c r="F37" s="35"/>
      <c r="G37" s="36"/>
      <c r="H37" s="36"/>
      <c r="I37" s="36"/>
      <c r="J37" s="33"/>
      <c r="K37" s="33"/>
      <c r="L37" s="33"/>
      <c r="M37" s="37"/>
      <c r="N37" s="37"/>
      <c r="O37" s="7"/>
      <c r="P37" s="7"/>
      <c r="Q37" s="7"/>
      <c r="R37" s="35"/>
      <c r="S37" s="7"/>
      <c r="T37" s="35"/>
      <c r="U37" s="7"/>
      <c r="V37" s="7"/>
    </row>
    <row r="38" spans="1:22" x14ac:dyDescent="0.25">
      <c r="A38" s="7"/>
      <c r="B38" s="7"/>
      <c r="C38" s="7"/>
      <c r="D38" s="7"/>
      <c r="E38" s="7"/>
      <c r="F38" s="35"/>
      <c r="G38" s="36"/>
      <c r="H38" s="36"/>
      <c r="I38" s="36"/>
      <c r="J38" s="33"/>
      <c r="K38" s="33"/>
      <c r="L38" s="33"/>
      <c r="M38" s="37"/>
      <c r="N38" s="37"/>
      <c r="O38" s="7"/>
      <c r="P38" s="7"/>
      <c r="Q38" s="7"/>
      <c r="R38" s="35"/>
      <c r="S38" s="7"/>
      <c r="T38" s="35"/>
      <c r="U38" s="7"/>
      <c r="V38" s="7"/>
    </row>
    <row r="39" spans="1:22" x14ac:dyDescent="0.25">
      <c r="A39" s="7"/>
      <c r="B39" s="7"/>
      <c r="C39" s="7"/>
      <c r="D39" s="7"/>
      <c r="E39" s="7"/>
      <c r="F39" s="35"/>
      <c r="G39" s="36"/>
      <c r="H39" s="36"/>
      <c r="I39" s="36"/>
      <c r="J39" s="33"/>
      <c r="K39" s="33"/>
      <c r="L39" s="33"/>
      <c r="M39" s="37"/>
      <c r="N39" s="37"/>
      <c r="O39" s="7"/>
      <c r="P39" s="7"/>
      <c r="Q39" s="7"/>
      <c r="R39" s="35"/>
      <c r="S39" s="7"/>
      <c r="T39" s="35"/>
      <c r="U39" s="7"/>
      <c r="V39" s="7"/>
    </row>
    <row r="40" spans="1:22" x14ac:dyDescent="0.25">
      <c r="A40" s="7"/>
      <c r="B40" s="7"/>
      <c r="C40" s="7"/>
      <c r="D40" s="7"/>
      <c r="E40" s="7"/>
      <c r="F40" s="35"/>
      <c r="G40" s="36"/>
      <c r="H40" s="36"/>
      <c r="I40" s="36"/>
      <c r="J40" s="33"/>
      <c r="K40" s="33"/>
      <c r="L40" s="33"/>
      <c r="M40" s="37"/>
      <c r="N40" s="37"/>
      <c r="O40" s="7"/>
      <c r="P40" s="7"/>
      <c r="Q40" s="7"/>
      <c r="R40" s="35"/>
      <c r="S40" s="7"/>
      <c r="T40" s="35"/>
      <c r="U40" s="7"/>
      <c r="V40" s="7"/>
    </row>
    <row r="41" spans="1:22" x14ac:dyDescent="0.25">
      <c r="A41" s="7"/>
      <c r="B41" s="7"/>
      <c r="C41" s="7"/>
      <c r="D41" s="7"/>
      <c r="E41" s="7"/>
      <c r="F41" s="35"/>
      <c r="G41" s="36"/>
      <c r="H41" s="36"/>
      <c r="I41" s="36"/>
      <c r="J41" s="33"/>
      <c r="K41" s="33"/>
      <c r="L41" s="33"/>
      <c r="M41" s="37"/>
      <c r="N41" s="37"/>
      <c r="O41" s="7"/>
      <c r="P41" s="7"/>
      <c r="Q41" s="7"/>
      <c r="R41" s="35"/>
      <c r="S41" s="7"/>
      <c r="T41" s="35"/>
      <c r="U41" s="7"/>
      <c r="V41" s="7"/>
    </row>
    <row r="42" spans="1:22" x14ac:dyDescent="0.25">
      <c r="A42" s="7"/>
      <c r="B42" s="7"/>
      <c r="C42" s="7"/>
      <c r="D42" s="7"/>
      <c r="E42" s="7"/>
      <c r="F42" s="35"/>
      <c r="G42" s="36"/>
      <c r="H42" s="36"/>
      <c r="I42" s="36"/>
      <c r="J42" s="33"/>
      <c r="K42" s="33"/>
      <c r="L42" s="33"/>
      <c r="M42" s="37"/>
      <c r="N42" s="37"/>
      <c r="O42" s="7"/>
      <c r="P42" s="7"/>
      <c r="Q42" s="7"/>
      <c r="R42" s="35"/>
      <c r="S42" s="7"/>
      <c r="T42" s="35"/>
      <c r="U42" s="7"/>
      <c r="V42" s="7"/>
    </row>
    <row r="43" spans="1:22" x14ac:dyDescent="0.25">
      <c r="A43" s="7" t="s">
        <v>7</v>
      </c>
      <c r="B43" s="7"/>
      <c r="C43" s="7"/>
      <c r="D43" s="7"/>
      <c r="E43" s="7"/>
      <c r="F43" s="35"/>
      <c r="G43" s="36"/>
      <c r="H43" s="36"/>
      <c r="I43" s="36"/>
      <c r="J43" s="33"/>
      <c r="K43" s="33"/>
      <c r="L43" s="33"/>
      <c r="M43" s="37"/>
      <c r="N43" s="37"/>
      <c r="O43" s="7"/>
      <c r="P43" s="7"/>
      <c r="Q43" s="7"/>
      <c r="R43" s="35"/>
      <c r="S43" s="7"/>
      <c r="T43" s="35"/>
      <c r="U43" s="7"/>
      <c r="V43" s="7"/>
    </row>
    <row r="44" spans="1:22" x14ac:dyDescent="0.25">
      <c r="A44" s="7"/>
      <c r="B44" s="7"/>
      <c r="C44" s="7"/>
      <c r="D44" s="7"/>
      <c r="E44" s="7"/>
      <c r="F44" s="35"/>
      <c r="G44" s="36"/>
      <c r="H44" s="36"/>
      <c r="I44" s="36"/>
      <c r="J44" s="33"/>
      <c r="K44" s="33"/>
      <c r="L44" s="33"/>
      <c r="M44" s="37"/>
      <c r="N44" s="37"/>
      <c r="O44" s="7"/>
      <c r="P44" s="7"/>
      <c r="Q44" s="7"/>
      <c r="R44" s="35"/>
      <c r="S44" s="7"/>
      <c r="T44" s="35"/>
      <c r="U44" s="7"/>
      <c r="V44" s="7"/>
    </row>
    <row r="45" spans="1:22" x14ac:dyDescent="0.25">
      <c r="A45" s="7"/>
      <c r="B45" s="7"/>
      <c r="C45" s="7"/>
      <c r="D45" s="7"/>
      <c r="E45" s="7"/>
      <c r="F45" s="35"/>
      <c r="G45" s="36"/>
      <c r="H45" s="36"/>
      <c r="I45" s="36"/>
      <c r="J45" s="33"/>
      <c r="K45" s="33"/>
      <c r="L45" s="33"/>
      <c r="M45" s="37"/>
      <c r="N45" s="37"/>
      <c r="O45" s="7"/>
      <c r="P45" s="7"/>
      <c r="Q45" s="7"/>
      <c r="R45" s="35"/>
      <c r="S45" s="7"/>
      <c r="T45" s="35"/>
      <c r="U45" s="7"/>
      <c r="V45" s="7"/>
    </row>
    <row r="46" spans="1:22" x14ac:dyDescent="0.25">
      <c r="A46" s="7"/>
      <c r="B46" s="7"/>
      <c r="C46" s="7"/>
      <c r="D46" s="7"/>
      <c r="E46" s="7"/>
      <c r="F46" s="35"/>
      <c r="G46" s="36"/>
      <c r="H46" s="36"/>
      <c r="I46" s="36"/>
      <c r="J46" s="33"/>
      <c r="K46" s="33"/>
      <c r="L46" s="33"/>
      <c r="M46" s="37"/>
      <c r="N46" s="37"/>
      <c r="O46" s="7"/>
      <c r="P46" s="7"/>
      <c r="Q46" s="7"/>
      <c r="R46" s="35"/>
      <c r="S46" s="7"/>
      <c r="T46" s="35"/>
      <c r="U46" s="7"/>
      <c r="V46" s="7"/>
    </row>
    <row r="47" spans="1:22" x14ac:dyDescent="0.25">
      <c r="A47" s="7"/>
      <c r="B47" s="7"/>
      <c r="C47" s="7"/>
      <c r="D47" s="7"/>
      <c r="E47" s="7"/>
      <c r="F47" s="35"/>
      <c r="G47" s="36"/>
      <c r="H47" s="36"/>
      <c r="I47" s="36"/>
      <c r="J47" s="33"/>
      <c r="K47" s="33"/>
      <c r="L47" s="33"/>
      <c r="M47" s="37"/>
      <c r="N47" s="37"/>
      <c r="O47" s="7"/>
      <c r="P47" s="7"/>
      <c r="Q47" s="7"/>
      <c r="R47" s="35"/>
      <c r="S47" s="7"/>
      <c r="T47" s="35"/>
      <c r="U47" s="7"/>
      <c r="V47" s="7"/>
    </row>
    <row r="48" spans="1:22" x14ac:dyDescent="0.25">
      <c r="A48" s="7"/>
      <c r="B48" s="7"/>
      <c r="C48" s="7"/>
      <c r="D48" s="7"/>
      <c r="E48" s="7"/>
      <c r="F48" s="35"/>
      <c r="G48" s="36"/>
      <c r="H48" s="36"/>
      <c r="I48" s="36"/>
      <c r="J48" s="33"/>
      <c r="K48" s="33"/>
      <c r="L48" s="33"/>
      <c r="M48" s="37"/>
      <c r="N48" s="37"/>
      <c r="O48" s="7"/>
      <c r="P48" s="7"/>
      <c r="Q48" s="7"/>
      <c r="R48" s="35"/>
      <c r="S48" s="7"/>
      <c r="T48" s="35"/>
      <c r="U48" s="7"/>
      <c r="V48" s="7"/>
    </row>
    <row r="49" spans="1:22" x14ac:dyDescent="0.25">
      <c r="A49" s="7"/>
      <c r="B49" s="7"/>
      <c r="C49" s="7"/>
      <c r="D49" s="7"/>
      <c r="E49" s="7"/>
      <c r="F49" s="35"/>
      <c r="G49" s="36"/>
      <c r="H49" s="36"/>
      <c r="I49" s="36"/>
      <c r="J49" s="33"/>
      <c r="K49" s="33"/>
      <c r="L49" s="33"/>
      <c r="M49" s="37"/>
      <c r="N49" s="37"/>
      <c r="O49" s="7"/>
      <c r="P49" s="7"/>
      <c r="Q49" s="7"/>
      <c r="R49" s="35"/>
      <c r="S49" s="7"/>
      <c r="T49" s="35"/>
      <c r="U49" s="7"/>
      <c r="V49" s="7"/>
    </row>
  </sheetData>
  <conditionalFormatting sqref="J17 M17 U17 A17 O17 S17 Q17">
    <cfRule type="expression" dxfId="141" priority="613">
      <formula>OR($A17="Pipe",$A17="Component",$A17="Volume")</formula>
    </cfRule>
  </conditionalFormatting>
  <conditionalFormatting sqref="E17 I17 L17 N17 P17 V17 R17">
    <cfRule type="expression" dxfId="140" priority="614">
      <formula>OR($A17="Pipe",$A17="Component",$A17="Volume")</formula>
    </cfRule>
  </conditionalFormatting>
  <conditionalFormatting sqref="G17:H17 K17 B17:D17">
    <cfRule type="expression" dxfId="139" priority="612">
      <formula>OR($A17="Pipe",$A17="Component",$A17="Volume")</formula>
    </cfRule>
  </conditionalFormatting>
  <conditionalFormatting sqref="U17:V17 A17:P17">
    <cfRule type="expression" dxfId="138" priority="611">
      <formula>$A17="Pipe"</formula>
    </cfRule>
  </conditionalFormatting>
  <conditionalFormatting sqref="Q17:S17">
    <cfRule type="expression" dxfId="137" priority="610">
      <formula>OR($A17="Volume",$A17="Pipe")</formula>
    </cfRule>
  </conditionalFormatting>
  <conditionalFormatting sqref="A17:S17 U17:V17">
    <cfRule type="expression" dxfId="136" priority="609">
      <formula>$A17="Component"</formula>
    </cfRule>
  </conditionalFormatting>
  <conditionalFormatting sqref="U17:V17 A17:P17">
    <cfRule type="expression" dxfId="135" priority="608">
      <formula>$A17="Volume"</formula>
    </cfRule>
  </conditionalFormatting>
  <conditionalFormatting sqref="J17:L17">
    <cfRule type="cellIs" dxfId="134" priority="607" operator="notEqual">
      <formula>0</formula>
    </cfRule>
  </conditionalFormatting>
  <conditionalFormatting sqref="F17">
    <cfRule type="expression" dxfId="133" priority="615">
      <formula>OR($A17="Pipe",$A17="Component",$A17="Volume")</formula>
    </cfRule>
  </conditionalFormatting>
  <conditionalFormatting sqref="T17">
    <cfRule type="expression" dxfId="132" priority="606">
      <formula>OR($A17="Pipe",$A17="Component",$A17="Volume")</formula>
    </cfRule>
  </conditionalFormatting>
  <conditionalFormatting sqref="T17">
    <cfRule type="expression" dxfId="131" priority="605">
      <formula>OR($A17="Volume",$A17="Pipe")</formula>
    </cfRule>
  </conditionalFormatting>
  <conditionalFormatting sqref="T17">
    <cfRule type="expression" dxfId="130" priority="604">
      <formula>$A17="Component"</formula>
    </cfRule>
  </conditionalFormatting>
  <conditionalFormatting sqref="A20:P22">
    <cfRule type="expression" dxfId="51" priority="52">
      <formula>$A20="Pipe"</formula>
    </cfRule>
    <cfRule type="expression" dxfId="50" priority="50">
      <formula>$A20="Volume"</formula>
    </cfRule>
  </conditionalFormatting>
  <conditionalFormatting sqref="T20:V22">
    <cfRule type="expression" dxfId="49" priority="51">
      <formula>$A20="Pipe"</formula>
    </cfRule>
    <cfRule type="expression" dxfId="48" priority="49">
      <formula>$A20="Volume"</formula>
    </cfRule>
  </conditionalFormatting>
  <conditionalFormatting sqref="A20:V22">
    <cfRule type="expression" dxfId="47" priority="48">
      <formula>$A20="Component"</formula>
    </cfRule>
  </conditionalFormatting>
  <conditionalFormatting sqref="Q20:T22">
    <cfRule type="expression" dxfId="46" priority="47">
      <formula>OR($A20="Pipe",$A20="Volume")</formula>
    </cfRule>
  </conditionalFormatting>
  <conditionalFormatting sqref="B20:D22">
    <cfRule type="expression" dxfId="45" priority="46">
      <formula>OR($A20="Component",$A20="Pipe",$A20="Volume")</formula>
    </cfRule>
  </conditionalFormatting>
  <conditionalFormatting sqref="F20:F22">
    <cfRule type="expression" dxfId="44" priority="45">
      <formula>OR($A20="Component",$A20="Pipe",$A20="Volume")</formula>
    </cfRule>
  </conditionalFormatting>
  <conditionalFormatting sqref="H20:H22">
    <cfRule type="expression" dxfId="43" priority="44">
      <formula>OR($A20="Component",$A20="Pipe",$A20="Volume")</formula>
    </cfRule>
  </conditionalFormatting>
  <conditionalFormatting sqref="K20:K22">
    <cfRule type="expression" dxfId="42" priority="43">
      <formula>OR($A20="Component",$A20="Pipe",$A20="Volume")</formula>
    </cfRule>
  </conditionalFormatting>
  <conditionalFormatting sqref="A20:A22">
    <cfRule type="expression" dxfId="41" priority="42">
      <formula>OR($A20="Component",$A20="Pipe",$A20="Volume")</formula>
    </cfRule>
  </conditionalFormatting>
  <conditionalFormatting sqref="G20:G22">
    <cfRule type="expression" dxfId="40" priority="41">
      <formula>OR($A20="Component",$A20="Pipe",$A20="Volume")</formula>
    </cfRule>
  </conditionalFormatting>
  <conditionalFormatting sqref="J20:J22">
    <cfRule type="expression" dxfId="39" priority="40">
      <formula>OR($A20="Component",$A20="Pipe",$A20="Volume")</formula>
    </cfRule>
  </conditionalFormatting>
  <conditionalFormatting sqref="M20:M22">
    <cfRule type="expression" dxfId="38" priority="39">
      <formula>OR($A20="Component",$A20="Pipe",$A20="Volume")</formula>
    </cfRule>
  </conditionalFormatting>
  <conditionalFormatting sqref="O20:O22">
    <cfRule type="expression" dxfId="37" priority="38">
      <formula>OR($A20="Component",$A20="Pipe",$A20="Volume")</formula>
    </cfRule>
  </conditionalFormatting>
  <conditionalFormatting sqref="Q20:Q22">
    <cfRule type="expression" dxfId="36" priority="37">
      <formula>OR($A20="Component",$A20="Pipe",$A20="Volume")</formula>
    </cfRule>
  </conditionalFormatting>
  <conditionalFormatting sqref="S20:S22">
    <cfRule type="expression" dxfId="35" priority="36">
      <formula>OR($A20="Component",$A20="Pipe",$A20="Volume")</formula>
    </cfRule>
  </conditionalFormatting>
  <conditionalFormatting sqref="U20:U22">
    <cfRule type="expression" dxfId="34" priority="35">
      <formula>OR($A20="Component",$A20="Pipe",$A20="Volume")</formula>
    </cfRule>
  </conditionalFormatting>
  <conditionalFormatting sqref="E20:E22">
    <cfRule type="expression" dxfId="33" priority="34">
      <formula>OR($A20="Component",$A20="Pipe",$A20="Volume")</formula>
    </cfRule>
  </conditionalFormatting>
  <conditionalFormatting sqref="I20:I22">
    <cfRule type="expression" dxfId="32" priority="33">
      <formula>OR($A20="Component",$A20="Pipe",$A20="Volume")</formula>
    </cfRule>
  </conditionalFormatting>
  <conditionalFormatting sqref="L20:L22">
    <cfRule type="expression" dxfId="31" priority="32">
      <formula>OR($A20="Component",$A20="Pipe",$A20="Volume")</formula>
    </cfRule>
  </conditionalFormatting>
  <conditionalFormatting sqref="N20:N22">
    <cfRule type="expression" dxfId="30" priority="31">
      <formula>OR($A20="Component",$A20="Pipe",$A20="Volume")</formula>
    </cfRule>
  </conditionalFormatting>
  <conditionalFormatting sqref="P20:P22">
    <cfRule type="expression" dxfId="29" priority="30">
      <formula>OR($A20="Component",$A20="Pipe",$A20="Volume")</formula>
    </cfRule>
  </conditionalFormatting>
  <conditionalFormatting sqref="R20:R22">
    <cfRule type="expression" dxfId="28" priority="29">
      <formula>OR($A20="Component",$A20="Pipe",$A20="Volume")</formula>
    </cfRule>
  </conditionalFormatting>
  <conditionalFormatting sqref="T20:T22">
    <cfRule type="expression" dxfId="27" priority="28">
      <formula>OR($A20="Component",$A20="Pipe",$A20="Volume")</formula>
    </cfRule>
  </conditionalFormatting>
  <conditionalFormatting sqref="V20:V22">
    <cfRule type="expression" dxfId="26" priority="27">
      <formula>OR($A20="Component",$A20="Pipe",$A20="Volume")</formula>
    </cfRule>
  </conditionalFormatting>
  <conditionalFormatting sqref="A23:P49">
    <cfRule type="expression" dxfId="25" priority="26">
      <formula>$A23="Pipe"</formula>
    </cfRule>
  </conditionalFormatting>
  <conditionalFormatting sqref="T23:V49">
    <cfRule type="expression" dxfId="24" priority="25">
      <formula>$A23="Pipe"</formula>
    </cfRule>
  </conditionalFormatting>
  <conditionalFormatting sqref="A23:P49">
    <cfRule type="expression" dxfId="23" priority="24">
      <formula>$A23="Volume"</formula>
    </cfRule>
  </conditionalFormatting>
  <conditionalFormatting sqref="T23:V49">
    <cfRule type="expression" dxfId="22" priority="23">
      <formula>$A23="Volume"</formula>
    </cfRule>
  </conditionalFormatting>
  <conditionalFormatting sqref="A23:V49">
    <cfRule type="expression" dxfId="21" priority="22">
      <formula>$A23="Component"</formula>
    </cfRule>
  </conditionalFormatting>
  <conditionalFormatting sqref="Q23:T49">
    <cfRule type="expression" dxfId="20" priority="21">
      <formula>OR($A23="Pipe",$A23="Volume")</formula>
    </cfRule>
  </conditionalFormatting>
  <conditionalFormatting sqref="B23:D49">
    <cfRule type="expression" dxfId="19" priority="20">
      <formula>OR($A23="Component",$A23="Pipe",$A23="Volume")</formula>
    </cfRule>
  </conditionalFormatting>
  <conditionalFormatting sqref="F23:F49">
    <cfRule type="expression" dxfId="18" priority="19">
      <formula>OR($A23="Component",$A23="Pipe",$A23="Volume")</formula>
    </cfRule>
  </conditionalFormatting>
  <conditionalFormatting sqref="H23:H49">
    <cfRule type="expression" dxfId="17" priority="18">
      <formula>OR($A23="Component",$A23="Pipe",$A23="Volume")</formula>
    </cfRule>
  </conditionalFormatting>
  <conditionalFormatting sqref="K23:K49">
    <cfRule type="expression" dxfId="16" priority="17">
      <formula>OR($A23="Component",$A23="Pipe",$A23="Volume")</formula>
    </cfRule>
  </conditionalFormatting>
  <conditionalFormatting sqref="A23:A49">
    <cfRule type="expression" dxfId="15" priority="16">
      <formula>OR($A23="Component",$A23="Pipe",$A23="Volume")</formula>
    </cfRule>
  </conditionalFormatting>
  <conditionalFormatting sqref="G23:G49">
    <cfRule type="expression" dxfId="14" priority="15">
      <formula>OR($A23="Component",$A23="Pipe",$A23="Volume")</formula>
    </cfRule>
  </conditionalFormatting>
  <conditionalFormatting sqref="J23:J49">
    <cfRule type="expression" dxfId="13" priority="14">
      <formula>OR($A23="Component",$A23="Pipe",$A23="Volume")</formula>
    </cfRule>
  </conditionalFormatting>
  <conditionalFormatting sqref="M23:M49">
    <cfRule type="expression" dxfId="12" priority="13">
      <formula>OR($A23="Component",$A23="Pipe",$A23="Volume")</formula>
    </cfRule>
  </conditionalFormatting>
  <conditionalFormatting sqref="O23:O49">
    <cfRule type="expression" dxfId="11" priority="12">
      <formula>OR($A23="Component",$A23="Pipe",$A23="Volume")</formula>
    </cfRule>
  </conditionalFormatting>
  <conditionalFormatting sqref="Q23:Q49">
    <cfRule type="expression" dxfId="10" priority="11">
      <formula>OR($A23="Component",$A23="Pipe",$A23="Volume")</formula>
    </cfRule>
  </conditionalFormatting>
  <conditionalFormatting sqref="S23:S49">
    <cfRule type="expression" dxfId="9" priority="10">
      <formula>OR($A23="Component",$A23="Pipe",$A23="Volume")</formula>
    </cfRule>
  </conditionalFormatting>
  <conditionalFormatting sqref="U23:U49">
    <cfRule type="expression" dxfId="8" priority="9">
      <formula>OR($A23="Component",$A23="Pipe",$A23="Volume")</formula>
    </cfRule>
  </conditionalFormatting>
  <conditionalFormatting sqref="E23:E49">
    <cfRule type="expression" dxfId="7" priority="8">
      <formula>OR($A23="Component",$A23="Pipe",$A23="Volume")</formula>
    </cfRule>
  </conditionalFormatting>
  <conditionalFormatting sqref="I23:I49">
    <cfRule type="expression" dxfId="6" priority="7">
      <formula>OR($A23="Component",$A23="Pipe",$A23="Volume")</formula>
    </cfRule>
  </conditionalFormatting>
  <conditionalFormatting sqref="L23:L49">
    <cfRule type="expression" dxfId="5" priority="6">
      <formula>OR($A23="Component",$A23="Pipe",$A23="Volume")</formula>
    </cfRule>
  </conditionalFormatting>
  <conditionalFormatting sqref="N23:N49">
    <cfRule type="expression" dxfId="4" priority="5">
      <formula>OR($A23="Component",$A23="Pipe",$A23="Volume")</formula>
    </cfRule>
  </conditionalFormatting>
  <conditionalFormatting sqref="P23:P49">
    <cfRule type="expression" dxfId="3" priority="4">
      <formula>OR($A23="Component",$A23="Pipe",$A23="Volume")</formula>
    </cfRule>
  </conditionalFormatting>
  <conditionalFormatting sqref="R23:R49">
    <cfRule type="expression" dxfId="2" priority="3">
      <formula>OR($A23="Component",$A23="Pipe",$A23="Volume")</formula>
    </cfRule>
  </conditionalFormatting>
  <conditionalFormatting sqref="T23:T49">
    <cfRule type="expression" dxfId="1" priority="2">
      <formula>OR($A23="Component",$A23="Pipe",$A23="Volume")</formula>
    </cfRule>
  </conditionalFormatting>
  <conditionalFormatting sqref="V23:V49">
    <cfRule type="expression" dxfId="0" priority="1">
      <formula>OR($A23="Component",$A23="Pipe",$A23="Volume")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System</vt:lpstr>
      <vt:lpstr>Blad1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2019-08-21T23:26:36Z</dcterms:modified>
</cp:coreProperties>
</file>