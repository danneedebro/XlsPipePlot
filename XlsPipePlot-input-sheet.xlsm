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3695"/>
  </bookViews>
  <sheets>
    <sheet name="SimplePretty" sheetId="9" r:id="rId1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Z47" i="9" l="1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Y47" i="9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27" i="9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Y41" i="9" s="1"/>
  <c r="Y42" i="9" s="1"/>
  <c r="Y43" i="9" s="1"/>
  <c r="X27" i="9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X41" i="9" s="1"/>
  <c r="X42" i="9" s="1"/>
  <c r="X43" i="9" s="1"/>
  <c r="Y26" i="9"/>
  <c r="X26" i="9"/>
  <c r="Z25" i="9"/>
  <c r="Z26" i="9" s="1"/>
  <c r="Z27" i="9" s="1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Z41" i="9" s="1"/>
  <c r="Z42" i="9" s="1"/>
  <c r="Z43" i="9" s="1"/>
  <c r="Y25" i="9"/>
  <c r="X25" i="9"/>
  <c r="D25" i="9"/>
  <c r="D57" i="9"/>
  <c r="D52" i="9"/>
  <c r="D47" i="9"/>
  <c r="D40" i="9"/>
  <c r="D27" i="9"/>
  <c r="D34" i="9"/>
  <c r="D55" i="9"/>
  <c r="Q57" i="9" s="1"/>
  <c r="D54" i="9"/>
  <c r="S52" i="9" s="1"/>
  <c r="D50" i="9"/>
  <c r="Q52" i="9" s="1"/>
  <c r="D49" i="9"/>
  <c r="S47" i="9"/>
  <c r="D42" i="9"/>
  <c r="S40" i="9"/>
  <c r="D38" i="9"/>
  <c r="Q40" i="9" s="1"/>
  <c r="D37" i="9"/>
  <c r="D36" i="9"/>
  <c r="S57" i="9" s="1"/>
  <c r="D32" i="9"/>
  <c r="Q47" i="9" s="1"/>
  <c r="D31" i="9"/>
  <c r="D30" i="9"/>
  <c r="D29" i="9"/>
  <c r="S27" i="9" s="1"/>
  <c r="B13" i="9"/>
  <c r="D7" i="9"/>
  <c r="B3" i="9"/>
  <c r="X46" i="9" l="1"/>
  <c r="X47" i="9" s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Q34" i="9"/>
  <c r="Q27" i="9"/>
  <c r="S34" i="9"/>
</calcChain>
</file>

<file path=xl/sharedStrings.xml><?xml version="1.0" encoding="utf-8"?>
<sst xmlns="http://schemas.openxmlformats.org/spreadsheetml/2006/main" count="117" uniqueCount="60">
  <si>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</si>
  <si>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</si>
  <si>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</si>
  <si>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</si>
  <si>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</si>
  <si>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</si>
  <si>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</si>
  <si>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</si>
  <si>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</si>
  <si>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</si>
  <si>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</si>
  <si>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</si>
  <si>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</si>
  <si>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</si>
  <si>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</si>
  <si>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</si>
  <si>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-</t>
  </si>
  <si>
    <t>Unique-ID</t>
  </si>
  <si>
    <t>Dx (m)</t>
  </si>
  <si>
    <t>Dy (m)</t>
  </si>
  <si>
    <t>Dz (m)</t>
  </si>
  <si>
    <t>Conn</t>
  </si>
  <si>
    <t>Tank</t>
  </si>
  <si>
    <t>T1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</si>
  <si>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</si>
  <si>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</si>
  <si>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</si>
  <si>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Flowpath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</si>
  <si>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</si>
  <si>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</si>
  <si>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</si>
  <si>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</si>
  <si>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</si>
  <si>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</si>
  <si>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</si>
  <si>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</si>
  <si>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</si>
  <si>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</si>
  <si>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</si>
  <si>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</si>
  <si>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</si>
  <si>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</si>
  <si>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</si>
  <si>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</si>
  <si>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</si>
  <si>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</si>
  <si>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</si>
  <si>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</si>
  <si>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</si>
  <si>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"C:\Danne\Kodning\XlsPipePlot\XlsPipePlotSource\bin\Debug\XlsPipePlot.exe"</t>
  </si>
  <si>
    <t>V1</t>
  </si>
  <si>
    <t>From Tank 1 to Tank 2</t>
  </si>
  <si>
    <t>T2</t>
  </si>
  <si>
    <t>V2</t>
  </si>
  <si>
    <t>Junction</t>
  </si>
  <si>
    <t>Conditional formatting below this line (Restore by first selecting the range you want to reset and then using the macro "ResetFormat")</t>
  </si>
  <si>
    <t>Valve bypass</t>
  </si>
  <si>
    <t>X (m)</t>
  </si>
  <si>
    <t>Y (m)</t>
  </si>
  <si>
    <t>Z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</si>
</sst>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2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19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525549</xdr:colOff>
          <xdr:row>1</xdr:row>
          <xdr:rowOff>138112</xdr:rowOff>
        </xdr:from>
        <xdr:to>
          <xdr:col>11</xdr:col>
          <xdr:colOff>601748</xdr:colOff>
          <xdr:row>3</xdr:row>
          <xdr:rowOff>61912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435341</xdr:colOff>
          <xdr:row>1</xdr:row>
          <xdr:rowOff>138112</xdr:rowOff>
        </xdr:from>
        <xdr:to>
          <xdr:col>13</xdr:col>
          <xdr:colOff>444306</xdr:colOff>
          <xdr:row>3</xdr:row>
          <xdr:rowOff>61912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277899</xdr:colOff>
          <xdr:row>1</xdr:row>
          <xdr:rowOff>138112</xdr:rowOff>
        </xdr:from>
        <xdr:to>
          <xdr:col>15</xdr:col>
          <xdr:colOff>354099</xdr:colOff>
          <xdr:row>3</xdr:row>
          <xdr:rowOff>61912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55"/>
  <sheetViews>
    <sheetView tabSelected="1" zoomScale="85" zoomScaleNormal="85" workbookViewId="0">
      <pane ySplit="4" topLeftCell="A5" activePane="bottomLeft" state="frozenSplit"/>
      <selection pane="bottomLeft" activeCell="B23" sqref="B23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31</v>
      </c>
      <c r="B1" s="10" t="s">
        <v>0</v>
      </c>
      <c r="C1" s="10" t="s">
        <v>1</v>
      </c>
      <c r="D1" s="10" t="s">
        <v>17</v>
      </c>
      <c r="E1" s="10" t="s">
        <v>29</v>
      </c>
      <c r="F1" s="10" t="s">
        <v>2</v>
      </c>
      <c r="G1" s="10" t="s">
        <v>3</v>
      </c>
      <c r="H1" s="10" t="s">
        <v>4</v>
      </c>
      <c r="I1" s="10" t="s">
        <v>24</v>
      </c>
      <c r="J1" s="10" t="s">
        <v>18</v>
      </c>
      <c r="K1" s="10" t="s">
        <v>19</v>
      </c>
      <c r="L1" s="10" t="s">
        <v>20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30</v>
      </c>
      <c r="V1" s="10" t="s">
        <v>28</v>
      </c>
      <c r="W1" s="10"/>
      <c r="X1" s="37" t="s">
        <v>57</v>
      </c>
      <c r="Y1" s="37" t="s">
        <v>58</v>
      </c>
      <c r="Z1" s="37" t="s">
        <v>59</v>
      </c>
    </row>
    <row r="2" spans="1:26" s="12" customFormat="1" x14ac:dyDescent="0.25">
      <c r="A2" s="12" t="s">
        <v>25</v>
      </c>
      <c r="B2" s="12" t="s">
        <v>47</v>
      </c>
      <c r="O2" s="13"/>
      <c r="P2" s="13"/>
      <c r="X2" s="38"/>
      <c r="Y2" s="38"/>
      <c r="Z2" s="38"/>
    </row>
    <row r="3" spans="1:26" s="12" customFormat="1" x14ac:dyDescent="0.25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x14ac:dyDescent="0.25">
      <c r="X4" s="38"/>
      <c r="Y4" s="38"/>
      <c r="Z4" s="38"/>
    </row>
    <row r="5" spans="1:26" ht="18.75" x14ac:dyDescent="0.3">
      <c r="A5" s="15" t="s">
        <v>33</v>
      </c>
      <c r="D5" s="34" t="s">
        <v>48</v>
      </c>
      <c r="O5"/>
      <c r="P5"/>
    </row>
    <row r="6" spans="1:26" x14ac:dyDescent="0.25">
      <c r="A6" s="40" t="s">
        <v>34</v>
      </c>
      <c r="B6" s="40"/>
      <c r="C6" s="40"/>
      <c r="D6" s="41" t="s">
        <v>49</v>
      </c>
      <c r="E6" s="41"/>
      <c r="F6" s="41"/>
      <c r="G6" s="41"/>
      <c r="O6"/>
      <c r="P6"/>
    </row>
    <row r="7" spans="1:26" x14ac:dyDescent="0.25">
      <c r="A7" t="s">
        <v>44</v>
      </c>
      <c r="D7" s="5" t="str">
        <f>HYPERLINK(SUBSTITUTE(D6,"XlsPipePlot.exe","Components\"))</f>
        <v>"C:\Danne\Kodning\XlsPipePlot\XlsPipePlotSource\bin\Debug\Components\"</v>
      </c>
      <c r="O7"/>
      <c r="P7"/>
    </row>
    <row r="8" spans="1:26" x14ac:dyDescent="0.25">
      <c r="A8" s="40" t="s">
        <v>35</v>
      </c>
      <c r="B8" s="40"/>
      <c r="C8" s="40"/>
      <c r="D8" s="5" t="s">
        <v>36</v>
      </c>
      <c r="O8"/>
      <c r="P8"/>
    </row>
    <row r="9" spans="1:26" x14ac:dyDescent="0.25">
      <c r="O9"/>
      <c r="P9"/>
    </row>
    <row r="10" spans="1:26" ht="18.75" x14ac:dyDescent="0.3">
      <c r="A10" s="15" t="s">
        <v>37</v>
      </c>
      <c r="O10"/>
      <c r="P10"/>
    </row>
    <row r="11" spans="1:26" x14ac:dyDescent="0.25">
      <c r="A11" t="s">
        <v>38</v>
      </c>
      <c r="O11"/>
      <c r="P11"/>
    </row>
    <row r="12" spans="1:26" ht="18" x14ac:dyDescent="0.35">
      <c r="A12" s="16" t="s">
        <v>39</v>
      </c>
      <c r="B12" s="17" t="s">
        <v>17</v>
      </c>
      <c r="C12" s="18" t="s">
        <v>40</v>
      </c>
      <c r="D12" s="19" t="s">
        <v>41</v>
      </c>
      <c r="E12" s="20" t="s">
        <v>42</v>
      </c>
      <c r="F12" s="18" t="s">
        <v>43</v>
      </c>
      <c r="O12"/>
      <c r="P12"/>
    </row>
    <row r="13" spans="1:26" x14ac:dyDescent="0.25">
      <c r="A13" s="21" t="s">
        <v>26</v>
      </c>
      <c r="B13" s="22" t="str">
        <f>D25</f>
        <v>VOL_25</v>
      </c>
      <c r="C13" s="23">
        <v>1</v>
      </c>
      <c r="D13" s="24">
        <v>0</v>
      </c>
      <c r="E13" s="25">
        <v>0</v>
      </c>
      <c r="F13" s="26">
        <v>50</v>
      </c>
      <c r="O13"/>
      <c r="P13"/>
    </row>
    <row r="14" spans="1:26" x14ac:dyDescent="0.25">
      <c r="A14" s="21"/>
      <c r="B14" s="22"/>
      <c r="C14" s="23"/>
      <c r="D14" s="24"/>
      <c r="E14" s="25"/>
      <c r="F14" s="26"/>
      <c r="O14"/>
      <c r="P14"/>
    </row>
    <row r="15" spans="1:26" x14ac:dyDescent="0.25">
      <c r="A15" s="21"/>
      <c r="B15" s="22"/>
      <c r="C15" s="23"/>
      <c r="D15" s="24"/>
      <c r="E15" s="25"/>
      <c r="F15" s="26"/>
      <c r="O15"/>
      <c r="P15"/>
    </row>
    <row r="16" spans="1:26" x14ac:dyDescent="0.25">
      <c r="A16" s="21"/>
      <c r="B16" s="22"/>
      <c r="C16" s="23"/>
      <c r="D16" s="24"/>
      <c r="E16" s="25"/>
      <c r="F16" s="26"/>
      <c r="O16"/>
      <c r="P16"/>
    </row>
    <row r="17" spans="1:26" x14ac:dyDescent="0.25">
      <c r="A17" s="21"/>
      <c r="B17" s="22"/>
      <c r="C17" s="23"/>
      <c r="D17" s="24"/>
      <c r="E17" s="25"/>
      <c r="F17" s="26"/>
      <c r="O17"/>
      <c r="P17"/>
    </row>
    <row r="18" spans="1:26" x14ac:dyDescent="0.25">
      <c r="A18" s="27"/>
      <c r="B18" s="27"/>
      <c r="C18" s="27"/>
      <c r="D18" s="28"/>
      <c r="E18" s="28"/>
      <c r="F18" s="28"/>
      <c r="O18"/>
      <c r="P18"/>
    </row>
    <row r="19" spans="1:26" x14ac:dyDescent="0.25">
      <c r="O19"/>
      <c r="P19"/>
    </row>
    <row r="20" spans="1:26" x14ac:dyDescent="0.25">
      <c r="O20"/>
      <c r="P20"/>
    </row>
    <row r="21" spans="1:26" ht="15.75" thickBot="1" x14ac:dyDescent="0.3">
      <c r="A21" s="9" t="s">
        <v>55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6" x14ac:dyDescent="0.25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6" x14ac:dyDescent="0.25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6" x14ac:dyDescent="0.25">
      <c r="A24" s="7" t="s">
        <v>27</v>
      </c>
      <c r="B24" s="7" t="s">
        <v>51</v>
      </c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5"/>
      <c r="P24" s="36"/>
      <c r="Q24" s="7"/>
      <c r="R24" s="31"/>
      <c r="S24" s="7"/>
      <c r="T24" s="31"/>
      <c r="U24" s="7"/>
      <c r="V24" s="7"/>
      <c r="Z24" s="39">
        <v>50</v>
      </c>
    </row>
    <row r="25" spans="1:26" x14ac:dyDescent="0.25">
      <c r="A25" s="7" t="s">
        <v>32</v>
      </c>
      <c r="B25" s="7" t="s">
        <v>22</v>
      </c>
      <c r="C25" s="30" t="s">
        <v>23</v>
      </c>
      <c r="D25" s="7" t="str">
        <f>CONCATENATE("VOL_",ROW())</f>
        <v>VOL_25</v>
      </c>
      <c r="E25" s="7"/>
      <c r="F25" s="31">
        <v>1.5</v>
      </c>
      <c r="G25" s="32">
        <v>-90</v>
      </c>
      <c r="H25" s="32">
        <v>0</v>
      </c>
      <c r="I25" s="32">
        <v>0</v>
      </c>
      <c r="J25" s="29">
        <v>0</v>
      </c>
      <c r="K25" s="29">
        <v>0</v>
      </c>
      <c r="L25" s="29">
        <v>0</v>
      </c>
      <c r="M25" s="33">
        <v>1000</v>
      </c>
      <c r="N25" s="33">
        <v>7</v>
      </c>
      <c r="O25" s="36">
        <v>0.8</v>
      </c>
      <c r="P25" s="36"/>
      <c r="Q25" s="7" t="s">
        <v>16</v>
      </c>
      <c r="R25" s="31"/>
      <c r="S25" s="7" t="s">
        <v>16</v>
      </c>
      <c r="T25" s="31"/>
      <c r="U25" s="7"/>
      <c r="V25" s="7"/>
      <c r="X25" s="39">
        <f t="shared" ref="X25:X43" si="0">IF(OR(A25="volume",A25="pipe",A25="junction"),X24+F25*COS(G25*PI()/180)*COS(H25*PI()/180)+J25,X24)</f>
        <v>9.1886134118146501E-17</v>
      </c>
      <c r="Y25" s="39">
        <f t="shared" ref="Y25:Y43" si="1">IF(OR(A25="volume",A25="pipe",A25="junction"),Y24+F25*COS(G25*PI()/180)*SIN(H25*PI()/180)+K25,Y24)</f>
        <v>0</v>
      </c>
      <c r="Z25" s="39">
        <f t="shared" ref="Z25:Z43" si="2">IF(OR(A25="volume",A25="pipe",A25="junction"),Z24+F25*SIN(G25*PI()/180)+L25,Z24)</f>
        <v>48.5</v>
      </c>
    </row>
    <row r="26" spans="1:26" x14ac:dyDescent="0.25">
      <c r="A26" s="7"/>
      <c r="B26" s="7"/>
      <c r="C26" s="30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36"/>
      <c r="P26" s="36"/>
      <c r="Q26" s="7"/>
      <c r="R26" s="31"/>
      <c r="S26" s="7"/>
      <c r="T26" s="31"/>
      <c r="U26" s="7"/>
      <c r="V26" s="7"/>
      <c r="X26" s="39">
        <f t="shared" si="0"/>
        <v>9.1886134118146501E-17</v>
      </c>
      <c r="Y26" s="39">
        <f t="shared" si="1"/>
        <v>0</v>
      </c>
      <c r="Z26" s="39">
        <f t="shared" si="2"/>
        <v>48.5</v>
      </c>
    </row>
    <row r="27" spans="1:26" x14ac:dyDescent="0.25">
      <c r="A27" s="7" t="s">
        <v>54</v>
      </c>
      <c r="B27" s="7" t="s">
        <v>10</v>
      </c>
      <c r="C27" s="30" t="s">
        <v>21</v>
      </c>
      <c r="D27" s="7" t="str">
        <f>CONCATENATE("JUNC_",ROW())</f>
        <v>JUNC_27</v>
      </c>
      <c r="E27" s="7"/>
      <c r="F27" s="31">
        <v>0</v>
      </c>
      <c r="G27" s="32">
        <v>0</v>
      </c>
      <c r="H27" s="32">
        <v>0</v>
      </c>
      <c r="I27" s="32">
        <v>0</v>
      </c>
      <c r="J27" s="29">
        <v>0</v>
      </c>
      <c r="K27" s="29">
        <v>0</v>
      </c>
      <c r="L27" s="29">
        <v>0</v>
      </c>
      <c r="M27" s="33">
        <v>97.93</v>
      </c>
      <c r="N27" s="33">
        <v>2.02</v>
      </c>
      <c r="O27" s="36"/>
      <c r="P27" s="36"/>
      <c r="Q27" s="7" t="str">
        <f ca="1">OFFSET($A$1,ROW()-3,3)</f>
        <v>VOL_25</v>
      </c>
      <c r="R27" s="31" t="s">
        <v>46</v>
      </c>
      <c r="S27" s="7" t="str">
        <f ca="1">OFFSET($A$1,ROW()+1,3)</f>
        <v>PIPE_29</v>
      </c>
      <c r="T27" s="31" t="s">
        <v>45</v>
      </c>
      <c r="U27" s="7"/>
      <c r="V27" s="7"/>
      <c r="X27" s="39">
        <f t="shared" si="0"/>
        <v>9.1886134118146501E-17</v>
      </c>
      <c r="Y27" s="39">
        <f t="shared" si="1"/>
        <v>0</v>
      </c>
      <c r="Z27" s="39">
        <f t="shared" si="2"/>
        <v>48.5</v>
      </c>
    </row>
    <row r="28" spans="1:26" x14ac:dyDescent="0.25">
      <c r="A28" s="7"/>
      <c r="B28" s="7"/>
      <c r="C28" s="30"/>
      <c r="D28" s="7"/>
      <c r="E28" s="7"/>
      <c r="F28" s="31"/>
      <c r="G28" s="32"/>
      <c r="H28" s="32"/>
      <c r="I28" s="32"/>
      <c r="J28" s="29"/>
      <c r="K28" s="29"/>
      <c r="L28" s="29"/>
      <c r="M28" s="33"/>
      <c r="N28" s="33"/>
      <c r="O28" s="36"/>
      <c r="P28" s="36"/>
      <c r="Q28" s="7"/>
      <c r="R28" s="31"/>
      <c r="S28" s="7"/>
      <c r="T28" s="31"/>
      <c r="U28" s="7"/>
      <c r="V28" s="7"/>
      <c r="X28" s="39">
        <f t="shared" si="0"/>
        <v>9.1886134118146501E-17</v>
      </c>
      <c r="Y28" s="39">
        <f t="shared" si="1"/>
        <v>0</v>
      </c>
      <c r="Z28" s="39">
        <f t="shared" si="2"/>
        <v>48.5</v>
      </c>
    </row>
    <row r="29" spans="1:26" x14ac:dyDescent="0.25">
      <c r="A29" s="7" t="s">
        <v>7</v>
      </c>
      <c r="B29" s="7" t="s">
        <v>7</v>
      </c>
      <c r="C29" s="30" t="s">
        <v>7</v>
      </c>
      <c r="D29" s="7" t="str">
        <f t="shared" ref="D29:D38" si="3">CONCATENATE("PIPE_",ROW())</f>
        <v>PIPE_29</v>
      </c>
      <c r="E29" s="7"/>
      <c r="F29" s="31">
        <v>0.5</v>
      </c>
      <c r="G29" s="32">
        <v>-90</v>
      </c>
      <c r="H29" s="32">
        <v>0</v>
      </c>
      <c r="I29" s="32">
        <v>0</v>
      </c>
      <c r="J29" s="29">
        <v>0</v>
      </c>
      <c r="K29" s="29">
        <v>0</v>
      </c>
      <c r="L29" s="29">
        <v>0</v>
      </c>
      <c r="M29" s="33">
        <v>100</v>
      </c>
      <c r="N29" s="33">
        <v>3.05</v>
      </c>
      <c r="O29" s="36">
        <v>1.5</v>
      </c>
      <c r="P29" s="36"/>
      <c r="Q29" s="7"/>
      <c r="R29" s="31"/>
      <c r="S29" s="7"/>
      <c r="T29" s="31"/>
      <c r="U29" s="7"/>
      <c r="V29" s="7"/>
      <c r="X29" s="39">
        <f t="shared" si="0"/>
        <v>1.22514845490862E-16</v>
      </c>
      <c r="Y29" s="39">
        <f t="shared" si="1"/>
        <v>0</v>
      </c>
      <c r="Z29" s="39">
        <f t="shared" si="2"/>
        <v>48</v>
      </c>
    </row>
    <row r="30" spans="1:26" x14ac:dyDescent="0.25">
      <c r="A30" s="7" t="s">
        <v>7</v>
      </c>
      <c r="B30" s="7" t="s">
        <v>7</v>
      </c>
      <c r="C30" s="30" t="s">
        <v>7</v>
      </c>
      <c r="D30" s="7" t="str">
        <f t="shared" si="3"/>
        <v>PIPE_30</v>
      </c>
      <c r="E30" s="7"/>
      <c r="F30" s="31">
        <v>1.5</v>
      </c>
      <c r="G30" s="32">
        <v>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  <c r="X30" s="39">
        <f t="shared" si="0"/>
        <v>1.5000000000000002</v>
      </c>
      <c r="Y30" s="39">
        <f t="shared" si="1"/>
        <v>0</v>
      </c>
      <c r="Z30" s="39">
        <f t="shared" si="2"/>
        <v>48</v>
      </c>
    </row>
    <row r="31" spans="1:26" x14ac:dyDescent="0.25">
      <c r="A31" s="7" t="s">
        <v>7</v>
      </c>
      <c r="B31" s="7" t="s">
        <v>7</v>
      </c>
      <c r="C31" s="30" t="s">
        <v>7</v>
      </c>
      <c r="D31" s="7" t="str">
        <f t="shared" si="3"/>
        <v>PIPE_31</v>
      </c>
      <c r="E31" s="7"/>
      <c r="F31" s="31">
        <v>0.6</v>
      </c>
      <c r="G31" s="32">
        <v>-90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  <c r="X31" s="39">
        <f t="shared" si="0"/>
        <v>1.5000000000000002</v>
      </c>
      <c r="Y31" s="39">
        <f t="shared" si="1"/>
        <v>0</v>
      </c>
      <c r="Z31" s="39">
        <f t="shared" si="2"/>
        <v>47.4</v>
      </c>
    </row>
    <row r="32" spans="1:26" x14ac:dyDescent="0.25">
      <c r="A32" s="7" t="s">
        <v>7</v>
      </c>
      <c r="B32" s="7" t="s">
        <v>7</v>
      </c>
      <c r="C32" s="30" t="s">
        <v>7</v>
      </c>
      <c r="D32" s="7" t="str">
        <f t="shared" si="3"/>
        <v>PIPE_32</v>
      </c>
      <c r="E32" s="7"/>
      <c r="F32" s="31">
        <v>1</v>
      </c>
      <c r="G32" s="32">
        <v>0</v>
      </c>
      <c r="H32" s="32">
        <v>270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  <c r="X32" s="39">
        <f t="shared" si="0"/>
        <v>1.5</v>
      </c>
      <c r="Y32" s="39">
        <f t="shared" si="1"/>
        <v>-1</v>
      </c>
      <c r="Z32" s="39">
        <f t="shared" si="2"/>
        <v>47.4</v>
      </c>
    </row>
    <row r="33" spans="1:26" x14ac:dyDescent="0.25">
      <c r="A33" s="7"/>
      <c r="B33" s="7"/>
      <c r="C33" s="30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36"/>
      <c r="P33" s="36"/>
      <c r="Q33" s="7"/>
      <c r="R33" s="31"/>
      <c r="S33" s="7"/>
      <c r="T33" s="31"/>
      <c r="U33" s="7"/>
      <c r="V33" s="7"/>
      <c r="X33" s="39">
        <f t="shared" si="0"/>
        <v>1.5</v>
      </c>
      <c r="Y33" s="39">
        <f t="shared" si="1"/>
        <v>-1</v>
      </c>
      <c r="Z33" s="39">
        <f t="shared" si="2"/>
        <v>47.4</v>
      </c>
    </row>
    <row r="34" spans="1:26" x14ac:dyDescent="0.25">
      <c r="A34" s="7" t="s">
        <v>54</v>
      </c>
      <c r="B34" s="7" t="s">
        <v>9</v>
      </c>
      <c r="C34" s="30" t="s">
        <v>50</v>
      </c>
      <c r="D34" s="7" t="str">
        <f>CONCATENATE("JUNC_",ROW())</f>
        <v>JUNC_34</v>
      </c>
      <c r="E34" s="7"/>
      <c r="F34" s="31">
        <v>0.2</v>
      </c>
      <c r="G34" s="32">
        <v>0</v>
      </c>
      <c r="H34" s="32">
        <v>270</v>
      </c>
      <c r="I34" s="32">
        <v>0</v>
      </c>
      <c r="J34" s="29">
        <v>0</v>
      </c>
      <c r="K34" s="29">
        <v>0</v>
      </c>
      <c r="L34" s="29">
        <v>0</v>
      </c>
      <c r="M34" s="33">
        <v>100</v>
      </c>
      <c r="N34" s="33">
        <v>3.05</v>
      </c>
      <c r="O34" s="36"/>
      <c r="P34" s="36"/>
      <c r="Q34" s="7" t="str">
        <f ca="1">OFFSET($A$1,ROW()-3,3)</f>
        <v>PIPE_32</v>
      </c>
      <c r="R34" s="31" t="s">
        <v>46</v>
      </c>
      <c r="S34" s="7" t="str">
        <f ca="1">OFFSET($A$1,ROW()+1,3)</f>
        <v>PIPE_36</v>
      </c>
      <c r="T34" s="31" t="s">
        <v>45</v>
      </c>
      <c r="U34" s="7"/>
      <c r="V34" s="7"/>
      <c r="X34" s="39">
        <f t="shared" si="0"/>
        <v>1.5</v>
      </c>
      <c r="Y34" s="39">
        <f t="shared" si="1"/>
        <v>-1.2</v>
      </c>
      <c r="Z34" s="39">
        <f t="shared" si="2"/>
        <v>47.4</v>
      </c>
    </row>
    <row r="35" spans="1:26" x14ac:dyDescent="0.25">
      <c r="A35" s="7"/>
      <c r="B35" s="7"/>
      <c r="C35" s="30"/>
      <c r="D35" s="7"/>
      <c r="E35" s="7"/>
      <c r="F35" s="31"/>
      <c r="G35" s="32"/>
      <c r="H35" s="32"/>
      <c r="I35" s="32"/>
      <c r="J35" s="29"/>
      <c r="K35" s="29"/>
      <c r="L35" s="29"/>
      <c r="M35" s="33"/>
      <c r="N35" s="33"/>
      <c r="O35" s="36"/>
      <c r="P35" s="36"/>
      <c r="Q35" s="7"/>
      <c r="R35" s="31"/>
      <c r="S35" s="7"/>
      <c r="T35" s="31"/>
      <c r="U35" s="7"/>
      <c r="V35" s="7"/>
      <c r="X35" s="39">
        <f t="shared" si="0"/>
        <v>1.5</v>
      </c>
      <c r="Y35" s="39">
        <f t="shared" si="1"/>
        <v>-1.2</v>
      </c>
      <c r="Z35" s="39">
        <f t="shared" si="2"/>
        <v>47.4</v>
      </c>
    </row>
    <row r="36" spans="1:26" x14ac:dyDescent="0.25">
      <c r="A36" s="7" t="s">
        <v>7</v>
      </c>
      <c r="B36" s="7" t="s">
        <v>7</v>
      </c>
      <c r="C36" s="30" t="s">
        <v>7</v>
      </c>
      <c r="D36" s="7" t="str">
        <f t="shared" si="3"/>
        <v>PIPE_36</v>
      </c>
      <c r="E36" s="7"/>
      <c r="F36" s="31">
        <v>1</v>
      </c>
      <c r="G36" s="32">
        <v>0</v>
      </c>
      <c r="H36" s="32">
        <v>270</v>
      </c>
      <c r="I36" s="32">
        <v>0</v>
      </c>
      <c r="J36" s="29">
        <v>0</v>
      </c>
      <c r="K36" s="29">
        <v>0</v>
      </c>
      <c r="L36" s="29">
        <v>0</v>
      </c>
      <c r="M36" s="33">
        <v>100</v>
      </c>
      <c r="N36" s="33">
        <v>3.05</v>
      </c>
      <c r="O36" s="36">
        <v>1.5</v>
      </c>
      <c r="P36" s="36"/>
      <c r="Q36" s="7"/>
      <c r="R36" s="31"/>
      <c r="S36" s="7"/>
      <c r="T36" s="31"/>
      <c r="U36" s="7"/>
      <c r="V36" s="7"/>
      <c r="X36" s="39">
        <f t="shared" si="0"/>
        <v>1.4999999999999998</v>
      </c>
      <c r="Y36" s="39">
        <f t="shared" si="1"/>
        <v>-2.2000000000000002</v>
      </c>
      <c r="Z36" s="39">
        <f t="shared" si="2"/>
        <v>47.4</v>
      </c>
    </row>
    <row r="37" spans="1:26" x14ac:dyDescent="0.25">
      <c r="A37" s="7" t="s">
        <v>7</v>
      </c>
      <c r="B37" s="7" t="s">
        <v>7</v>
      </c>
      <c r="C37" s="30" t="s">
        <v>7</v>
      </c>
      <c r="D37" s="7" t="str">
        <f t="shared" si="3"/>
        <v>PIPE_37</v>
      </c>
      <c r="E37" s="7"/>
      <c r="F37" s="31">
        <v>0.4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  <c r="X37" s="39">
        <f t="shared" si="0"/>
        <v>1.4999999999999998</v>
      </c>
      <c r="Y37" s="39">
        <f t="shared" si="1"/>
        <v>-2.2000000000000002</v>
      </c>
      <c r="Z37" s="39">
        <f t="shared" si="2"/>
        <v>47</v>
      </c>
    </row>
    <row r="38" spans="1:26" x14ac:dyDescent="0.25">
      <c r="A38" s="7" t="s">
        <v>7</v>
      </c>
      <c r="B38" s="7" t="s">
        <v>7</v>
      </c>
      <c r="C38" s="30" t="s">
        <v>7</v>
      </c>
      <c r="D38" s="7" t="str">
        <f t="shared" si="3"/>
        <v>PIPE_38</v>
      </c>
      <c r="E38" s="7"/>
      <c r="F38" s="31">
        <v>2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  <c r="X38" s="39">
        <f t="shared" si="0"/>
        <v>3.5</v>
      </c>
      <c r="Y38" s="39">
        <f t="shared" si="1"/>
        <v>-2.2000000000000002</v>
      </c>
      <c r="Z38" s="39">
        <f t="shared" si="2"/>
        <v>47</v>
      </c>
    </row>
    <row r="39" spans="1:26" x14ac:dyDescent="0.25">
      <c r="A39" s="7"/>
      <c r="B39" s="7"/>
      <c r="C39" s="30"/>
      <c r="D39" s="7"/>
      <c r="E39" s="7"/>
      <c r="F39" s="31"/>
      <c r="G39" s="32"/>
      <c r="H39" s="32"/>
      <c r="I39" s="32"/>
      <c r="J39" s="29"/>
      <c r="K39" s="29"/>
      <c r="L39" s="29"/>
      <c r="M39" s="33"/>
      <c r="N39" s="33"/>
      <c r="O39" s="36"/>
      <c r="P39" s="36"/>
      <c r="Q39" s="7"/>
      <c r="R39" s="31"/>
      <c r="S39" s="7"/>
      <c r="T39" s="31"/>
      <c r="U39" s="7"/>
      <c r="V39" s="7"/>
      <c r="X39" s="39">
        <f t="shared" si="0"/>
        <v>3.5</v>
      </c>
      <c r="Y39" s="39">
        <f t="shared" si="1"/>
        <v>-2.2000000000000002</v>
      </c>
      <c r="Z39" s="39">
        <f t="shared" si="2"/>
        <v>47</v>
      </c>
    </row>
    <row r="40" spans="1:26" x14ac:dyDescent="0.25">
      <c r="A40" s="7" t="s">
        <v>54</v>
      </c>
      <c r="B40" s="7" t="s">
        <v>10</v>
      </c>
      <c r="C40" s="30" t="s">
        <v>10</v>
      </c>
      <c r="D40" s="7" t="str">
        <f>CONCATENATE("JUNC_",ROW())</f>
        <v>JUNC_40</v>
      </c>
      <c r="E40" s="7"/>
      <c r="F40" s="31">
        <v>0</v>
      </c>
      <c r="G40" s="32">
        <v>0</v>
      </c>
      <c r="H40" s="32">
        <v>0</v>
      </c>
      <c r="I40" s="32">
        <v>0</v>
      </c>
      <c r="J40" s="29">
        <v>0</v>
      </c>
      <c r="K40" s="29">
        <v>0</v>
      </c>
      <c r="L40" s="29">
        <v>1</v>
      </c>
      <c r="M40" s="33">
        <v>0</v>
      </c>
      <c r="N40" s="33">
        <v>0</v>
      </c>
      <c r="O40" s="36"/>
      <c r="P40" s="36"/>
      <c r="Q40" s="7" t="str">
        <f ca="1">OFFSET($A$1,ROW()-3,3)</f>
        <v>PIPE_38</v>
      </c>
      <c r="R40" s="31" t="s">
        <v>46</v>
      </c>
      <c r="S40" s="7" t="str">
        <f ca="1">OFFSET($A$1,ROW()+1,3)</f>
        <v>VOL_42</v>
      </c>
      <c r="T40" s="31" t="s">
        <v>45</v>
      </c>
      <c r="U40" s="7"/>
      <c r="V40" s="7"/>
      <c r="X40" s="39">
        <f t="shared" si="0"/>
        <v>3.5</v>
      </c>
      <c r="Y40" s="39">
        <f t="shared" si="1"/>
        <v>-2.2000000000000002</v>
      </c>
      <c r="Z40" s="39">
        <f t="shared" si="2"/>
        <v>48</v>
      </c>
    </row>
    <row r="41" spans="1:26" x14ac:dyDescent="0.25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  <c r="X41" s="39">
        <f t="shared" si="0"/>
        <v>3.5</v>
      </c>
      <c r="Y41" s="39">
        <f t="shared" si="1"/>
        <v>-2.2000000000000002</v>
      </c>
      <c r="Z41" s="39">
        <f t="shared" si="2"/>
        <v>48</v>
      </c>
    </row>
    <row r="42" spans="1:26" x14ac:dyDescent="0.25">
      <c r="A42" s="7" t="s">
        <v>32</v>
      </c>
      <c r="B42" s="7" t="s">
        <v>22</v>
      </c>
      <c r="C42" s="30" t="s">
        <v>52</v>
      </c>
      <c r="D42" s="7" t="str">
        <f>CONCATENATE("VOL_",ROW())</f>
        <v>VOL_42</v>
      </c>
      <c r="E42" s="7"/>
      <c r="F42" s="31">
        <v>1.5</v>
      </c>
      <c r="G42" s="32">
        <v>-90</v>
      </c>
      <c r="H42" s="32">
        <v>0</v>
      </c>
      <c r="I42" s="32">
        <v>0</v>
      </c>
      <c r="J42" s="29">
        <v>0</v>
      </c>
      <c r="K42" s="29">
        <v>0</v>
      </c>
      <c r="L42" s="29">
        <v>0</v>
      </c>
      <c r="M42" s="33">
        <v>1000</v>
      </c>
      <c r="N42" s="33">
        <v>7</v>
      </c>
      <c r="O42" s="36">
        <v>0.8</v>
      </c>
      <c r="P42" s="36"/>
      <c r="Q42" s="7"/>
      <c r="R42" s="31"/>
      <c r="S42" s="7"/>
      <c r="T42" s="31"/>
      <c r="U42" s="7"/>
      <c r="V42" s="7"/>
      <c r="X42" s="39">
        <f t="shared" si="0"/>
        <v>3.5</v>
      </c>
      <c r="Y42" s="39">
        <f t="shared" si="1"/>
        <v>-2.2000000000000002</v>
      </c>
      <c r="Z42" s="39">
        <f t="shared" si="2"/>
        <v>46.5</v>
      </c>
    </row>
    <row r="43" spans="1:26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  <c r="X43" s="39">
        <f t="shared" si="0"/>
        <v>3.5</v>
      </c>
      <c r="Y43" s="39">
        <f t="shared" si="1"/>
        <v>-2.2000000000000002</v>
      </c>
      <c r="Z43" s="39">
        <f t="shared" si="2"/>
        <v>46.5</v>
      </c>
    </row>
    <row r="44" spans="1:26" x14ac:dyDescent="0.25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6" x14ac:dyDescent="0.25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6" x14ac:dyDescent="0.25">
      <c r="A46" s="7" t="s">
        <v>27</v>
      </c>
      <c r="B46" s="7" t="s">
        <v>56</v>
      </c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  <c r="X46" s="39">
        <f>X31</f>
        <v>1.5000000000000002</v>
      </c>
    </row>
    <row r="47" spans="1:26" x14ac:dyDescent="0.25">
      <c r="A47" s="7" t="s">
        <v>54</v>
      </c>
      <c r="B47" s="7" t="s">
        <v>10</v>
      </c>
      <c r="C47" s="30" t="s">
        <v>21</v>
      </c>
      <c r="D47" s="7" t="str">
        <f>CONCATENATE("JUNC_",ROW())</f>
        <v>JUNC_47</v>
      </c>
      <c r="E47" s="7"/>
      <c r="F47" s="31">
        <v>0</v>
      </c>
      <c r="G47" s="32">
        <v>0</v>
      </c>
      <c r="H47" s="32">
        <v>0</v>
      </c>
      <c r="I47" s="32">
        <v>0</v>
      </c>
      <c r="J47" s="29">
        <v>0</v>
      </c>
      <c r="K47" s="29">
        <v>0</v>
      </c>
      <c r="L47" s="29">
        <v>0</v>
      </c>
      <c r="M47" s="33">
        <v>97.93</v>
      </c>
      <c r="N47" s="33">
        <v>2.02</v>
      </c>
      <c r="O47" s="36"/>
      <c r="P47" s="36"/>
      <c r="Q47" s="7" t="str">
        <f>D32</f>
        <v>PIPE_32</v>
      </c>
      <c r="R47" s="31">
        <v>0.5</v>
      </c>
      <c r="S47" s="7" t="str">
        <f ca="1">OFFSET($A$1,ROW()+1,3)</f>
        <v>PIPE_49</v>
      </c>
      <c r="T47" s="31" t="s">
        <v>45</v>
      </c>
      <c r="U47" s="7"/>
      <c r="V47" s="7"/>
      <c r="X47" s="39">
        <f t="shared" ref="X47:X58" si="4">IF(OR(A47="volume",A47="pipe",A47="junction"),X46+F47*COS(G47*PI()/180)*COS(H47*PI()/180)+J47,X46)</f>
        <v>1.5000000000000002</v>
      </c>
      <c r="Y47" s="39">
        <f t="shared" ref="Y47:Y58" si="5">IF(OR(A47="volume",A47="pipe",A47="junction"),Y46+F47*COS(G47*PI()/180)*SIN(H47*PI()/180)+K47,Y46)</f>
        <v>0</v>
      </c>
      <c r="Z47" s="39">
        <f t="shared" ref="Z47:Z58" si="6">IF(OR(A47="volume",A47="pipe",A47="junction"),Z46+F47*SIN(G47*PI()/180)+L47,Z46)</f>
        <v>0</v>
      </c>
    </row>
    <row r="48" spans="1:26" x14ac:dyDescent="0.25">
      <c r="A48" s="7"/>
      <c r="B48" s="7"/>
      <c r="C48" s="30"/>
      <c r="D48" s="7"/>
      <c r="E48" s="7"/>
      <c r="F48" s="31"/>
      <c r="G48" s="32"/>
      <c r="H48" s="32"/>
      <c r="I48" s="32"/>
      <c r="J48" s="29"/>
      <c r="K48" s="29"/>
      <c r="L48" s="29"/>
      <c r="M48" s="33"/>
      <c r="N48" s="33"/>
      <c r="O48" s="36"/>
      <c r="P48" s="36"/>
      <c r="Q48" s="7"/>
      <c r="R48" s="31"/>
      <c r="S48" s="7"/>
      <c r="T48" s="31"/>
      <c r="U48" s="7"/>
      <c r="V48" s="7"/>
      <c r="X48" s="39">
        <f t="shared" si="4"/>
        <v>1.5000000000000002</v>
      </c>
      <c r="Y48" s="39">
        <f t="shared" si="5"/>
        <v>0</v>
      </c>
      <c r="Z48" s="39">
        <f t="shared" si="6"/>
        <v>0</v>
      </c>
    </row>
    <row r="49" spans="1:26" x14ac:dyDescent="0.25">
      <c r="A49" s="7" t="s">
        <v>7</v>
      </c>
      <c r="B49" s="7" t="s">
        <v>7</v>
      </c>
      <c r="C49" s="30" t="s">
        <v>7</v>
      </c>
      <c r="D49" s="7" t="str">
        <f t="shared" ref="D49:D55" si="7">CONCATENATE("PIPE_",ROW())</f>
        <v>PIPE_49</v>
      </c>
      <c r="E49" s="7"/>
      <c r="F49" s="31">
        <v>0.7</v>
      </c>
      <c r="G49" s="32">
        <v>0</v>
      </c>
      <c r="H49" s="32">
        <v>180</v>
      </c>
      <c r="I49" s="32">
        <v>0</v>
      </c>
      <c r="J49" s="29">
        <v>0</v>
      </c>
      <c r="K49" s="29">
        <v>0</v>
      </c>
      <c r="L49" s="29">
        <v>0</v>
      </c>
      <c r="M49" s="33">
        <v>100</v>
      </c>
      <c r="N49" s="33">
        <v>3.05</v>
      </c>
      <c r="O49" s="36">
        <v>1.5</v>
      </c>
      <c r="P49" s="36"/>
      <c r="Q49" s="7"/>
      <c r="R49" s="31"/>
      <c r="S49" s="7"/>
      <c r="T49" s="31"/>
      <c r="U49" s="7"/>
      <c r="V49" s="7"/>
      <c r="X49" s="39">
        <f t="shared" si="4"/>
        <v>0.80000000000000027</v>
      </c>
      <c r="Y49" s="39">
        <f t="shared" si="5"/>
        <v>8.5760391843603401E-17</v>
      </c>
      <c r="Z49" s="39">
        <f t="shared" si="6"/>
        <v>0</v>
      </c>
    </row>
    <row r="50" spans="1:26" x14ac:dyDescent="0.25">
      <c r="A50" s="7" t="s">
        <v>7</v>
      </c>
      <c r="B50" s="7" t="s">
        <v>7</v>
      </c>
      <c r="C50" s="30" t="s">
        <v>7</v>
      </c>
      <c r="D50" s="7" t="str">
        <f t="shared" si="7"/>
        <v>PIPE_50</v>
      </c>
      <c r="E50" s="7"/>
      <c r="F50" s="31">
        <v>0.5</v>
      </c>
      <c r="G50" s="32">
        <v>0</v>
      </c>
      <c r="H50" s="32">
        <v>270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  <c r="X50" s="39">
        <f t="shared" si="4"/>
        <v>0.80000000000000016</v>
      </c>
      <c r="Y50" s="39">
        <f t="shared" si="5"/>
        <v>-0.49999999999999989</v>
      </c>
      <c r="Z50" s="39">
        <f t="shared" si="6"/>
        <v>0</v>
      </c>
    </row>
    <row r="51" spans="1:26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  <c r="X51" s="39">
        <f t="shared" si="4"/>
        <v>0.80000000000000016</v>
      </c>
      <c r="Y51" s="39">
        <f t="shared" si="5"/>
        <v>-0.49999999999999989</v>
      </c>
      <c r="Z51" s="39">
        <f t="shared" si="6"/>
        <v>0</v>
      </c>
    </row>
    <row r="52" spans="1:26" x14ac:dyDescent="0.25">
      <c r="A52" s="7" t="s">
        <v>54</v>
      </c>
      <c r="B52" s="7" t="s">
        <v>9</v>
      </c>
      <c r="C52" s="30" t="s">
        <v>53</v>
      </c>
      <c r="D52" s="7" t="str">
        <f>CONCATENATE("JUNC_",ROW())</f>
        <v>JUNC_52</v>
      </c>
      <c r="E52" s="7"/>
      <c r="F52" s="31">
        <v>0.2</v>
      </c>
      <c r="G52" s="32">
        <v>0</v>
      </c>
      <c r="H52" s="32">
        <v>270</v>
      </c>
      <c r="I52" s="32">
        <v>0</v>
      </c>
      <c r="J52" s="29">
        <v>0</v>
      </c>
      <c r="K52" s="29">
        <v>0</v>
      </c>
      <c r="L52" s="29">
        <v>0</v>
      </c>
      <c r="M52" s="33">
        <v>100</v>
      </c>
      <c r="N52" s="33">
        <v>3.05</v>
      </c>
      <c r="O52" s="36"/>
      <c r="P52" s="36"/>
      <c r="Q52" s="7" t="str">
        <f ca="1">OFFSET($A$1,ROW()-3,3)</f>
        <v>PIPE_50</v>
      </c>
      <c r="R52" s="31" t="s">
        <v>46</v>
      </c>
      <c r="S52" s="7" t="str">
        <f ca="1">OFFSET($A$1,ROW()+1,3)</f>
        <v>PIPE_54</v>
      </c>
      <c r="T52" s="31" t="s">
        <v>45</v>
      </c>
      <c r="U52" s="7"/>
      <c r="V52" s="7"/>
      <c r="X52" s="39">
        <f t="shared" si="4"/>
        <v>0.80000000000000016</v>
      </c>
      <c r="Y52" s="39">
        <f t="shared" si="5"/>
        <v>-0.7</v>
      </c>
      <c r="Z52" s="39">
        <f t="shared" si="6"/>
        <v>0</v>
      </c>
    </row>
    <row r="53" spans="1:26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  <c r="X53" s="39">
        <f t="shared" si="4"/>
        <v>0.80000000000000016</v>
      </c>
      <c r="Y53" s="39">
        <f t="shared" si="5"/>
        <v>-0.7</v>
      </c>
      <c r="Z53" s="39">
        <f t="shared" si="6"/>
        <v>0</v>
      </c>
    </row>
    <row r="54" spans="1:26" x14ac:dyDescent="0.25">
      <c r="A54" s="7" t="s">
        <v>7</v>
      </c>
      <c r="B54" s="7" t="s">
        <v>7</v>
      </c>
      <c r="C54" s="30" t="s">
        <v>7</v>
      </c>
      <c r="D54" s="7" t="str">
        <f t="shared" si="7"/>
        <v>PIPE_54</v>
      </c>
      <c r="E54" s="7"/>
      <c r="F54" s="31">
        <v>0.5</v>
      </c>
      <c r="G54" s="32">
        <v>0</v>
      </c>
      <c r="H54" s="32">
        <v>270</v>
      </c>
      <c r="I54" s="32">
        <v>0</v>
      </c>
      <c r="J54" s="29">
        <v>0</v>
      </c>
      <c r="K54" s="29">
        <v>0</v>
      </c>
      <c r="L54" s="29">
        <v>0</v>
      </c>
      <c r="M54" s="33">
        <v>100</v>
      </c>
      <c r="N54" s="33">
        <v>3.05</v>
      </c>
      <c r="O54" s="36">
        <v>1.5</v>
      </c>
      <c r="P54" s="36"/>
      <c r="Q54" s="7"/>
      <c r="R54" s="31"/>
      <c r="S54" s="7"/>
      <c r="T54" s="31"/>
      <c r="U54" s="7"/>
      <c r="V54" s="7"/>
      <c r="X54" s="39">
        <f t="shared" si="4"/>
        <v>0.8</v>
      </c>
      <c r="Y54" s="39">
        <f t="shared" si="5"/>
        <v>-1.2</v>
      </c>
      <c r="Z54" s="39">
        <f t="shared" si="6"/>
        <v>0</v>
      </c>
    </row>
    <row r="55" spans="1:26" x14ac:dyDescent="0.25">
      <c r="A55" s="7" t="s">
        <v>7</v>
      </c>
      <c r="B55" s="7" t="s">
        <v>7</v>
      </c>
      <c r="C55" s="30" t="s">
        <v>7</v>
      </c>
      <c r="D55" s="7" t="str">
        <f t="shared" si="7"/>
        <v>PIPE_55</v>
      </c>
      <c r="E55" s="7"/>
      <c r="F55" s="31">
        <v>0.7</v>
      </c>
      <c r="G55" s="32">
        <v>0</v>
      </c>
      <c r="H55" s="32">
        <v>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  <c r="X55" s="39">
        <f t="shared" si="4"/>
        <v>1.5</v>
      </c>
      <c r="Y55" s="39">
        <f t="shared" si="5"/>
        <v>-1.2</v>
      </c>
      <c r="Z55" s="39">
        <f t="shared" si="6"/>
        <v>0</v>
      </c>
    </row>
    <row r="56" spans="1:26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  <c r="X56" s="39">
        <f t="shared" si="4"/>
        <v>1.5</v>
      </c>
      <c r="Y56" s="39">
        <f t="shared" si="5"/>
        <v>-1.2</v>
      </c>
      <c r="Z56" s="39">
        <f t="shared" si="6"/>
        <v>0</v>
      </c>
    </row>
    <row r="57" spans="1:26" x14ac:dyDescent="0.25">
      <c r="A57" s="7" t="s">
        <v>54</v>
      </c>
      <c r="B57" s="7" t="s">
        <v>10</v>
      </c>
      <c r="C57" s="30" t="s">
        <v>21</v>
      </c>
      <c r="D57" s="7" t="str">
        <f>CONCATENATE("JUNC_",ROW())</f>
        <v>JUNC_57</v>
      </c>
      <c r="E57" s="7"/>
      <c r="F57" s="31">
        <v>0</v>
      </c>
      <c r="G57" s="32">
        <v>0</v>
      </c>
      <c r="H57" s="32">
        <v>0</v>
      </c>
      <c r="I57" s="32">
        <v>0</v>
      </c>
      <c r="J57" s="29">
        <v>0</v>
      </c>
      <c r="K57" s="29">
        <v>0</v>
      </c>
      <c r="L57" s="29">
        <v>0</v>
      </c>
      <c r="M57" s="33">
        <v>97.93</v>
      </c>
      <c r="N57" s="33">
        <v>2.02</v>
      </c>
      <c r="O57" s="36"/>
      <c r="P57" s="36"/>
      <c r="Q57" s="7" t="str">
        <f ca="1">OFFSET($A$1,ROW()-3,3)</f>
        <v>PIPE_55</v>
      </c>
      <c r="R57" s="31" t="s">
        <v>46</v>
      </c>
      <c r="S57" s="7" t="str">
        <f>D36</f>
        <v>PIPE_36</v>
      </c>
      <c r="T57" s="31">
        <v>0.5</v>
      </c>
      <c r="U57" s="7"/>
      <c r="V57" s="7"/>
      <c r="X57" s="39">
        <f t="shared" si="4"/>
        <v>1.5</v>
      </c>
      <c r="Y57" s="39">
        <f t="shared" si="5"/>
        <v>-1.2</v>
      </c>
      <c r="Z57" s="39">
        <f t="shared" si="6"/>
        <v>0</v>
      </c>
    </row>
    <row r="58" spans="1:26" x14ac:dyDescent="0.25">
      <c r="A58" s="7"/>
      <c r="B58" s="7"/>
      <c r="C58" s="30"/>
      <c r="D58" s="7"/>
      <c r="E58" s="7"/>
      <c r="F58" s="31"/>
      <c r="G58" s="32"/>
      <c r="H58" s="32"/>
      <c r="I58" s="32"/>
      <c r="J58" s="29"/>
      <c r="K58" s="29"/>
      <c r="L58" s="29"/>
      <c r="M58" s="33"/>
      <c r="N58" s="33"/>
      <c r="O58" s="36"/>
      <c r="P58" s="36"/>
      <c r="Q58" s="7"/>
      <c r="R58" s="31"/>
      <c r="S58" s="7"/>
      <c r="T58" s="31"/>
      <c r="U58" s="7"/>
      <c r="V58" s="7"/>
      <c r="X58" s="39">
        <f t="shared" si="4"/>
        <v>1.5</v>
      </c>
      <c r="Y58" s="39">
        <f t="shared" si="5"/>
        <v>-1.2</v>
      </c>
      <c r="Z58" s="39">
        <f t="shared" si="6"/>
        <v>0</v>
      </c>
    </row>
    <row r="59" spans="1:26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6" x14ac:dyDescent="0.25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6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6" x14ac:dyDescent="0.25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6" x14ac:dyDescent="0.25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6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1:22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1:22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1:22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1:22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1:22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1:22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1:22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  <row r="355" spans="3:20" x14ac:dyDescent="0.25">
      <c r="C355" s="6"/>
      <c r="F355" s="1"/>
      <c r="G355" s="2"/>
      <c r="H355" s="2"/>
      <c r="I355" s="2"/>
      <c r="J355" s="4"/>
      <c r="K355" s="4"/>
      <c r="L355" s="4"/>
      <c r="M355" s="3"/>
      <c r="N355" s="3"/>
      <c r="R355" s="1"/>
      <c r="T355" s="1"/>
    </row>
  </sheetData>
  <mergeCells count="3">
    <mergeCell ref="A6:C6"/>
    <mergeCell ref="D6:G6"/>
    <mergeCell ref="A8:C8"/>
  </mergeCells>
  <conditionalFormatting sqref="M16">
    <cfRule type="expression" dxfId="18" priority="39" stopIfTrue="1">
      <formula>$A16="Pipe"</formula>
    </cfRule>
  </conditionalFormatting>
  <conditionalFormatting sqref="Q201:Q355 S201:S355 J201:J355 U201:U355 A201:A355 O201:O355 M201:M355">
    <cfRule type="expression" dxfId="17" priority="36">
      <formula>OR($A201="Pipe",$A201="Component",$A201="Volume")</formula>
    </cfRule>
  </conditionalFormatting>
  <conditionalFormatting sqref="T201:T355 R201:R355 E201:E355 L201:L355 P201:P355 V201:V355 N201:N355 I201:I355">
    <cfRule type="expression" dxfId="16" priority="37">
      <formula>OR($A201="Pipe",$A201="Component",$A201="Volume")</formula>
    </cfRule>
  </conditionalFormatting>
  <conditionalFormatting sqref="K201:K355 B201:D355 G201:H355">
    <cfRule type="expression" dxfId="15" priority="35">
      <formula>OR($A201="Pipe",$A201="Component",$A201="Volume")</formula>
    </cfRule>
  </conditionalFormatting>
  <conditionalFormatting sqref="U201:V355 A201:P355">
    <cfRule type="expression" dxfId="14" priority="34">
      <formula>$A201="Pipe"</formula>
    </cfRule>
  </conditionalFormatting>
  <conditionalFormatting sqref="Q201:T355">
    <cfRule type="expression" dxfId="13" priority="33">
      <formula>OR($A201="Volume",$A201="Pipe")</formula>
    </cfRule>
  </conditionalFormatting>
  <conditionalFormatting sqref="A201:V355">
    <cfRule type="expression" dxfId="12" priority="32">
      <formula>$A201="Component"</formula>
    </cfRule>
  </conditionalFormatting>
  <conditionalFormatting sqref="U201:V355 A201:P355">
    <cfRule type="expression" dxfId="11" priority="31">
      <formula>$A201="Volume"</formula>
    </cfRule>
  </conditionalFormatting>
  <conditionalFormatting sqref="J201:L355">
    <cfRule type="cellIs" dxfId="10" priority="30" operator="notEqual">
      <formula>0</formula>
    </cfRule>
  </conditionalFormatting>
  <conditionalFormatting sqref="F201:F355">
    <cfRule type="expression" dxfId="9" priority="38">
      <formula>OR($A201="Pipe",$A201="Component",$A201="Volume")</formula>
    </cfRule>
  </conditionalFormatting>
  <conditionalFormatting sqref="A22:P200 T22:V200">
    <cfRule type="expression" dxfId="8" priority="27">
      <formula>$A22="Volume"</formula>
    </cfRule>
    <cfRule type="expression" dxfId="7" priority="29">
      <formula>$A22="Pipe"</formula>
    </cfRule>
  </conditionalFormatting>
  <conditionalFormatting sqref="A22:V200">
    <cfRule type="expression" dxfId="6" priority="25">
      <formula>$A22="Junction"</formula>
    </cfRule>
  </conditionalFormatting>
  <conditionalFormatting sqref="Q22:T200">
    <cfRule type="expression" dxfId="5" priority="24">
      <formula>OR($A22="Pipe",$A22="Volume")</formula>
    </cfRule>
  </conditionalFormatting>
  <conditionalFormatting sqref="J22:L200">
    <cfRule type="expression" dxfId="4" priority="23">
      <formula>AND(OR($A22="Junction",$A22="Pipe",$A22="Volume"),J22&lt;&gt;0)</formula>
    </cfRule>
  </conditionalFormatting>
  <conditionalFormatting sqref="R22:R200 T22:T200">
    <cfRule type="expression" dxfId="3" priority="22">
      <formula>AND($A22="Junction",ISNUMBER(R22))</formula>
    </cfRule>
  </conditionalFormatting>
  <conditionalFormatting sqref="B22:D200 F22:F200 H22:H200 K22:K200">
    <cfRule type="expression" dxfId="2" priority="20">
      <formula>OR($A22="Junction",$A22="Pipe",$A22="Volume")</formula>
    </cfRule>
  </conditionalFormatting>
  <conditionalFormatting sqref="A22:A200 G22:G200 J22:J200 M22:M200 O22:O200 Q22:Q200 S22:S200 U22:U200">
    <cfRule type="expression" dxfId="1" priority="16">
      <formula>OR($A22="Junction",$A22="Pipe",$A22="Volume")</formula>
    </cfRule>
  </conditionalFormatting>
  <conditionalFormatting sqref="E22:E200 I22:I200 L22:L200 N22:N200 P22:P200 R22:R200 T22:T200 V22:V200">
    <cfRule type="expression" dxfId="0" priority="8">
      <formula>OR($A22="Junction",$A22="Pipe",$A22="Volume")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"""C:\Danne\Kodning\XlsPipePlot\XlsPipePlotSource\bin\Debug\XlsPipePlot.exe""",C:\ProgramLocal\XlsPipePlot\XlsPipePlot.exe,"""C:\Users\Danne\Dropbox\Programmering\XlsPipePlot\XlsPipePlot\bin\Debug\XlsPipePlot.exe"""</x12ac:list>
        </mc:Choice>
        <mc:Fallback>
          <formula1>"""C:\Danne\Kodning\XlsPipePlot\XlsPipePlotSource\bin\Debug\XlsPipePlot.exe"",C:\ProgramLocal\XlsPipePlot\XlsPipePlot.exe,""C:\Users\Danne\Dropbox\Programmering\XlsPipePlot\XlsPipePlot\bin\Debug\XlsPipePlot.exe"""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SimplePretty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2019-07-12T20:23:23Z</dcterms:created>
  <dcterms:modified xsi:type="dcterms:W3CDTF">2019-08-27T20:51:16Z</dcterms:modified>
</cp:coreProperties>
</file>