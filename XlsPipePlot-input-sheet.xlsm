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ropbox\Programmering\PipePlot\"/>
    </mc:Choice>
  </mc:AlternateContent>
  <xr:revisionPtr revIDLastSave="0" documentId="13_ncr:1_{6E63E3D1-9062-4F94-96A6-E37053172BFB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Tank system" sheetId="1" r:id="rId1"/>
    <sheet name="Laddningspumpar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8" i="4" l="1"/>
  <c r="O115" i="4"/>
  <c r="O106" i="4"/>
  <c r="M106" i="4" l="1"/>
  <c r="B123" i="4"/>
  <c r="J121" i="4"/>
  <c r="O121" i="4"/>
  <c r="M121" i="4"/>
  <c r="B121" i="4"/>
  <c r="J119" i="4"/>
  <c r="B119" i="4"/>
  <c r="C118" i="4"/>
  <c r="J118" i="4"/>
  <c r="C117" i="4"/>
  <c r="J117" i="4"/>
  <c r="B117" i="4"/>
  <c r="J115" i="4"/>
  <c r="M115" i="4"/>
  <c r="B115" i="4"/>
  <c r="C113" i="4"/>
  <c r="J113" i="4"/>
  <c r="B113" i="4"/>
  <c r="J112" i="4"/>
  <c r="B112" i="4"/>
  <c r="J111" i="4"/>
  <c r="B111" i="4"/>
  <c r="J110" i="4"/>
  <c r="B110" i="4"/>
  <c r="J109" i="4"/>
  <c r="B109" i="4"/>
  <c r="J108" i="4"/>
  <c r="B108" i="4"/>
  <c r="J106" i="4"/>
  <c r="B106" i="4"/>
  <c r="O101" i="4"/>
  <c r="M101" i="4"/>
  <c r="B101" i="4"/>
  <c r="B99" i="4"/>
  <c r="C98" i="4"/>
  <c r="B98" i="4"/>
  <c r="O96" i="4" s="1"/>
  <c r="M96" i="4"/>
  <c r="B96" i="4"/>
  <c r="C94" i="4"/>
  <c r="B94" i="4"/>
  <c r="C93" i="4"/>
  <c r="B93" i="4"/>
  <c r="O91" i="4" s="1"/>
  <c r="M91" i="4"/>
  <c r="B91" i="4"/>
  <c r="C89" i="4"/>
  <c r="O53" i="4"/>
  <c r="B89" i="4"/>
  <c r="O87" i="4" s="1"/>
  <c r="M87" i="4"/>
  <c r="B87" i="4"/>
  <c r="C85" i="4"/>
  <c r="B85" i="4"/>
  <c r="C84" i="4"/>
  <c r="B84" i="4"/>
  <c r="C83" i="4"/>
  <c r="B83" i="4"/>
  <c r="O81" i="4" s="1"/>
  <c r="M81" i="4"/>
  <c r="B81" i="4"/>
  <c r="C79" i="4"/>
  <c r="B79" i="4"/>
  <c r="O77" i="4" s="1"/>
  <c r="M77" i="4"/>
  <c r="B77" i="4"/>
  <c r="C75" i="4"/>
  <c r="B75" i="4"/>
  <c r="C74" i="4"/>
  <c r="B74" i="4"/>
  <c r="O72" i="4"/>
  <c r="M72" i="4"/>
  <c r="B72" i="4"/>
  <c r="O70" i="4"/>
  <c r="M70" i="4"/>
  <c r="B70" i="4"/>
  <c r="O68" i="4"/>
  <c r="M68" i="4"/>
  <c r="B68" i="4"/>
  <c r="C66" i="4"/>
  <c r="B66" i="4"/>
  <c r="B65" i="4"/>
  <c r="C64" i="4"/>
  <c r="B64" i="4"/>
  <c r="O62" i="4" s="1"/>
  <c r="M62" i="4"/>
  <c r="B62" i="4"/>
  <c r="B60" i="4"/>
  <c r="B59" i="4"/>
  <c r="B58" i="4"/>
  <c r="B57" i="4"/>
  <c r="M53" i="4"/>
  <c r="B53" i="4"/>
  <c r="B51" i="4"/>
  <c r="D50" i="4"/>
  <c r="C50" i="4"/>
  <c r="B50" i="4"/>
  <c r="B49" i="4"/>
  <c r="B48" i="4"/>
  <c r="B47" i="4"/>
  <c r="E46" i="4"/>
  <c r="B46" i="4"/>
  <c r="C45" i="4"/>
  <c r="B45" i="4"/>
  <c r="B44" i="4"/>
  <c r="O42" i="4" s="1"/>
  <c r="M42" i="4"/>
  <c r="B42" i="4"/>
  <c r="C40" i="4"/>
  <c r="B40" i="4"/>
  <c r="C39" i="4"/>
  <c r="B39" i="4"/>
  <c r="O37" i="4" s="1"/>
  <c r="B37" i="4"/>
  <c r="O35" i="4" s="1"/>
  <c r="B35" i="4"/>
  <c r="M37" i="4" s="1"/>
  <c r="O33" i="4"/>
  <c r="M33" i="4"/>
  <c r="B33" i="4"/>
  <c r="M35" i="4" s="1"/>
  <c r="B31" i="4"/>
  <c r="O29" i="4"/>
  <c r="M29" i="4"/>
  <c r="B29" i="4"/>
  <c r="O27" i="4" s="1"/>
  <c r="M27" i="4"/>
  <c r="B27" i="4"/>
  <c r="O25" i="4" s="1"/>
  <c r="M25" i="4"/>
  <c r="B25" i="4"/>
  <c r="C23" i="4"/>
  <c r="B23" i="4"/>
  <c r="B22" i="4"/>
  <c r="B21" i="4"/>
  <c r="E19" i="4"/>
  <c r="B20" i="4"/>
  <c r="B19" i="4"/>
  <c r="B18" i="4"/>
  <c r="O16" i="4" s="1"/>
  <c r="B16" i="4"/>
  <c r="B14" i="4"/>
  <c r="M16" i="4" s="1"/>
  <c r="M47" i="1"/>
  <c r="B9" i="4" l="1"/>
  <c r="B18" i="1"/>
  <c r="B45" i="1"/>
  <c r="B50" i="1"/>
  <c r="M52" i="1" s="1"/>
  <c r="B52" i="1"/>
  <c r="B49" i="1"/>
  <c r="O47" i="1" s="1"/>
  <c r="B47" i="1"/>
  <c r="B44" i="1"/>
  <c r="O42" i="1"/>
  <c r="B42" i="1"/>
  <c r="B35" i="1"/>
  <c r="O33" i="1" s="1"/>
  <c r="B33" i="1"/>
  <c r="B31" i="1"/>
  <c r="B30" i="1"/>
  <c r="B29" i="1"/>
  <c r="B28" i="1"/>
  <c r="B21" i="1"/>
  <c r="M42" i="1" s="1"/>
  <c r="B20" i="1"/>
  <c r="B22" i="1"/>
  <c r="M24" i="1" s="1"/>
  <c r="B19" i="1"/>
  <c r="O16" i="1" s="1"/>
  <c r="B14" i="1"/>
  <c r="B16" i="1"/>
  <c r="B27" i="1"/>
  <c r="O52" i="1" s="1"/>
  <c r="B26" i="1"/>
  <c r="O24" i="1" s="1"/>
  <c r="B24" i="1"/>
  <c r="M16" i="1" l="1"/>
  <c r="B9" i="1"/>
  <c r="M33" i="1"/>
</calcChain>
</file>

<file path=xl/sharedStrings.xml><?xml version="1.0" encoding="utf-8"?>
<sst xmlns="http://schemas.openxmlformats.org/spreadsheetml/2006/main" count="522" uniqueCount="57">
  <si>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</si>
  <si>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</si>
  <si>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</si>
  <si>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</si>
  <si>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</si>
  <si>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</si>
  <si>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</si>
  <si>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</si>
  <si>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</si>
  <si>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</si>
  <si>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</si>
  <si>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</si>
  <si>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</si>
  <si>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</si>
  <si>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</si>
  <si>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</si>
  <si>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</si>
  <si>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</si>
  <si>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</si>
  <si>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</si>
  <si>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</si>
  <si>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</si>
  <si>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</si>
  <si>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</si>
  <si>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</si>
  <si>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t>T2</t>
  </si>
  <si>
    <t>V2</t>
  </si>
  <si>
    <t>V1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</si>
  <si>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</si>
  <si>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</si>
  <si>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Apa.txt</t>
  </si>
  <si>
    <t>Out5.scad</t>
  </si>
  <si>
    <t>Refvol</t>
  </si>
  <si>
    <t>Flowpath</t>
  </si>
  <si>
    <t>From Tank T1 via valve V1 to tank T2</t>
  </si>
  <si>
    <t>Bypass over valve V1 via valve V2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</si>
  <si>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</si>
  <si>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</si>
  <si>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</si>
  <si>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</si>
  <si>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</si>
  <si>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</si>
  <si>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</si>
  <si>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</si>
  <si>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</si>
  <si>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Tee</t>
  </si>
  <si>
    <t>V8128A</t>
  </si>
  <si>
    <t>Tee from CS-19-1 at node 2</t>
  </si>
  <si>
    <t>V8128B</t>
  </si>
  <si>
    <t>Tee against CS-4 at node 2</t>
  </si>
  <si>
    <t>LCV115D</t>
  </si>
  <si>
    <t>Towards charging pump 2</t>
  </si>
  <si>
    <t>gh</t>
  </si>
  <si>
    <t>sd Tee avluftning nod 2</t>
  </si>
  <si>
    <t>Tee towards CS-3 at node 2</t>
  </si>
  <si>
    <t>Notes</t>
  </si>
  <si>
    <t>V8471B.scad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</si>
</sst>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\°"/>
    <numFmt numFmtId="165" formatCode="0.000\ \m"/>
    <numFmt numFmtId="166" formatCode="0.00\ \m\m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 applyAlignment="1">
      <alignment vertical="top"/>
    </xf>
    <xf numFmtId="2" fontId="0" fillId="0" borderId="0" xfId="0" applyNumberFormat="1"/>
    <xf numFmtId="0" fontId="1" fillId="2" borderId="1" xfId="1"/>
    <xf numFmtId="0" fontId="2" fillId="0" borderId="0" xfId="0" applyFont="1" applyFill="1" applyBorder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4" fillId="0" borderId="0" xfId="0" applyNumberFormat="1" applyFont="1"/>
    <xf numFmtId="0" fontId="6" fillId="0" borderId="0" xfId="2"/>
  </cellXfs>
  <cellStyles count="3">
    <cellStyle name="Hyperlänk" xfId="2" builtinId="8"/>
    <cellStyle name="Indata" xfId="1" builtinId="20"/>
    <cellStyle name="Normal" xfId="0" builtinId="0"/>
  </cellStyles>
  <dxfs count="20"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</xdr:colOff>
          <xdr:row>3</xdr:row>
          <xdr:rowOff>15240</xdr:rowOff>
        </xdr:from>
        <xdr:to>
          <xdr:col>3</xdr:col>
          <xdr:colOff>182880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1</xdr:row>
          <xdr:rowOff>68580</xdr:rowOff>
        </xdr:from>
        <xdr:to>
          <xdr:col>7</xdr:col>
          <xdr:colOff>426720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4</xdr:row>
          <xdr:rowOff>38100</xdr:rowOff>
        </xdr:from>
        <xdr:to>
          <xdr:col>6</xdr:col>
          <xdr:colOff>167640</xdr:colOff>
          <xdr:row>6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</xdr:row>
          <xdr:rowOff>160020</xdr:rowOff>
        </xdr:from>
        <xdr:to>
          <xdr:col>11</xdr:col>
          <xdr:colOff>396240</xdr:colOff>
          <xdr:row>3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1</xdr:row>
          <xdr:rowOff>68580</xdr:rowOff>
        </xdr:from>
        <xdr:to>
          <xdr:col>7</xdr:col>
          <xdr:colOff>426720</xdr:colOff>
          <xdr:row>3</xdr:row>
          <xdr:rowOff>60960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83820</xdr:rowOff>
        </xdr:from>
        <xdr:to>
          <xdr:col>5</xdr:col>
          <xdr:colOff>350520</xdr:colOff>
          <xdr:row>4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X189"/>
  <sheetViews>
    <sheetView zoomScale="85" zoomScaleNormal="85" workbookViewId="0">
      <selection activeCell="M45" sqref="M45"/>
    </sheetView>
  </sheetViews>
  <sheetFormatPr defaultRowHeight="14.4" x14ac:dyDescent="0.3"/>
  <cols>
    <col min="1" max="1" width="12.109375" customWidth="1"/>
    <col min="2" max="2" width="10.44140625" customWidth="1"/>
    <col min="3" max="3" width="12.5546875" customWidth="1"/>
    <col min="4" max="9" width="10.44140625" customWidth="1"/>
    <col min="10" max="10" width="11.44140625" customWidth="1"/>
    <col min="11" max="15" width="10.44140625" customWidth="1"/>
  </cols>
  <sheetData>
    <row r="1" spans="1:22" ht="15.6" x14ac:dyDescent="0.3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28</v>
      </c>
      <c r="G1" s="1" t="s">
        <v>19</v>
      </c>
      <c r="H1" s="1" t="s">
        <v>20</v>
      </c>
      <c r="I1" s="1" t="s">
        <v>21</v>
      </c>
      <c r="J1" s="1" t="s">
        <v>8</v>
      </c>
      <c r="K1" s="1" t="s">
        <v>16</v>
      </c>
      <c r="L1" s="1" t="s">
        <v>1</v>
      </c>
      <c r="M1" s="1" t="s">
        <v>12</v>
      </c>
      <c r="N1" s="1" t="s">
        <v>15</v>
      </c>
      <c r="O1" s="1" t="s">
        <v>13</v>
      </c>
      <c r="P1" s="1" t="s">
        <v>14</v>
      </c>
      <c r="Q1" s="1" t="s">
        <v>5</v>
      </c>
      <c r="R1" s="1" t="s">
        <v>6</v>
      </c>
      <c r="S1" s="1"/>
      <c r="U1" s="1"/>
      <c r="V1" s="1"/>
    </row>
    <row r="2" spans="1:22" x14ac:dyDescent="0.3">
      <c r="A2" t="s">
        <v>29</v>
      </c>
      <c r="B2" t="s">
        <v>30</v>
      </c>
    </row>
    <row r="3" spans="1:22" x14ac:dyDescent="0.3">
      <c r="B3" s="9" t="s">
        <v>31</v>
      </c>
    </row>
    <row r="5" spans="1:2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2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22" x14ac:dyDescent="0.3">
      <c r="A9" s="3" t="s">
        <v>32</v>
      </c>
      <c r="B9" s="3" t="str">
        <f>B14</f>
        <v>TANK_14</v>
      </c>
      <c r="C9" s="3">
        <v>1</v>
      </c>
      <c r="D9" s="3">
        <v>0</v>
      </c>
      <c r="E9" s="3">
        <v>0</v>
      </c>
      <c r="F9" s="3">
        <v>50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22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22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2" x14ac:dyDescent="0.3">
      <c r="A13" t="s">
        <v>33</v>
      </c>
      <c r="B13" t="s">
        <v>34</v>
      </c>
      <c r="C13" s="5"/>
      <c r="D13" s="6"/>
      <c r="E13" s="6"/>
      <c r="F13" s="6"/>
      <c r="G13" s="8"/>
      <c r="H13" s="8"/>
      <c r="I13" s="8"/>
      <c r="J13" s="7"/>
      <c r="K13" s="7"/>
      <c r="L13" s="4"/>
    </row>
    <row r="14" spans="1:22" x14ac:dyDescent="0.3">
      <c r="A14" t="s">
        <v>23</v>
      </c>
      <c r="B14" t="str">
        <f>CONCATENATE("TANK_",ROW())</f>
        <v>TANK_14</v>
      </c>
      <c r="C14" s="5">
        <v>2</v>
      </c>
      <c r="D14" s="6">
        <v>-90</v>
      </c>
      <c r="E14" s="6">
        <v>0</v>
      </c>
      <c r="F14" s="6">
        <v>0</v>
      </c>
      <c r="G14" s="8">
        <v>0</v>
      </c>
      <c r="H14" s="8">
        <v>0</v>
      </c>
      <c r="I14" s="8">
        <v>0</v>
      </c>
      <c r="J14" s="7">
        <v>1200</v>
      </c>
      <c r="K14" s="7">
        <v>2.02</v>
      </c>
      <c r="L14" s="4" t="s">
        <v>24</v>
      </c>
      <c r="M14" t="s">
        <v>17</v>
      </c>
      <c r="N14" t="s">
        <v>17</v>
      </c>
      <c r="O14" t="s">
        <v>17</v>
      </c>
      <c r="P14" t="s">
        <v>17</v>
      </c>
      <c r="Q14">
        <v>1.5</v>
      </c>
      <c r="R14" t="s">
        <v>17</v>
      </c>
    </row>
    <row r="15" spans="1:22" x14ac:dyDescent="0.3">
      <c r="C15" s="5"/>
      <c r="D15" s="6"/>
      <c r="E15" s="6"/>
      <c r="F15" s="6"/>
      <c r="G15" s="8"/>
      <c r="H15" s="8"/>
      <c r="I15" s="8"/>
      <c r="J15" s="7"/>
      <c r="K15" s="7"/>
      <c r="L15" s="4"/>
    </row>
    <row r="16" spans="1:22" x14ac:dyDescent="0.3">
      <c r="A16" t="s">
        <v>11</v>
      </c>
      <c r="B16" t="str">
        <f>CONCATENATE("COMP_",ROW())</f>
        <v>COMP_16</v>
      </c>
      <c r="C16" s="5">
        <v>0</v>
      </c>
      <c r="D16" s="6">
        <v>0</v>
      </c>
      <c r="E16" s="6">
        <v>0</v>
      </c>
      <c r="F16" s="6">
        <v>0</v>
      </c>
      <c r="G16" s="8">
        <v>0</v>
      </c>
      <c r="H16" s="8">
        <v>0</v>
      </c>
      <c r="I16" s="8">
        <v>0</v>
      </c>
      <c r="J16" s="7">
        <v>97.93</v>
      </c>
      <c r="K16" s="7">
        <v>2.02</v>
      </c>
      <c r="L16" s="4" t="s">
        <v>22</v>
      </c>
      <c r="M16" t="str">
        <f ca="1">OFFSET($A$1,ROW()-3,1)</f>
        <v>TANK_14</v>
      </c>
      <c r="N16">
        <v>2</v>
      </c>
      <c r="O16" t="str">
        <f ca="1">OFFSET($A$1,ROW()+1,1)</f>
        <v>PIPE_18</v>
      </c>
      <c r="P16">
        <v>1</v>
      </c>
    </row>
    <row r="17" spans="1:24" x14ac:dyDescent="0.3">
      <c r="C17" s="5"/>
      <c r="D17" s="6"/>
      <c r="E17" s="6"/>
      <c r="F17" s="6"/>
      <c r="G17" s="8"/>
      <c r="H17" s="8"/>
      <c r="I17" s="8"/>
      <c r="J17" s="7"/>
      <c r="K17" s="7"/>
      <c r="L17" s="4"/>
    </row>
    <row r="18" spans="1:24" x14ac:dyDescent="0.3">
      <c r="A18" t="s">
        <v>7</v>
      </c>
      <c r="B18" t="str">
        <f>CONCATENATE("PIPE_",ROW())</f>
        <v>PIPE_18</v>
      </c>
      <c r="C18" s="5">
        <v>0.5</v>
      </c>
      <c r="D18" s="6">
        <v>-90</v>
      </c>
      <c r="E18" s="6">
        <v>0</v>
      </c>
      <c r="F18" s="6">
        <v>0</v>
      </c>
      <c r="G18" s="8">
        <v>0</v>
      </c>
      <c r="H18" s="8">
        <v>0</v>
      </c>
      <c r="I18" s="8">
        <v>0</v>
      </c>
      <c r="J18" s="7">
        <v>97.93</v>
      </c>
      <c r="K18" s="7">
        <v>2.02</v>
      </c>
      <c r="L18" s="4" t="s">
        <v>7</v>
      </c>
      <c r="M18" t="s">
        <v>17</v>
      </c>
      <c r="N18" t="s">
        <v>17</v>
      </c>
      <c r="O18" t="s">
        <v>17</v>
      </c>
      <c r="P18" t="s">
        <v>17</v>
      </c>
      <c r="Q18">
        <v>1.5</v>
      </c>
      <c r="R18" t="s">
        <v>17</v>
      </c>
    </row>
    <row r="19" spans="1:24" x14ac:dyDescent="0.3">
      <c r="A19" t="s">
        <v>7</v>
      </c>
      <c r="B19" t="str">
        <f>CONCATENATE("PIPE_",ROW())</f>
        <v>PIPE_19</v>
      </c>
      <c r="C19" s="5">
        <v>2</v>
      </c>
      <c r="D19" s="6">
        <v>0</v>
      </c>
      <c r="E19" s="6">
        <v>0</v>
      </c>
      <c r="F19" s="6">
        <v>0</v>
      </c>
      <c r="G19" s="8">
        <v>0</v>
      </c>
      <c r="H19" s="8">
        <v>0</v>
      </c>
      <c r="I19" s="8">
        <v>0</v>
      </c>
      <c r="J19" s="7">
        <v>97.93</v>
      </c>
      <c r="K19" s="7">
        <v>2.02</v>
      </c>
      <c r="L19" s="4" t="s">
        <v>7</v>
      </c>
      <c r="M19" t="s">
        <v>17</v>
      </c>
      <c r="N19" t="s">
        <v>17</v>
      </c>
      <c r="O19" t="s">
        <v>17</v>
      </c>
      <c r="P19" t="s">
        <v>17</v>
      </c>
      <c r="Q19">
        <v>1.5</v>
      </c>
      <c r="R19" t="s">
        <v>17</v>
      </c>
      <c r="T19" t="s">
        <v>17</v>
      </c>
      <c r="U19" t="s">
        <v>17</v>
      </c>
      <c r="V19" t="s">
        <v>17</v>
      </c>
      <c r="W19" t="s">
        <v>17</v>
      </c>
      <c r="X19" t="s">
        <v>17</v>
      </c>
    </row>
    <row r="20" spans="1:24" x14ac:dyDescent="0.3">
      <c r="A20" t="s">
        <v>7</v>
      </c>
      <c r="B20" t="str">
        <f>CONCATENATE("PIPE_",ROW())</f>
        <v>PIPE_20</v>
      </c>
      <c r="C20" s="5">
        <v>2</v>
      </c>
      <c r="D20" s="6">
        <v>-90</v>
      </c>
      <c r="E20" s="6">
        <v>0</v>
      </c>
      <c r="F20" s="6">
        <v>0</v>
      </c>
      <c r="G20" s="8">
        <v>0</v>
      </c>
      <c r="H20" s="8">
        <v>0</v>
      </c>
      <c r="I20" s="8">
        <v>0</v>
      </c>
      <c r="J20" s="7">
        <v>97.93</v>
      </c>
      <c r="K20" s="7">
        <v>2.02</v>
      </c>
      <c r="L20" s="4" t="s">
        <v>7</v>
      </c>
      <c r="M20" t="s">
        <v>17</v>
      </c>
      <c r="N20" t="s">
        <v>17</v>
      </c>
      <c r="O20" t="s">
        <v>17</v>
      </c>
      <c r="P20" t="s">
        <v>17</v>
      </c>
      <c r="Q20">
        <v>1.5</v>
      </c>
    </row>
    <row r="21" spans="1:24" x14ac:dyDescent="0.3">
      <c r="A21" t="s">
        <v>7</v>
      </c>
      <c r="B21" t="str">
        <f>CONCATENATE("PIPE_",ROW())</f>
        <v>PIPE_21</v>
      </c>
      <c r="C21" s="5">
        <v>0.6</v>
      </c>
      <c r="D21" s="6">
        <v>0</v>
      </c>
      <c r="E21" s="6">
        <v>90</v>
      </c>
      <c r="F21" s="6">
        <v>0</v>
      </c>
      <c r="G21" s="8">
        <v>0</v>
      </c>
      <c r="H21" s="8">
        <v>0</v>
      </c>
      <c r="I21" s="8">
        <v>0</v>
      </c>
      <c r="J21" s="7">
        <v>97.93</v>
      </c>
      <c r="K21" s="7">
        <v>2.02</v>
      </c>
      <c r="L21" s="4" t="s">
        <v>7</v>
      </c>
      <c r="M21" t="s">
        <v>17</v>
      </c>
      <c r="N21" t="s">
        <v>17</v>
      </c>
      <c r="O21" t="s">
        <v>17</v>
      </c>
      <c r="P21" t="s">
        <v>17</v>
      </c>
      <c r="Q21">
        <v>1.5</v>
      </c>
    </row>
    <row r="22" spans="1:24" x14ac:dyDescent="0.3">
      <c r="A22" t="s">
        <v>7</v>
      </c>
      <c r="B22" t="str">
        <f>CONCATENATE("PIPE_",ROW())</f>
        <v>PIPE_22</v>
      </c>
      <c r="C22" s="5">
        <v>0.6</v>
      </c>
      <c r="D22" s="6">
        <v>0</v>
      </c>
      <c r="E22" s="6">
        <v>90</v>
      </c>
      <c r="F22" s="6">
        <v>0</v>
      </c>
      <c r="G22" s="8">
        <v>0</v>
      </c>
      <c r="H22" s="8">
        <v>0</v>
      </c>
      <c r="I22" s="8">
        <v>0</v>
      </c>
      <c r="J22" s="7">
        <v>97.93</v>
      </c>
      <c r="K22" s="7">
        <v>2.02</v>
      </c>
      <c r="L22" s="4" t="s">
        <v>7</v>
      </c>
      <c r="M22" t="s">
        <v>17</v>
      </c>
      <c r="N22" t="s">
        <v>17</v>
      </c>
      <c r="O22" t="s">
        <v>17</v>
      </c>
      <c r="P22" t="s">
        <v>17</v>
      </c>
      <c r="Q22">
        <v>1.5</v>
      </c>
    </row>
    <row r="23" spans="1:24" x14ac:dyDescent="0.3">
      <c r="C23" s="5"/>
      <c r="D23" s="6"/>
      <c r="E23" s="6"/>
      <c r="F23" s="6"/>
      <c r="G23" s="8"/>
      <c r="H23" s="8"/>
      <c r="I23" s="8"/>
      <c r="J23" s="7"/>
      <c r="K23" s="7"/>
      <c r="L23" s="4"/>
    </row>
    <row r="24" spans="1:24" x14ac:dyDescent="0.3">
      <c r="A24" t="s">
        <v>10</v>
      </c>
      <c r="B24" t="str">
        <f>CONCATENATE("COMP_",ROW())</f>
        <v>COMP_24</v>
      </c>
      <c r="C24" s="5">
        <v>0.12</v>
      </c>
      <c r="D24" s="6">
        <v>0</v>
      </c>
      <c r="E24" s="6">
        <v>90</v>
      </c>
      <c r="F24" s="6">
        <v>90</v>
      </c>
      <c r="G24" s="8">
        <v>0</v>
      </c>
      <c r="H24" s="8">
        <v>0</v>
      </c>
      <c r="I24" s="8">
        <v>0</v>
      </c>
      <c r="J24" s="7">
        <v>97.93</v>
      </c>
      <c r="K24" s="7">
        <v>2.02</v>
      </c>
      <c r="L24" s="4" t="s">
        <v>27</v>
      </c>
      <c r="M24" t="str">
        <f ca="1">OFFSET($A$1,ROW()-3,1)</f>
        <v>PIPE_22</v>
      </c>
      <c r="N24">
        <v>2</v>
      </c>
      <c r="O24" t="str">
        <f ca="1">OFFSET($A$1,ROW()+1,1)</f>
        <v>PIPE_26</v>
      </c>
      <c r="P24">
        <v>1</v>
      </c>
    </row>
    <row r="25" spans="1:24" x14ac:dyDescent="0.3">
      <c r="C25" s="5"/>
      <c r="D25" s="6"/>
      <c r="E25" s="6"/>
      <c r="F25" s="6"/>
      <c r="G25" s="8"/>
      <c r="H25" s="8"/>
      <c r="I25" s="8"/>
      <c r="J25" s="7"/>
      <c r="K25" s="7"/>
      <c r="L25" s="4"/>
    </row>
    <row r="26" spans="1:24" x14ac:dyDescent="0.3">
      <c r="A26" t="s">
        <v>7</v>
      </c>
      <c r="B26" t="str">
        <f t="shared" ref="B26:B31" si="0">CONCATENATE("PIPE_",ROW())</f>
        <v>PIPE_26</v>
      </c>
      <c r="C26" s="5">
        <v>0.6</v>
      </c>
      <c r="D26" s="6">
        <v>0</v>
      </c>
      <c r="E26" s="6">
        <v>90</v>
      </c>
      <c r="F26" s="6">
        <v>0</v>
      </c>
      <c r="G26" s="8">
        <v>0</v>
      </c>
      <c r="H26" s="8">
        <v>0</v>
      </c>
      <c r="I26" s="8">
        <v>0</v>
      </c>
      <c r="J26" s="7">
        <v>97.93</v>
      </c>
      <c r="K26" s="7">
        <v>2.02</v>
      </c>
      <c r="L26" s="4" t="s">
        <v>7</v>
      </c>
      <c r="M26" t="s">
        <v>17</v>
      </c>
      <c r="N26" t="s">
        <v>17</v>
      </c>
      <c r="O26" t="s">
        <v>17</v>
      </c>
      <c r="P26" t="s">
        <v>17</v>
      </c>
      <c r="Q26">
        <v>1.5</v>
      </c>
      <c r="R26" t="s">
        <v>17</v>
      </c>
    </row>
    <row r="27" spans="1:24" x14ac:dyDescent="0.3">
      <c r="A27" t="s">
        <v>7</v>
      </c>
      <c r="B27" t="str">
        <f t="shared" si="0"/>
        <v>PIPE_27</v>
      </c>
      <c r="C27" s="5">
        <v>1.5</v>
      </c>
      <c r="D27" s="6">
        <v>0</v>
      </c>
      <c r="E27" s="6">
        <v>90</v>
      </c>
      <c r="F27" s="6">
        <v>0</v>
      </c>
      <c r="G27" s="8">
        <v>0</v>
      </c>
      <c r="H27" s="8">
        <v>0</v>
      </c>
      <c r="I27" s="8">
        <v>0</v>
      </c>
      <c r="J27" s="7">
        <v>97.93</v>
      </c>
      <c r="K27" s="7">
        <v>2.02</v>
      </c>
      <c r="L27" s="4" t="s">
        <v>7</v>
      </c>
      <c r="M27" t="s">
        <v>17</v>
      </c>
      <c r="N27" t="s">
        <v>17</v>
      </c>
      <c r="O27" t="s">
        <v>17</v>
      </c>
      <c r="P27" t="s">
        <v>17</v>
      </c>
      <c r="Q27">
        <v>1.5</v>
      </c>
      <c r="R27" t="s">
        <v>17</v>
      </c>
    </row>
    <row r="28" spans="1:24" x14ac:dyDescent="0.3">
      <c r="A28" t="s">
        <v>7</v>
      </c>
      <c r="B28" t="str">
        <f t="shared" si="0"/>
        <v>PIPE_28</v>
      </c>
      <c r="C28" s="5">
        <v>2</v>
      </c>
      <c r="D28" s="6">
        <v>-90</v>
      </c>
      <c r="E28" s="6">
        <v>0</v>
      </c>
      <c r="F28" s="6">
        <v>0</v>
      </c>
      <c r="G28" s="8">
        <v>0</v>
      </c>
      <c r="H28" s="8">
        <v>0</v>
      </c>
      <c r="I28" s="8">
        <v>0</v>
      </c>
      <c r="J28" s="7">
        <v>97.93</v>
      </c>
      <c r="K28" s="7">
        <v>2.02</v>
      </c>
      <c r="L28" s="4" t="s">
        <v>7</v>
      </c>
      <c r="M28" t="s">
        <v>17</v>
      </c>
      <c r="N28" t="s">
        <v>17</v>
      </c>
      <c r="O28" t="s">
        <v>17</v>
      </c>
      <c r="P28" t="s">
        <v>17</v>
      </c>
      <c r="Q28">
        <v>1.5</v>
      </c>
      <c r="R28" t="s">
        <v>17</v>
      </c>
    </row>
    <row r="29" spans="1:24" x14ac:dyDescent="0.3">
      <c r="A29" t="s">
        <v>7</v>
      </c>
      <c r="B29" t="str">
        <f t="shared" si="0"/>
        <v>PIPE_29</v>
      </c>
      <c r="C29" s="5">
        <v>1</v>
      </c>
      <c r="D29" s="6">
        <v>0</v>
      </c>
      <c r="E29" s="6">
        <v>0</v>
      </c>
      <c r="F29" s="6">
        <v>0</v>
      </c>
      <c r="G29" s="8">
        <v>0</v>
      </c>
      <c r="H29" s="8">
        <v>0</v>
      </c>
      <c r="I29" s="8">
        <v>0</v>
      </c>
      <c r="J29" s="7">
        <v>97.93</v>
      </c>
      <c r="K29" s="7">
        <v>2.02</v>
      </c>
      <c r="L29" s="4" t="s">
        <v>7</v>
      </c>
      <c r="M29" t="s">
        <v>17</v>
      </c>
      <c r="N29" t="s">
        <v>17</v>
      </c>
      <c r="O29" t="s">
        <v>17</v>
      </c>
      <c r="P29" t="s">
        <v>17</v>
      </c>
      <c r="Q29">
        <v>1.5</v>
      </c>
      <c r="R29" t="s">
        <v>17</v>
      </c>
    </row>
    <row r="30" spans="1:24" x14ac:dyDescent="0.3">
      <c r="A30" t="s">
        <v>7</v>
      </c>
      <c r="B30" t="str">
        <f t="shared" si="0"/>
        <v>PIPE_30</v>
      </c>
      <c r="C30" s="5">
        <v>1</v>
      </c>
      <c r="D30" s="6">
        <v>0</v>
      </c>
      <c r="E30" s="6">
        <v>0</v>
      </c>
      <c r="F30" s="6">
        <v>0</v>
      </c>
      <c r="G30" s="8">
        <v>0</v>
      </c>
      <c r="H30" s="8">
        <v>0</v>
      </c>
      <c r="I30" s="8">
        <v>0</v>
      </c>
      <c r="J30" s="7">
        <v>200</v>
      </c>
      <c r="K30" s="7">
        <v>2.02</v>
      </c>
      <c r="L30" s="4" t="s">
        <v>7</v>
      </c>
      <c r="M30" t="s">
        <v>17</v>
      </c>
      <c r="N30" t="s">
        <v>17</v>
      </c>
      <c r="O30" t="s">
        <v>17</v>
      </c>
      <c r="P30" t="s">
        <v>17</v>
      </c>
      <c r="Q30">
        <v>1.5</v>
      </c>
      <c r="R30" t="s">
        <v>17</v>
      </c>
    </row>
    <row r="31" spans="1:24" x14ac:dyDescent="0.3">
      <c r="A31" t="s">
        <v>7</v>
      </c>
      <c r="B31" t="str">
        <f t="shared" si="0"/>
        <v>PIPE_31</v>
      </c>
      <c r="C31" s="5">
        <v>2</v>
      </c>
      <c r="D31" s="6">
        <v>0</v>
      </c>
      <c r="E31" s="6">
        <v>90</v>
      </c>
      <c r="F31" s="6">
        <v>0</v>
      </c>
      <c r="G31" s="8">
        <v>0</v>
      </c>
      <c r="H31" s="8">
        <v>0</v>
      </c>
      <c r="I31" s="8">
        <v>0</v>
      </c>
      <c r="J31" s="7">
        <v>200</v>
      </c>
      <c r="K31" s="7">
        <v>2.02</v>
      </c>
      <c r="L31" s="4" t="s">
        <v>7</v>
      </c>
      <c r="M31" t="s">
        <v>17</v>
      </c>
      <c r="N31" t="s">
        <v>17</v>
      </c>
      <c r="O31" t="s">
        <v>17</v>
      </c>
      <c r="P31" t="s">
        <v>17</v>
      </c>
      <c r="Q31">
        <v>1.5</v>
      </c>
      <c r="R31" t="s">
        <v>17</v>
      </c>
    </row>
    <row r="32" spans="1:24" x14ac:dyDescent="0.3">
      <c r="C32" s="5"/>
      <c r="D32" s="6"/>
      <c r="E32" s="6"/>
      <c r="F32" s="6"/>
      <c r="G32" s="8"/>
      <c r="H32" s="8"/>
      <c r="I32" s="8"/>
      <c r="J32" s="7"/>
      <c r="K32" s="7"/>
      <c r="L32" s="4"/>
    </row>
    <row r="33" spans="1:18" x14ac:dyDescent="0.3">
      <c r="A33" t="s">
        <v>11</v>
      </c>
      <c r="B33" t="str">
        <f>CONCATENATE("COMP_",ROW())</f>
        <v>COMP_33</v>
      </c>
      <c r="C33" s="5">
        <v>0</v>
      </c>
      <c r="D33" s="6">
        <v>0</v>
      </c>
      <c r="E33" s="6">
        <v>0</v>
      </c>
      <c r="F33" s="6">
        <v>0</v>
      </c>
      <c r="G33" s="8">
        <v>0</v>
      </c>
      <c r="H33" s="8">
        <v>0</v>
      </c>
      <c r="I33" s="8">
        <v>-1.75</v>
      </c>
      <c r="J33" s="7">
        <v>97.93</v>
      </c>
      <c r="K33" s="7">
        <v>2.02</v>
      </c>
      <c r="L33" s="4" t="s">
        <v>22</v>
      </c>
      <c r="M33" t="str">
        <f ca="1">OFFSET($A$1,ROW()-3,1)</f>
        <v>PIPE_31</v>
      </c>
      <c r="N33">
        <v>2</v>
      </c>
      <c r="O33" t="str">
        <f ca="1">OFFSET($A$1,ROW()+1,1)</f>
        <v>TANK_35</v>
      </c>
      <c r="P33">
        <v>1</v>
      </c>
    </row>
    <row r="34" spans="1:18" x14ac:dyDescent="0.3">
      <c r="C34" s="5"/>
      <c r="D34" s="6"/>
      <c r="E34" s="6"/>
      <c r="F34" s="6"/>
      <c r="G34" s="8"/>
      <c r="H34" s="8"/>
      <c r="I34" s="8"/>
      <c r="J34" s="7"/>
      <c r="K34" s="7"/>
      <c r="L34" s="4"/>
    </row>
    <row r="35" spans="1:18" x14ac:dyDescent="0.3">
      <c r="A35" t="s">
        <v>23</v>
      </c>
      <c r="B35" t="str">
        <f>CONCATENATE("TANK_",ROW())</f>
        <v>TANK_35</v>
      </c>
      <c r="C35" s="5">
        <v>2</v>
      </c>
      <c r="D35" s="6">
        <v>90</v>
      </c>
      <c r="E35" s="6">
        <v>0</v>
      </c>
      <c r="F35" s="6">
        <v>0</v>
      </c>
      <c r="G35" s="8">
        <v>0</v>
      </c>
      <c r="H35" s="8">
        <v>0</v>
      </c>
      <c r="I35" s="8">
        <v>0</v>
      </c>
      <c r="J35" s="7">
        <v>1200</v>
      </c>
      <c r="K35" s="7">
        <v>2.02</v>
      </c>
      <c r="L35" s="4" t="s">
        <v>25</v>
      </c>
      <c r="M35" t="s">
        <v>17</v>
      </c>
      <c r="N35" t="s">
        <v>17</v>
      </c>
      <c r="O35" t="s">
        <v>17</v>
      </c>
      <c r="P35" t="s">
        <v>17</v>
      </c>
      <c r="Q35">
        <v>1.5</v>
      </c>
      <c r="R35" t="s">
        <v>17</v>
      </c>
    </row>
    <row r="36" spans="1:18" x14ac:dyDescent="0.3">
      <c r="C36" s="5"/>
      <c r="D36" s="6"/>
      <c r="E36" s="6"/>
      <c r="F36" s="6"/>
      <c r="G36" s="8"/>
      <c r="H36" s="8"/>
      <c r="I36" s="8"/>
      <c r="J36" s="7"/>
      <c r="K36" s="7"/>
      <c r="L36" s="4"/>
    </row>
    <row r="37" spans="1:18" x14ac:dyDescent="0.3">
      <c r="C37" s="5"/>
      <c r="D37" s="6"/>
      <c r="E37" s="6"/>
      <c r="F37" s="6"/>
      <c r="G37" s="8"/>
      <c r="H37" s="8"/>
      <c r="I37" s="8"/>
      <c r="J37" s="7"/>
      <c r="K37" s="7"/>
      <c r="L37" s="4"/>
    </row>
    <row r="38" spans="1:18" x14ac:dyDescent="0.3">
      <c r="C38" s="5"/>
      <c r="D38" s="6"/>
      <c r="E38" s="6"/>
      <c r="F38" s="6"/>
      <c r="G38" s="8"/>
      <c r="H38" s="8"/>
      <c r="I38" s="8"/>
      <c r="J38" s="7"/>
      <c r="K38" s="7"/>
      <c r="L38" s="4"/>
    </row>
    <row r="39" spans="1:18" x14ac:dyDescent="0.3">
      <c r="C39" s="5"/>
      <c r="D39" s="6"/>
      <c r="E39" s="6"/>
      <c r="F39" s="6"/>
      <c r="G39" s="8"/>
      <c r="H39" s="8"/>
      <c r="I39" s="8"/>
      <c r="J39" s="7"/>
      <c r="K39" s="7"/>
      <c r="L39" s="4"/>
    </row>
    <row r="40" spans="1:18" x14ac:dyDescent="0.3">
      <c r="C40" s="5"/>
      <c r="D40" s="6"/>
      <c r="E40" s="6"/>
      <c r="F40" s="6"/>
      <c r="G40" s="8"/>
      <c r="H40" s="8"/>
      <c r="I40" s="8"/>
      <c r="J40" s="7"/>
      <c r="K40" s="7"/>
      <c r="L40" s="4"/>
    </row>
    <row r="41" spans="1:18" x14ac:dyDescent="0.3">
      <c r="A41" t="s">
        <v>33</v>
      </c>
      <c r="B41" t="s">
        <v>35</v>
      </c>
      <c r="C41" s="5"/>
      <c r="D41" s="6"/>
      <c r="E41" s="6"/>
      <c r="F41" s="6"/>
      <c r="G41" s="8"/>
      <c r="H41" s="8"/>
      <c r="I41" s="8"/>
      <c r="J41" s="7"/>
      <c r="K41" s="7"/>
      <c r="L41" s="4"/>
    </row>
    <row r="42" spans="1:18" x14ac:dyDescent="0.3">
      <c r="A42" t="s">
        <v>11</v>
      </c>
      <c r="B42" t="str">
        <f>CONCATENATE("COMP_",ROW())</f>
        <v>COMP_42</v>
      </c>
      <c r="C42" s="5">
        <v>0</v>
      </c>
      <c r="D42" s="6">
        <v>0</v>
      </c>
      <c r="E42" s="6">
        <v>0</v>
      </c>
      <c r="F42" s="6">
        <v>0</v>
      </c>
      <c r="G42" s="8">
        <v>0</v>
      </c>
      <c r="H42" s="8">
        <v>0</v>
      </c>
      <c r="I42" s="8">
        <v>0</v>
      </c>
      <c r="J42" s="7">
        <v>97.93</v>
      </c>
      <c r="K42" s="7">
        <v>2.02</v>
      </c>
      <c r="L42" s="4" t="s">
        <v>22</v>
      </c>
      <c r="M42" t="str">
        <f>B21</f>
        <v>PIPE_21</v>
      </c>
      <c r="N42">
        <v>2</v>
      </c>
      <c r="O42" t="str">
        <f ca="1">OFFSET($A$1,ROW()+1,1)</f>
        <v>PIPE_44</v>
      </c>
      <c r="P42">
        <v>1</v>
      </c>
    </row>
    <row r="43" spans="1:18" x14ac:dyDescent="0.3">
      <c r="C43" s="5"/>
      <c r="D43" s="6"/>
      <c r="E43" s="6"/>
      <c r="F43" s="6"/>
      <c r="G43" s="8"/>
      <c r="H43" s="8"/>
      <c r="I43" s="8"/>
      <c r="J43" s="7"/>
      <c r="K43" s="7"/>
      <c r="L43" s="4"/>
    </row>
    <row r="44" spans="1:18" x14ac:dyDescent="0.3">
      <c r="A44" t="s">
        <v>7</v>
      </c>
      <c r="B44" t="str">
        <f>CONCATENATE("PIPE_",ROW())</f>
        <v>PIPE_44</v>
      </c>
      <c r="C44" s="5">
        <v>1</v>
      </c>
      <c r="D44" s="6">
        <v>0</v>
      </c>
      <c r="E44" s="6">
        <v>0</v>
      </c>
      <c r="F44" s="6">
        <v>0</v>
      </c>
      <c r="G44" s="8">
        <v>0</v>
      </c>
      <c r="H44" s="8">
        <v>0</v>
      </c>
      <c r="I44" s="8">
        <v>0</v>
      </c>
      <c r="J44" s="7">
        <v>97.93</v>
      </c>
      <c r="K44" s="7">
        <v>2.02</v>
      </c>
      <c r="L44" s="4" t="s">
        <v>7</v>
      </c>
      <c r="M44" t="s">
        <v>17</v>
      </c>
      <c r="N44" t="s">
        <v>17</v>
      </c>
      <c r="O44" t="s">
        <v>17</v>
      </c>
      <c r="P44" t="s">
        <v>17</v>
      </c>
      <c r="Q44">
        <v>1.5</v>
      </c>
      <c r="R44" t="s">
        <v>17</v>
      </c>
    </row>
    <row r="45" spans="1:18" x14ac:dyDescent="0.3">
      <c r="A45" t="s">
        <v>7</v>
      </c>
      <c r="B45" t="str">
        <f>CONCATENATE("PIPE_",ROW())</f>
        <v>PIPE_45</v>
      </c>
      <c r="C45" s="5">
        <v>0.6</v>
      </c>
      <c r="D45" s="6">
        <v>13</v>
      </c>
      <c r="E45" s="6">
        <v>90</v>
      </c>
      <c r="F45" s="6">
        <v>0</v>
      </c>
      <c r="G45" s="8">
        <v>0</v>
      </c>
      <c r="H45" s="8">
        <v>0</v>
      </c>
      <c r="I45" s="8">
        <v>0</v>
      </c>
      <c r="J45" s="7">
        <v>97.93</v>
      </c>
      <c r="K45" s="7">
        <v>2.02</v>
      </c>
      <c r="L45" s="4" t="s">
        <v>7</v>
      </c>
      <c r="M45" t="s">
        <v>17</v>
      </c>
      <c r="N45" t="s">
        <v>17</v>
      </c>
      <c r="O45" t="s">
        <v>17</v>
      </c>
      <c r="P45" t="s">
        <v>17</v>
      </c>
      <c r="Q45">
        <v>1.5</v>
      </c>
    </row>
    <row r="46" spans="1:18" x14ac:dyDescent="0.3">
      <c r="C46" s="5"/>
      <c r="D46" s="6"/>
      <c r="E46" s="6"/>
      <c r="F46" s="6"/>
      <c r="G46" s="8"/>
      <c r="H46" s="8"/>
      <c r="I46" s="8"/>
      <c r="J46" s="7"/>
      <c r="K46" s="7"/>
      <c r="L46" s="4"/>
    </row>
    <row r="47" spans="1:18" x14ac:dyDescent="0.3">
      <c r="A47" t="s">
        <v>10</v>
      </c>
      <c r="B47" t="str">
        <f>CONCATENATE("COMP_",ROW())</f>
        <v>COMP_47</v>
      </c>
      <c r="C47" s="5">
        <v>0.12</v>
      </c>
      <c r="D47" s="6">
        <v>0</v>
      </c>
      <c r="E47" s="6">
        <v>90</v>
      </c>
      <c r="F47" s="6">
        <v>0</v>
      </c>
      <c r="G47" s="8">
        <v>0</v>
      </c>
      <c r="H47" s="8">
        <v>0</v>
      </c>
      <c r="I47" s="8">
        <v>0</v>
      </c>
      <c r="J47" s="7">
        <v>97.93</v>
      </c>
      <c r="K47" s="7">
        <v>2.02</v>
      </c>
      <c r="L47" s="4" t="s">
        <v>26</v>
      </c>
      <c r="M47" t="str">
        <f ca="1">OFFSET($A$1,ROW()-3,1)</f>
        <v>PIPE_45</v>
      </c>
      <c r="N47">
        <v>2</v>
      </c>
      <c r="O47" t="str">
        <f ca="1">OFFSET($A$1,ROW()+1,1)</f>
        <v>PIPE_49</v>
      </c>
      <c r="P47">
        <v>1</v>
      </c>
    </row>
    <row r="48" spans="1:18" x14ac:dyDescent="0.3">
      <c r="C48" s="5"/>
      <c r="D48" s="6"/>
      <c r="E48" s="6"/>
      <c r="F48" s="6"/>
      <c r="G48" s="8"/>
      <c r="H48" s="8"/>
      <c r="I48" s="8"/>
      <c r="J48" s="7"/>
      <c r="K48" s="7"/>
      <c r="L48" s="4"/>
    </row>
    <row r="49" spans="1:17" x14ac:dyDescent="0.3">
      <c r="A49" t="s">
        <v>7</v>
      </c>
      <c r="B49" t="str">
        <f>CONCATENATE("PIPE_",ROW())</f>
        <v>PIPE_49</v>
      </c>
      <c r="C49" s="5">
        <v>0.6</v>
      </c>
      <c r="D49" s="6">
        <v>0</v>
      </c>
      <c r="E49" s="6">
        <v>90</v>
      </c>
      <c r="F49" s="6">
        <v>0</v>
      </c>
      <c r="G49" s="8">
        <v>0</v>
      </c>
      <c r="H49" s="8">
        <v>0</v>
      </c>
      <c r="I49" s="8">
        <v>0</v>
      </c>
      <c r="J49" s="7">
        <v>97.93</v>
      </c>
      <c r="K49" s="7">
        <v>2.02</v>
      </c>
      <c r="L49" s="4" t="s">
        <v>7</v>
      </c>
      <c r="M49" t="s">
        <v>17</v>
      </c>
      <c r="N49" t="s">
        <v>17</v>
      </c>
      <c r="O49" t="s">
        <v>17</v>
      </c>
      <c r="P49" t="s">
        <v>17</v>
      </c>
      <c r="Q49">
        <v>1.5</v>
      </c>
    </row>
    <row r="50" spans="1:17" x14ac:dyDescent="0.3">
      <c r="A50" t="s">
        <v>7</v>
      </c>
      <c r="B50" t="str">
        <f>CONCATENATE("PIPE_",ROW())</f>
        <v>PIPE_50</v>
      </c>
      <c r="C50" s="5">
        <v>1</v>
      </c>
      <c r="D50" s="6">
        <v>0</v>
      </c>
      <c r="E50" s="6">
        <v>180</v>
      </c>
      <c r="F50" s="6">
        <v>0</v>
      </c>
      <c r="G50" s="8">
        <v>0</v>
      </c>
      <c r="H50" s="8">
        <v>0</v>
      </c>
      <c r="I50" s="8">
        <v>0</v>
      </c>
      <c r="J50" s="7">
        <v>97.93</v>
      </c>
      <c r="K50" s="7">
        <v>2.02</v>
      </c>
      <c r="L50" s="4" t="s">
        <v>7</v>
      </c>
      <c r="M50" t="s">
        <v>17</v>
      </c>
      <c r="N50" t="s">
        <v>17</v>
      </c>
      <c r="O50" t="s">
        <v>17</v>
      </c>
      <c r="P50" t="s">
        <v>17</v>
      </c>
      <c r="Q50">
        <v>1.5</v>
      </c>
    </row>
    <row r="51" spans="1:17" x14ac:dyDescent="0.3">
      <c r="C51" s="5"/>
      <c r="D51" s="6"/>
      <c r="E51" s="6"/>
      <c r="F51" s="6"/>
      <c r="G51" s="8"/>
      <c r="H51" s="8"/>
      <c r="I51" s="8"/>
      <c r="J51" s="7"/>
      <c r="K51" s="7"/>
      <c r="L51" s="4"/>
    </row>
    <row r="52" spans="1:17" x14ac:dyDescent="0.3">
      <c r="A52" t="s">
        <v>11</v>
      </c>
      <c r="B52" t="str">
        <f>CONCATENATE("COMP_",ROW())</f>
        <v>COMP_52</v>
      </c>
      <c r="C52" s="5">
        <v>0</v>
      </c>
      <c r="D52" s="6">
        <v>0</v>
      </c>
      <c r="E52" s="6">
        <v>0</v>
      </c>
      <c r="F52" s="6">
        <v>0</v>
      </c>
      <c r="G52" s="8">
        <v>0</v>
      </c>
      <c r="H52" s="8">
        <v>0</v>
      </c>
      <c r="I52" s="8">
        <v>0</v>
      </c>
      <c r="J52" s="7">
        <v>97.93</v>
      </c>
      <c r="K52" s="7">
        <v>2.02</v>
      </c>
      <c r="L52" s="4" t="s">
        <v>22</v>
      </c>
      <c r="M52" t="str">
        <f ca="1">OFFSET($A$1,ROW()-3,1)</f>
        <v>PIPE_50</v>
      </c>
      <c r="N52">
        <v>2</v>
      </c>
      <c r="O52" t="str">
        <f>B27</f>
        <v>PIPE_27</v>
      </c>
      <c r="P52">
        <v>1</v>
      </c>
    </row>
    <row r="53" spans="1:17" x14ac:dyDescent="0.3">
      <c r="C53" s="5"/>
      <c r="D53" s="6"/>
      <c r="E53" s="6"/>
      <c r="F53" s="6"/>
      <c r="G53" s="8"/>
      <c r="H53" s="8"/>
      <c r="I53" s="8"/>
      <c r="J53" s="7"/>
      <c r="K53" s="7"/>
      <c r="L53" s="4"/>
    </row>
    <row r="54" spans="1:17" x14ac:dyDescent="0.3">
      <c r="C54" s="5"/>
      <c r="D54" s="6"/>
      <c r="E54" s="6"/>
      <c r="F54" s="6"/>
      <c r="G54" s="8"/>
      <c r="H54" s="8"/>
      <c r="I54" s="8"/>
      <c r="J54" s="7"/>
      <c r="K54" s="7"/>
      <c r="L54" s="4"/>
    </row>
    <row r="55" spans="1:17" x14ac:dyDescent="0.3">
      <c r="C55" s="5"/>
      <c r="D55" s="6"/>
      <c r="E55" s="6"/>
      <c r="F55" s="6"/>
      <c r="G55" s="8"/>
      <c r="H55" s="8"/>
      <c r="I55" s="8"/>
      <c r="J55" s="7"/>
      <c r="K55" s="7"/>
      <c r="L55" s="4"/>
    </row>
    <row r="56" spans="1:17" x14ac:dyDescent="0.3">
      <c r="C56" s="5"/>
      <c r="D56" s="6"/>
      <c r="E56" s="6"/>
      <c r="F56" s="6"/>
      <c r="G56" s="8"/>
      <c r="H56" s="8"/>
      <c r="I56" s="8"/>
      <c r="J56" s="7"/>
      <c r="K56" s="7"/>
      <c r="L56" s="4"/>
    </row>
    <row r="57" spans="1:17" x14ac:dyDescent="0.3">
      <c r="C57" s="5"/>
      <c r="D57" s="6"/>
      <c r="E57" s="6"/>
      <c r="F57" s="6"/>
      <c r="G57" s="8"/>
      <c r="H57" s="8"/>
      <c r="I57" s="8"/>
      <c r="J57" s="7"/>
      <c r="K57" s="7"/>
      <c r="L57" s="4"/>
    </row>
    <row r="58" spans="1:17" x14ac:dyDescent="0.3">
      <c r="C58" s="5"/>
      <c r="D58" s="6"/>
      <c r="E58" s="6"/>
      <c r="F58" s="6"/>
      <c r="G58" s="8"/>
      <c r="H58" s="8"/>
      <c r="I58" s="8"/>
      <c r="J58" s="7"/>
      <c r="K58" s="7"/>
      <c r="L58" s="4"/>
    </row>
    <row r="59" spans="1:17" x14ac:dyDescent="0.3">
      <c r="C59" s="5"/>
      <c r="D59" s="6"/>
      <c r="E59" s="6"/>
      <c r="F59" s="6"/>
      <c r="G59" s="8"/>
      <c r="H59" s="8"/>
      <c r="I59" s="8"/>
      <c r="J59" s="7"/>
      <c r="K59" s="7"/>
      <c r="L59" s="4"/>
    </row>
    <row r="60" spans="1:17" x14ac:dyDescent="0.3">
      <c r="C60" s="5"/>
      <c r="D60" s="6"/>
      <c r="E60" s="6"/>
      <c r="F60" s="6"/>
      <c r="G60" s="8"/>
      <c r="H60" s="8"/>
      <c r="I60" s="8"/>
      <c r="J60" s="7"/>
      <c r="K60" s="7"/>
      <c r="L60" s="4"/>
    </row>
    <row r="61" spans="1:17" x14ac:dyDescent="0.3">
      <c r="C61" s="5"/>
      <c r="D61" s="6"/>
      <c r="E61" s="6"/>
      <c r="F61" s="6"/>
      <c r="G61" s="8"/>
      <c r="H61" s="8"/>
      <c r="I61" s="8"/>
      <c r="J61" s="7"/>
      <c r="K61" s="7"/>
      <c r="L61" s="4"/>
    </row>
    <row r="62" spans="1:17" x14ac:dyDescent="0.3">
      <c r="C62" s="5"/>
      <c r="D62" s="6"/>
      <c r="E62" s="6"/>
      <c r="F62" s="6"/>
      <c r="G62" s="8"/>
      <c r="H62" s="8"/>
      <c r="I62" s="8"/>
      <c r="J62" s="7"/>
      <c r="K62" s="7"/>
      <c r="L62" s="4"/>
    </row>
    <row r="63" spans="1:17" x14ac:dyDescent="0.3">
      <c r="C63" s="5"/>
      <c r="D63" s="6"/>
      <c r="E63" s="6"/>
      <c r="F63" s="6"/>
      <c r="G63" s="8"/>
      <c r="H63" s="8"/>
      <c r="I63" s="8"/>
      <c r="J63" s="7"/>
      <c r="K63" s="7"/>
      <c r="L63" s="4"/>
    </row>
    <row r="64" spans="1:17" x14ac:dyDescent="0.3">
      <c r="C64" s="5"/>
      <c r="D64" s="6"/>
      <c r="E64" s="6"/>
      <c r="F64" s="6"/>
      <c r="G64" s="8"/>
      <c r="H64" s="8"/>
      <c r="I64" s="8"/>
      <c r="J64" s="7"/>
      <c r="K64" s="7"/>
      <c r="L64" s="4"/>
    </row>
    <row r="65" spans="3:12" x14ac:dyDescent="0.3">
      <c r="C65" s="5"/>
      <c r="D65" s="6"/>
      <c r="E65" s="6"/>
      <c r="F65" s="6"/>
      <c r="G65" s="8"/>
      <c r="H65" s="8"/>
      <c r="I65" s="8"/>
      <c r="J65" s="7"/>
      <c r="K65" s="7"/>
      <c r="L65" s="4"/>
    </row>
    <row r="66" spans="3:12" x14ac:dyDescent="0.3">
      <c r="C66" s="5"/>
      <c r="D66" s="6"/>
      <c r="E66" s="6"/>
      <c r="F66" s="6"/>
      <c r="G66" s="8"/>
      <c r="H66" s="8"/>
      <c r="I66" s="8"/>
      <c r="J66" s="7"/>
      <c r="K66" s="7"/>
      <c r="L66" s="4"/>
    </row>
    <row r="67" spans="3:12" x14ac:dyDescent="0.3">
      <c r="C67" s="5"/>
      <c r="D67" s="6"/>
      <c r="E67" s="6"/>
      <c r="F67" s="6"/>
      <c r="G67" s="8"/>
      <c r="H67" s="8"/>
      <c r="I67" s="8"/>
      <c r="J67" s="7"/>
      <c r="K67" s="7"/>
      <c r="L67" s="4"/>
    </row>
    <row r="68" spans="3:12" x14ac:dyDescent="0.3">
      <c r="C68" s="5"/>
      <c r="D68" s="6"/>
      <c r="E68" s="6"/>
      <c r="F68" s="6"/>
      <c r="G68" s="8"/>
      <c r="H68" s="8"/>
      <c r="I68" s="8"/>
      <c r="J68" s="7"/>
      <c r="K68" s="7"/>
      <c r="L68" s="4"/>
    </row>
    <row r="69" spans="3:12" x14ac:dyDescent="0.3">
      <c r="C69" s="5"/>
      <c r="D69" s="6"/>
      <c r="E69" s="6"/>
      <c r="F69" s="6"/>
      <c r="G69" s="8"/>
      <c r="H69" s="8"/>
      <c r="I69" s="8"/>
      <c r="J69" s="7"/>
      <c r="K69" s="7"/>
      <c r="L69" s="4"/>
    </row>
    <row r="70" spans="3:12" x14ac:dyDescent="0.3">
      <c r="C70" s="5"/>
      <c r="D70" s="6"/>
      <c r="E70" s="6"/>
      <c r="F70" s="6"/>
      <c r="G70" s="8"/>
      <c r="H70" s="8"/>
      <c r="I70" s="8"/>
      <c r="J70" s="7"/>
      <c r="K70" s="7"/>
      <c r="L70" s="4"/>
    </row>
    <row r="71" spans="3:12" x14ac:dyDescent="0.3">
      <c r="C71" s="5"/>
      <c r="D71" s="6"/>
      <c r="E71" s="6"/>
      <c r="F71" s="6"/>
      <c r="G71" s="8"/>
      <c r="H71" s="8"/>
      <c r="I71" s="8"/>
      <c r="J71" s="7"/>
      <c r="K71" s="7"/>
      <c r="L71" s="4"/>
    </row>
    <row r="72" spans="3:12" x14ac:dyDescent="0.3">
      <c r="C72" s="5"/>
      <c r="D72" s="6"/>
      <c r="E72" s="6"/>
      <c r="F72" s="6"/>
      <c r="G72" s="8"/>
      <c r="H72" s="8"/>
      <c r="I72" s="8"/>
      <c r="J72" s="7"/>
      <c r="K72" s="7"/>
      <c r="L72" s="4"/>
    </row>
    <row r="73" spans="3:12" x14ac:dyDescent="0.3">
      <c r="C73" s="5"/>
      <c r="D73" s="6"/>
      <c r="E73" s="6"/>
      <c r="F73" s="6"/>
      <c r="G73" s="8"/>
      <c r="H73" s="8"/>
      <c r="I73" s="8"/>
      <c r="J73" s="7"/>
      <c r="K73" s="7"/>
      <c r="L73" s="4"/>
    </row>
    <row r="74" spans="3:12" x14ac:dyDescent="0.3">
      <c r="C74" s="5"/>
      <c r="D74" s="6"/>
      <c r="E74" s="6"/>
      <c r="F74" s="6"/>
      <c r="G74" s="8"/>
      <c r="H74" s="8"/>
      <c r="I74" s="8"/>
      <c r="J74" s="7"/>
      <c r="K74" s="7"/>
      <c r="L74" s="4"/>
    </row>
    <row r="75" spans="3:12" x14ac:dyDescent="0.3">
      <c r="C75" s="5"/>
      <c r="D75" s="6"/>
      <c r="E75" s="6"/>
      <c r="F75" s="6"/>
      <c r="G75" s="8"/>
      <c r="H75" s="8"/>
      <c r="I75" s="8"/>
      <c r="J75" s="7"/>
      <c r="K75" s="7"/>
      <c r="L75" s="4"/>
    </row>
    <row r="76" spans="3:12" x14ac:dyDescent="0.3">
      <c r="C76" s="5"/>
      <c r="D76" s="6"/>
      <c r="E76" s="6"/>
      <c r="F76" s="6"/>
      <c r="G76" s="8"/>
      <c r="H76" s="8"/>
      <c r="I76" s="8"/>
      <c r="J76" s="7"/>
      <c r="K76" s="7"/>
      <c r="L76" s="4"/>
    </row>
    <row r="77" spans="3:12" x14ac:dyDescent="0.3">
      <c r="C77" s="5"/>
      <c r="D77" s="6"/>
      <c r="E77" s="6"/>
      <c r="F77" s="6"/>
      <c r="G77" s="8"/>
      <c r="H77" s="8"/>
      <c r="I77" s="8"/>
      <c r="J77" s="7"/>
      <c r="K77" s="7"/>
      <c r="L77" s="4"/>
    </row>
    <row r="78" spans="3:12" x14ac:dyDescent="0.3">
      <c r="C78" s="5"/>
      <c r="D78" s="6"/>
      <c r="E78" s="6"/>
      <c r="F78" s="6"/>
      <c r="G78" s="8"/>
      <c r="H78" s="8"/>
      <c r="I78" s="8"/>
      <c r="J78" s="7"/>
      <c r="K78" s="7"/>
      <c r="L78" s="4"/>
    </row>
    <row r="79" spans="3:12" x14ac:dyDescent="0.3">
      <c r="C79" s="5"/>
      <c r="D79" s="6"/>
      <c r="E79" s="6"/>
      <c r="F79" s="6"/>
      <c r="G79" s="8"/>
      <c r="H79" s="8"/>
      <c r="I79" s="8"/>
      <c r="J79" s="7"/>
      <c r="K79" s="7"/>
      <c r="L79" s="4"/>
    </row>
    <row r="80" spans="3:12" x14ac:dyDescent="0.3">
      <c r="C80" s="5"/>
      <c r="D80" s="6"/>
      <c r="E80" s="6"/>
      <c r="F80" s="6"/>
      <c r="G80" s="8"/>
      <c r="H80" s="8"/>
      <c r="I80" s="8"/>
      <c r="J80" s="7"/>
      <c r="K80" s="7"/>
      <c r="L80" s="4"/>
    </row>
    <row r="81" spans="3:12" x14ac:dyDescent="0.3">
      <c r="C81" s="5"/>
      <c r="D81" s="6"/>
      <c r="E81" s="6"/>
      <c r="F81" s="6"/>
      <c r="G81" s="8"/>
      <c r="H81" s="8"/>
      <c r="I81" s="8"/>
      <c r="J81" s="7"/>
      <c r="K81" s="7"/>
      <c r="L81" s="4"/>
    </row>
    <row r="82" spans="3:12" x14ac:dyDescent="0.3">
      <c r="C82" s="5"/>
      <c r="D82" s="6"/>
      <c r="E82" s="6"/>
      <c r="F82" s="6"/>
      <c r="G82" s="8"/>
      <c r="H82" s="8"/>
      <c r="I82" s="8"/>
      <c r="J82" s="7"/>
      <c r="K82" s="7"/>
      <c r="L82" s="4"/>
    </row>
    <row r="83" spans="3:12" x14ac:dyDescent="0.3">
      <c r="C83" s="5"/>
      <c r="D83" s="6"/>
      <c r="E83" s="6"/>
      <c r="F83" s="6"/>
      <c r="G83" s="8"/>
      <c r="H83" s="8"/>
      <c r="I83" s="8"/>
      <c r="J83" s="7"/>
      <c r="K83" s="7"/>
      <c r="L83" s="4"/>
    </row>
    <row r="84" spans="3:12" x14ac:dyDescent="0.3">
      <c r="C84" s="5"/>
      <c r="D84" s="6"/>
      <c r="E84" s="6"/>
      <c r="F84" s="6"/>
      <c r="G84" s="8"/>
      <c r="H84" s="8"/>
      <c r="I84" s="8"/>
      <c r="J84" s="7"/>
      <c r="K84" s="7"/>
      <c r="L84" s="4"/>
    </row>
    <row r="85" spans="3:12" x14ac:dyDescent="0.3">
      <c r="C85" s="5"/>
      <c r="D85" s="6"/>
      <c r="E85" s="6"/>
      <c r="F85" s="6"/>
      <c r="G85" s="8"/>
      <c r="H85" s="8"/>
      <c r="I85" s="8"/>
      <c r="J85" s="7"/>
      <c r="K85" s="7"/>
      <c r="L85" s="4"/>
    </row>
    <row r="86" spans="3:12" x14ac:dyDescent="0.3">
      <c r="C86" s="5"/>
      <c r="D86" s="6"/>
      <c r="E86" s="6"/>
      <c r="F86" s="6"/>
      <c r="G86" s="8"/>
      <c r="H86" s="8"/>
      <c r="I86" s="8"/>
      <c r="J86" s="7"/>
      <c r="K86" s="7"/>
      <c r="L86" s="4"/>
    </row>
    <row r="87" spans="3:12" x14ac:dyDescent="0.3">
      <c r="C87" s="5"/>
      <c r="D87" s="6"/>
      <c r="E87" s="6"/>
      <c r="F87" s="6"/>
      <c r="G87" s="8"/>
      <c r="H87" s="8"/>
      <c r="I87" s="8"/>
      <c r="J87" s="7"/>
      <c r="K87" s="7"/>
      <c r="L87" s="4"/>
    </row>
    <row r="88" spans="3:12" x14ac:dyDescent="0.3">
      <c r="C88" s="5"/>
      <c r="D88" s="6"/>
      <c r="E88" s="6"/>
      <c r="F88" s="6"/>
      <c r="G88" s="8"/>
      <c r="H88" s="8"/>
      <c r="I88" s="8"/>
      <c r="J88" s="7"/>
      <c r="K88" s="7"/>
      <c r="L88" s="4"/>
    </row>
    <row r="89" spans="3:12" x14ac:dyDescent="0.3">
      <c r="C89" s="5"/>
      <c r="D89" s="6"/>
      <c r="E89" s="6"/>
      <c r="F89" s="6"/>
      <c r="G89" s="8"/>
      <c r="H89" s="8"/>
      <c r="I89" s="8"/>
      <c r="J89" s="7"/>
      <c r="K89" s="7"/>
      <c r="L89" s="4"/>
    </row>
    <row r="90" spans="3:12" x14ac:dyDescent="0.3">
      <c r="C90" s="5"/>
      <c r="D90" s="6"/>
      <c r="E90" s="6"/>
      <c r="F90" s="6"/>
      <c r="G90" s="8"/>
      <c r="H90" s="8"/>
      <c r="I90" s="8"/>
      <c r="J90" s="7"/>
      <c r="K90" s="7"/>
      <c r="L90" s="4"/>
    </row>
    <row r="91" spans="3:12" x14ac:dyDescent="0.3">
      <c r="C91" s="5"/>
      <c r="D91" s="6"/>
      <c r="E91" s="6"/>
      <c r="F91" s="6"/>
      <c r="G91" s="8"/>
      <c r="H91" s="8"/>
      <c r="I91" s="8"/>
      <c r="J91" s="7"/>
      <c r="K91" s="7"/>
      <c r="L91" s="4"/>
    </row>
    <row r="92" spans="3:12" x14ac:dyDescent="0.3">
      <c r="C92" s="5"/>
      <c r="D92" s="6"/>
      <c r="E92" s="6"/>
      <c r="F92" s="6"/>
      <c r="G92" s="8"/>
      <c r="H92" s="8"/>
      <c r="I92" s="8"/>
      <c r="J92" s="7"/>
      <c r="K92" s="7"/>
      <c r="L92" s="4"/>
    </row>
    <row r="93" spans="3:12" x14ac:dyDescent="0.3">
      <c r="C93" s="5"/>
      <c r="D93" s="6"/>
      <c r="E93" s="6"/>
      <c r="F93" s="6"/>
      <c r="G93" s="8"/>
      <c r="H93" s="8"/>
      <c r="I93" s="8"/>
      <c r="J93" s="7"/>
      <c r="K93" s="7"/>
      <c r="L93" s="4"/>
    </row>
    <row r="94" spans="3:12" x14ac:dyDescent="0.3">
      <c r="C94" s="5"/>
      <c r="D94" s="6"/>
      <c r="E94" s="6"/>
      <c r="F94" s="6"/>
      <c r="G94" s="8"/>
      <c r="H94" s="8"/>
      <c r="I94" s="8"/>
      <c r="J94" s="7"/>
      <c r="K94" s="7"/>
      <c r="L94" s="4"/>
    </row>
    <row r="95" spans="3:12" x14ac:dyDescent="0.3">
      <c r="C95" s="5"/>
      <c r="D95" s="6"/>
      <c r="E95" s="6"/>
      <c r="F95" s="6"/>
      <c r="G95" s="8"/>
      <c r="H95" s="8"/>
      <c r="I95" s="8"/>
      <c r="J95" s="7"/>
      <c r="K95" s="7"/>
      <c r="L95" s="4"/>
    </row>
    <row r="96" spans="3:12" x14ac:dyDescent="0.3">
      <c r="C96" s="5"/>
      <c r="D96" s="6"/>
      <c r="E96" s="6"/>
      <c r="F96" s="6"/>
      <c r="G96" s="8"/>
      <c r="H96" s="8"/>
      <c r="I96" s="8"/>
      <c r="J96" s="7"/>
      <c r="K96" s="7"/>
      <c r="L96" s="4"/>
    </row>
    <row r="97" spans="3:12" x14ac:dyDescent="0.3">
      <c r="C97" s="5"/>
      <c r="D97" s="6"/>
      <c r="E97" s="6"/>
      <c r="F97" s="6"/>
      <c r="G97" s="8"/>
      <c r="H97" s="8"/>
      <c r="I97" s="8"/>
      <c r="J97" s="7"/>
      <c r="K97" s="7"/>
      <c r="L97" s="4"/>
    </row>
    <row r="98" spans="3:12" x14ac:dyDescent="0.3">
      <c r="C98" s="5"/>
      <c r="D98" s="6"/>
      <c r="E98" s="6"/>
      <c r="F98" s="6"/>
      <c r="G98" s="8"/>
      <c r="H98" s="8"/>
      <c r="I98" s="8"/>
      <c r="J98" s="7"/>
      <c r="K98" s="7"/>
      <c r="L98" s="4"/>
    </row>
    <row r="99" spans="3:12" x14ac:dyDescent="0.3">
      <c r="C99" s="5"/>
      <c r="D99" s="6"/>
      <c r="E99" s="6"/>
      <c r="F99" s="6"/>
      <c r="G99" s="8"/>
      <c r="H99" s="8"/>
      <c r="I99" s="8"/>
      <c r="J99" s="7"/>
      <c r="K99" s="7"/>
      <c r="L99" s="4"/>
    </row>
    <row r="100" spans="3:12" x14ac:dyDescent="0.3">
      <c r="C100" s="5"/>
      <c r="D100" s="6"/>
      <c r="E100" s="6"/>
      <c r="F100" s="6"/>
      <c r="G100" s="8"/>
      <c r="H100" s="8"/>
      <c r="I100" s="8"/>
      <c r="J100" s="7"/>
      <c r="K100" s="7"/>
      <c r="L100" s="4"/>
    </row>
    <row r="101" spans="3:12" x14ac:dyDescent="0.3">
      <c r="C101" s="5"/>
      <c r="D101" s="6"/>
      <c r="E101" s="6"/>
      <c r="F101" s="6"/>
      <c r="G101" s="8"/>
      <c r="H101" s="8"/>
      <c r="I101" s="8"/>
      <c r="J101" s="7"/>
      <c r="K101" s="7"/>
      <c r="L101" s="4"/>
    </row>
    <row r="102" spans="3:12" x14ac:dyDescent="0.3">
      <c r="C102" s="5"/>
      <c r="D102" s="6"/>
      <c r="E102" s="6"/>
      <c r="F102" s="6"/>
      <c r="G102" s="8"/>
      <c r="H102" s="8"/>
      <c r="I102" s="8"/>
      <c r="J102" s="7"/>
      <c r="K102" s="7"/>
      <c r="L102" s="4"/>
    </row>
    <row r="103" spans="3:12" x14ac:dyDescent="0.3">
      <c r="C103" s="5"/>
      <c r="D103" s="6"/>
      <c r="E103" s="6"/>
      <c r="F103" s="6"/>
      <c r="G103" s="8"/>
      <c r="H103" s="8"/>
      <c r="I103" s="8"/>
      <c r="J103" s="7"/>
      <c r="K103" s="7"/>
      <c r="L103" s="4"/>
    </row>
    <row r="104" spans="3:12" x14ac:dyDescent="0.3">
      <c r="C104" s="5"/>
      <c r="D104" s="6"/>
      <c r="E104" s="6"/>
      <c r="F104" s="6"/>
      <c r="G104" s="8"/>
      <c r="H104" s="8"/>
      <c r="I104" s="8"/>
      <c r="J104" s="7"/>
      <c r="K104" s="7"/>
      <c r="L104" s="4"/>
    </row>
    <row r="105" spans="3:12" x14ac:dyDescent="0.3">
      <c r="C105" s="5"/>
      <c r="D105" s="6"/>
      <c r="E105" s="6"/>
      <c r="F105" s="6"/>
      <c r="G105" s="8"/>
      <c r="H105" s="8"/>
      <c r="I105" s="8"/>
      <c r="J105" s="7"/>
      <c r="K105" s="7"/>
      <c r="L105" s="4"/>
    </row>
    <row r="106" spans="3:12" x14ac:dyDescent="0.3">
      <c r="C106" s="5"/>
      <c r="D106" s="6"/>
      <c r="E106" s="6"/>
      <c r="F106" s="6"/>
      <c r="G106" s="8"/>
      <c r="H106" s="8"/>
      <c r="I106" s="8"/>
      <c r="J106" s="7"/>
      <c r="K106" s="7"/>
      <c r="L106" s="4"/>
    </row>
    <row r="107" spans="3:12" x14ac:dyDescent="0.3">
      <c r="C107" s="5"/>
      <c r="D107" s="6"/>
      <c r="E107" s="6"/>
      <c r="F107" s="6"/>
      <c r="G107" s="8"/>
      <c r="H107" s="8"/>
      <c r="I107" s="8"/>
      <c r="J107" s="7"/>
      <c r="K107" s="7"/>
      <c r="L107" s="4"/>
    </row>
    <row r="108" spans="3:12" x14ac:dyDescent="0.3">
      <c r="C108" s="5"/>
      <c r="D108" s="6"/>
      <c r="E108" s="6"/>
      <c r="F108" s="6"/>
      <c r="G108" s="8"/>
      <c r="H108" s="8"/>
      <c r="I108" s="8"/>
      <c r="J108" s="7"/>
      <c r="K108" s="7"/>
      <c r="L108" s="4"/>
    </row>
    <row r="109" spans="3:12" x14ac:dyDescent="0.3">
      <c r="C109" s="5"/>
      <c r="D109" s="6"/>
      <c r="E109" s="6"/>
      <c r="F109" s="6"/>
      <c r="G109" s="8"/>
      <c r="H109" s="8"/>
      <c r="I109" s="8"/>
      <c r="J109" s="7"/>
      <c r="K109" s="7"/>
      <c r="L109" s="4"/>
    </row>
    <row r="110" spans="3:12" x14ac:dyDescent="0.3">
      <c r="C110" s="5"/>
      <c r="D110" s="6"/>
      <c r="E110" s="6"/>
      <c r="F110" s="6"/>
      <c r="G110" s="8"/>
      <c r="H110" s="8"/>
      <c r="I110" s="8"/>
      <c r="J110" s="7"/>
      <c r="K110" s="7"/>
      <c r="L110" s="4"/>
    </row>
    <row r="111" spans="3:12" x14ac:dyDescent="0.3">
      <c r="C111" s="5"/>
      <c r="D111" s="6"/>
      <c r="E111" s="6"/>
      <c r="F111" s="6"/>
      <c r="G111" s="8"/>
      <c r="H111" s="8"/>
      <c r="I111" s="8"/>
      <c r="J111" s="7"/>
      <c r="K111" s="7"/>
      <c r="L111" s="4"/>
    </row>
    <row r="112" spans="3:12" x14ac:dyDescent="0.3">
      <c r="C112" s="5"/>
      <c r="D112" s="6"/>
      <c r="E112" s="6"/>
      <c r="F112" s="6"/>
      <c r="G112" s="8"/>
      <c r="H112" s="8"/>
      <c r="I112" s="8"/>
      <c r="J112" s="7"/>
      <c r="K112" s="7"/>
      <c r="L112" s="4"/>
    </row>
    <row r="113" spans="3:17" x14ac:dyDescent="0.3">
      <c r="C113" s="5"/>
      <c r="D113" s="6"/>
      <c r="E113" s="6"/>
      <c r="F113" s="6"/>
      <c r="G113" s="8"/>
      <c r="H113" s="8"/>
      <c r="I113" s="8"/>
      <c r="J113" s="7"/>
      <c r="K113" s="7"/>
      <c r="L113" s="4"/>
    </row>
    <row r="114" spans="3:17" x14ac:dyDescent="0.3">
      <c r="C114" s="5"/>
      <c r="D114" s="6"/>
      <c r="E114" s="6"/>
      <c r="F114" s="6"/>
      <c r="G114" s="8"/>
      <c r="H114" s="8"/>
      <c r="I114" s="8"/>
      <c r="J114" s="7"/>
      <c r="K114" s="7"/>
      <c r="L114" s="4"/>
    </row>
    <row r="115" spans="3:17" x14ac:dyDescent="0.3">
      <c r="C115" s="5"/>
      <c r="D115" s="6"/>
      <c r="E115" s="6"/>
      <c r="F115" s="6"/>
      <c r="G115" s="8"/>
      <c r="H115" s="8"/>
      <c r="I115" s="8"/>
      <c r="J115" s="7"/>
      <c r="K115" s="7"/>
      <c r="L115" s="4"/>
    </row>
    <row r="116" spans="3:17" x14ac:dyDescent="0.3">
      <c r="C116" s="5"/>
      <c r="D116" s="6"/>
      <c r="E116" s="6"/>
      <c r="F116" s="6"/>
      <c r="G116" s="8"/>
      <c r="H116" s="8"/>
      <c r="I116" s="8"/>
      <c r="J116" s="7"/>
      <c r="K116" s="7"/>
      <c r="L116" s="4"/>
    </row>
    <row r="117" spans="3:17" x14ac:dyDescent="0.3">
      <c r="C117" s="5"/>
      <c r="D117" s="6"/>
      <c r="E117" s="6"/>
      <c r="F117" s="6"/>
      <c r="G117" s="8"/>
      <c r="H117" s="8"/>
      <c r="I117" s="8"/>
      <c r="J117" s="7"/>
      <c r="K117" s="7"/>
      <c r="L117" s="4"/>
    </row>
    <row r="118" spans="3:17" x14ac:dyDescent="0.3">
      <c r="C118" s="5"/>
      <c r="D118" s="6"/>
      <c r="E118" s="6"/>
      <c r="F118" s="6"/>
      <c r="G118" s="8"/>
      <c r="H118" s="8"/>
      <c r="I118" s="8"/>
      <c r="J118" s="7"/>
      <c r="K118" s="7"/>
      <c r="L118" s="4"/>
    </row>
    <row r="119" spans="3:17" x14ac:dyDescent="0.3">
      <c r="C119" s="5"/>
      <c r="D119" s="6"/>
      <c r="E119" s="6"/>
      <c r="F119" s="6"/>
      <c r="G119" s="8"/>
      <c r="H119" s="8"/>
      <c r="I119" s="8"/>
      <c r="J119" s="7"/>
      <c r="K119" s="7"/>
      <c r="L119" s="4"/>
    </row>
    <row r="120" spans="3:17" x14ac:dyDescent="0.3">
      <c r="C120" s="5"/>
      <c r="D120" s="6"/>
      <c r="E120" s="6"/>
      <c r="F120" s="6"/>
      <c r="G120" s="8"/>
      <c r="H120" s="8"/>
      <c r="I120" s="8"/>
      <c r="J120" s="7"/>
      <c r="K120" s="7"/>
      <c r="L120" s="4"/>
    </row>
    <row r="121" spans="3:17" x14ac:dyDescent="0.3">
      <c r="C121" s="5"/>
      <c r="D121" s="6"/>
      <c r="E121" s="6"/>
      <c r="F121" s="6"/>
      <c r="G121" s="8"/>
      <c r="H121" s="8"/>
      <c r="I121" s="8"/>
      <c r="J121" s="7"/>
      <c r="K121" s="7"/>
      <c r="L121" s="4"/>
    </row>
    <row r="122" spans="3:17" x14ac:dyDescent="0.3">
      <c r="C122" s="5"/>
      <c r="D122" s="6"/>
      <c r="E122" s="6"/>
      <c r="F122" s="6"/>
      <c r="G122" s="5"/>
      <c r="H122" s="5"/>
      <c r="I122" s="5"/>
      <c r="J122" s="7"/>
      <c r="K122" s="7"/>
      <c r="L122" s="4"/>
      <c r="Q122" s="2"/>
    </row>
    <row r="123" spans="3:17" x14ac:dyDescent="0.3">
      <c r="C123" s="5"/>
      <c r="D123" s="6"/>
      <c r="E123" s="6"/>
      <c r="F123" s="6"/>
      <c r="G123" s="5"/>
      <c r="H123" s="5"/>
      <c r="I123" s="5"/>
      <c r="J123" s="7"/>
      <c r="K123" s="7"/>
      <c r="L123" s="4"/>
      <c r="Q123" s="2"/>
    </row>
    <row r="124" spans="3:17" x14ac:dyDescent="0.3">
      <c r="C124" s="5"/>
      <c r="D124" s="6"/>
      <c r="E124" s="6"/>
      <c r="F124" s="6"/>
      <c r="G124" s="5"/>
      <c r="H124" s="5"/>
      <c r="I124" s="5"/>
      <c r="J124" s="7"/>
      <c r="K124" s="7"/>
      <c r="L124" s="4"/>
      <c r="Q124" s="2"/>
    </row>
    <row r="125" spans="3:17" x14ac:dyDescent="0.3">
      <c r="C125" s="5"/>
      <c r="D125" s="6"/>
      <c r="E125" s="6"/>
      <c r="F125" s="6"/>
      <c r="G125" s="5"/>
      <c r="H125" s="5"/>
      <c r="I125" s="5"/>
      <c r="J125" s="7"/>
      <c r="K125" s="7"/>
      <c r="L125" s="4"/>
      <c r="Q125" s="2"/>
    </row>
    <row r="126" spans="3:17" x14ac:dyDescent="0.3">
      <c r="C126" s="5"/>
      <c r="D126" s="6"/>
      <c r="E126" s="6"/>
      <c r="F126" s="6"/>
      <c r="G126" s="5"/>
      <c r="H126" s="5"/>
      <c r="I126" s="5"/>
      <c r="J126" s="7"/>
      <c r="K126" s="7"/>
      <c r="L126" s="4"/>
      <c r="Q126" s="2"/>
    </row>
    <row r="127" spans="3:17" x14ac:dyDescent="0.3">
      <c r="C127" s="5"/>
      <c r="D127" s="6"/>
      <c r="E127" s="6"/>
      <c r="F127" s="6"/>
      <c r="G127" s="5"/>
      <c r="H127" s="5"/>
      <c r="I127" s="5"/>
      <c r="J127" s="7"/>
      <c r="K127" s="7"/>
      <c r="L127" s="4"/>
      <c r="Q127" s="2"/>
    </row>
    <row r="128" spans="3:17" x14ac:dyDescent="0.3">
      <c r="C128" s="5"/>
      <c r="D128" s="6"/>
      <c r="E128" s="6"/>
      <c r="F128" s="6"/>
      <c r="G128" s="5"/>
      <c r="H128" s="5"/>
      <c r="I128" s="5"/>
      <c r="J128" s="7"/>
      <c r="K128" s="7"/>
      <c r="L128" s="4"/>
      <c r="Q128" s="2"/>
    </row>
    <row r="129" spans="3:17" x14ac:dyDescent="0.3">
      <c r="C129" s="5"/>
      <c r="D129" s="6"/>
      <c r="E129" s="6"/>
      <c r="F129" s="6"/>
      <c r="G129" s="5"/>
      <c r="H129" s="5"/>
      <c r="I129" s="5"/>
      <c r="J129" s="7"/>
      <c r="K129" s="7"/>
      <c r="L129" s="4"/>
      <c r="Q129" s="2"/>
    </row>
    <row r="130" spans="3:17" x14ac:dyDescent="0.3">
      <c r="C130" s="5"/>
      <c r="D130" s="6"/>
      <c r="E130" s="6"/>
      <c r="F130" s="6"/>
      <c r="G130" s="5"/>
      <c r="H130" s="5"/>
      <c r="I130" s="5"/>
      <c r="J130" s="7"/>
      <c r="K130" s="7"/>
      <c r="L130" s="4"/>
      <c r="Q130" s="2"/>
    </row>
    <row r="131" spans="3:17" x14ac:dyDescent="0.3">
      <c r="C131" s="5"/>
      <c r="D131" s="6"/>
      <c r="E131" s="6"/>
      <c r="F131" s="6"/>
      <c r="G131" s="5"/>
      <c r="H131" s="5"/>
      <c r="I131" s="5"/>
      <c r="J131" s="7"/>
      <c r="K131" s="7"/>
      <c r="L131" s="4"/>
      <c r="Q131" s="2"/>
    </row>
    <row r="132" spans="3:17" x14ac:dyDescent="0.3">
      <c r="C132" s="5"/>
      <c r="D132" s="6"/>
      <c r="E132" s="6"/>
      <c r="F132" s="6"/>
      <c r="G132" s="5"/>
      <c r="H132" s="5"/>
      <c r="I132" s="5"/>
      <c r="J132" s="7"/>
      <c r="K132" s="7"/>
      <c r="L132" s="4"/>
      <c r="Q132" s="2"/>
    </row>
    <row r="133" spans="3:17" x14ac:dyDescent="0.3">
      <c r="C133" s="5"/>
      <c r="D133" s="6"/>
      <c r="E133" s="6"/>
      <c r="F133" s="6"/>
      <c r="G133" s="5"/>
      <c r="H133" s="5"/>
      <c r="I133" s="5"/>
      <c r="J133" s="7"/>
      <c r="K133" s="7"/>
      <c r="L133" s="4"/>
      <c r="Q133" s="2"/>
    </row>
    <row r="134" spans="3:17" x14ac:dyDescent="0.3">
      <c r="C134" s="5"/>
      <c r="D134" s="6"/>
      <c r="E134" s="6"/>
      <c r="F134" s="6"/>
      <c r="G134" s="5"/>
      <c r="H134" s="5"/>
      <c r="I134" s="5"/>
      <c r="J134" s="7"/>
      <c r="K134" s="7"/>
      <c r="L134" s="4"/>
      <c r="Q134" s="2"/>
    </row>
    <row r="135" spans="3:17" x14ac:dyDescent="0.3">
      <c r="C135" s="5"/>
      <c r="D135" s="6"/>
      <c r="E135" s="6"/>
      <c r="F135" s="6"/>
      <c r="G135" s="5"/>
      <c r="H135" s="5"/>
      <c r="I135" s="5"/>
      <c r="J135" s="7"/>
      <c r="K135" s="7"/>
      <c r="L135" s="4"/>
      <c r="Q135" s="2"/>
    </row>
    <row r="136" spans="3:17" x14ac:dyDescent="0.3">
      <c r="C136" s="5"/>
      <c r="D136" s="6"/>
      <c r="E136" s="6"/>
      <c r="F136" s="6"/>
      <c r="G136" s="5"/>
      <c r="H136" s="5"/>
      <c r="I136" s="5"/>
      <c r="J136" s="7"/>
      <c r="K136" s="7"/>
      <c r="L136" s="4"/>
      <c r="Q136" s="2"/>
    </row>
    <row r="137" spans="3:17" x14ac:dyDescent="0.3">
      <c r="C137" s="5"/>
      <c r="D137" s="6"/>
      <c r="E137" s="6"/>
      <c r="F137" s="6"/>
      <c r="G137" s="5"/>
      <c r="H137" s="5"/>
      <c r="I137" s="5"/>
      <c r="J137" s="7"/>
      <c r="K137" s="7"/>
      <c r="L137" s="4"/>
      <c r="Q137" s="2"/>
    </row>
    <row r="138" spans="3:17" x14ac:dyDescent="0.3">
      <c r="C138" s="5"/>
      <c r="D138" s="6"/>
      <c r="E138" s="6"/>
      <c r="F138" s="6"/>
      <c r="G138" s="5"/>
      <c r="H138" s="5"/>
      <c r="I138" s="5"/>
      <c r="J138" s="7"/>
      <c r="K138" s="7"/>
      <c r="L138" s="4"/>
      <c r="Q138" s="2"/>
    </row>
    <row r="139" spans="3:17" x14ac:dyDescent="0.3">
      <c r="C139" s="5"/>
      <c r="D139" s="6"/>
      <c r="E139" s="6"/>
      <c r="F139" s="6"/>
      <c r="G139" s="5"/>
      <c r="H139" s="5"/>
      <c r="I139" s="5"/>
      <c r="J139" s="7"/>
      <c r="K139" s="7"/>
      <c r="L139" s="4"/>
      <c r="Q139" s="2"/>
    </row>
    <row r="140" spans="3:17" x14ac:dyDescent="0.3">
      <c r="C140" s="5"/>
      <c r="D140" s="6"/>
      <c r="E140" s="6"/>
      <c r="F140" s="6"/>
      <c r="G140" s="5"/>
      <c r="H140" s="5"/>
      <c r="I140" s="5"/>
      <c r="J140" s="7"/>
      <c r="K140" s="7"/>
      <c r="L140" s="4"/>
      <c r="Q140" s="2"/>
    </row>
    <row r="141" spans="3:17" x14ac:dyDescent="0.3">
      <c r="C141" s="5"/>
      <c r="D141" s="6"/>
      <c r="E141" s="6"/>
      <c r="F141" s="6"/>
      <c r="G141" s="5"/>
      <c r="H141" s="5"/>
      <c r="I141" s="5"/>
      <c r="J141" s="7"/>
      <c r="K141" s="7"/>
      <c r="L141" s="4"/>
      <c r="Q141" s="2"/>
    </row>
    <row r="142" spans="3:17" x14ac:dyDescent="0.3">
      <c r="C142" s="5"/>
      <c r="D142" s="6"/>
      <c r="E142" s="6"/>
      <c r="F142" s="6"/>
      <c r="G142" s="5"/>
      <c r="H142" s="5"/>
      <c r="I142" s="5"/>
      <c r="J142" s="7"/>
      <c r="K142" s="7"/>
      <c r="L142" s="4"/>
      <c r="Q142" s="2"/>
    </row>
    <row r="143" spans="3:17" x14ac:dyDescent="0.3">
      <c r="C143" s="5"/>
      <c r="D143" s="6"/>
      <c r="E143" s="6"/>
      <c r="F143" s="6"/>
      <c r="G143" s="5"/>
      <c r="H143" s="5"/>
      <c r="I143" s="5"/>
      <c r="J143" s="7"/>
      <c r="K143" s="7"/>
      <c r="L143" s="4"/>
      <c r="Q143" s="2"/>
    </row>
    <row r="144" spans="3:17" x14ac:dyDescent="0.3">
      <c r="C144" s="5"/>
      <c r="D144" s="6"/>
      <c r="E144" s="6"/>
      <c r="F144" s="6"/>
      <c r="G144" s="5"/>
      <c r="H144" s="5"/>
      <c r="I144" s="5"/>
      <c r="J144" s="7"/>
      <c r="K144" s="7"/>
      <c r="L144" s="4"/>
      <c r="Q144" s="2"/>
    </row>
    <row r="145" spans="3:17" x14ac:dyDescent="0.3">
      <c r="C145" s="5"/>
      <c r="D145" s="6"/>
      <c r="E145" s="6"/>
      <c r="F145" s="6"/>
      <c r="G145" s="5"/>
      <c r="H145" s="5"/>
      <c r="I145" s="5"/>
      <c r="J145" s="7"/>
      <c r="K145" s="7"/>
      <c r="L145" s="4"/>
      <c r="Q145" s="2"/>
    </row>
    <row r="146" spans="3:17" x14ac:dyDescent="0.3">
      <c r="C146" s="5"/>
      <c r="D146" s="6"/>
      <c r="E146" s="6"/>
      <c r="F146" s="6"/>
      <c r="G146" s="5"/>
      <c r="H146" s="5"/>
      <c r="I146" s="5"/>
      <c r="J146" s="7"/>
      <c r="K146" s="7"/>
      <c r="L146" s="4"/>
      <c r="Q146" s="2"/>
    </row>
    <row r="147" spans="3:17" x14ac:dyDescent="0.3">
      <c r="C147" s="5"/>
      <c r="D147" s="6"/>
      <c r="E147" s="6"/>
      <c r="F147" s="6"/>
      <c r="G147" s="5"/>
      <c r="H147" s="5"/>
      <c r="I147" s="5"/>
      <c r="J147" s="7"/>
      <c r="K147" s="7"/>
      <c r="L147" s="4"/>
      <c r="Q147" s="2"/>
    </row>
    <row r="148" spans="3:17" x14ac:dyDescent="0.3">
      <c r="C148" s="5"/>
      <c r="D148" s="6"/>
      <c r="E148" s="6"/>
      <c r="F148" s="6"/>
      <c r="G148" s="5"/>
      <c r="H148" s="5"/>
      <c r="I148" s="5"/>
      <c r="J148" s="7"/>
      <c r="K148" s="7"/>
      <c r="L148" s="4"/>
      <c r="Q148" s="2"/>
    </row>
    <row r="149" spans="3:17" x14ac:dyDescent="0.3">
      <c r="C149" s="5"/>
      <c r="D149" s="6"/>
      <c r="E149" s="6"/>
      <c r="F149" s="6"/>
      <c r="G149" s="5"/>
      <c r="H149" s="5"/>
      <c r="I149" s="5"/>
      <c r="J149" s="7"/>
      <c r="K149" s="7"/>
      <c r="L149" s="4"/>
      <c r="Q149" s="2"/>
    </row>
    <row r="150" spans="3:17" x14ac:dyDescent="0.3">
      <c r="C150" s="5"/>
      <c r="D150" s="6"/>
      <c r="E150" s="6"/>
      <c r="F150" s="6"/>
      <c r="G150" s="5"/>
      <c r="H150" s="5"/>
      <c r="I150" s="5"/>
      <c r="J150" s="7"/>
      <c r="K150" s="7"/>
      <c r="L150" s="4"/>
      <c r="Q150" s="2"/>
    </row>
    <row r="151" spans="3:17" x14ac:dyDescent="0.3">
      <c r="C151" s="5"/>
      <c r="D151" s="6"/>
      <c r="E151" s="6"/>
      <c r="F151" s="6"/>
      <c r="G151" s="5"/>
      <c r="H151" s="5"/>
      <c r="I151" s="5"/>
      <c r="J151" s="7"/>
      <c r="K151" s="7"/>
      <c r="L151" s="4"/>
      <c r="Q151" s="2"/>
    </row>
    <row r="152" spans="3:17" x14ac:dyDescent="0.3">
      <c r="C152" s="5"/>
      <c r="D152" s="6"/>
      <c r="E152" s="6"/>
      <c r="F152" s="6"/>
      <c r="G152" s="5"/>
      <c r="H152" s="5"/>
      <c r="I152" s="5"/>
      <c r="J152" s="7"/>
      <c r="K152" s="7"/>
      <c r="L152" s="4"/>
      <c r="Q152" s="2"/>
    </row>
    <row r="153" spans="3:17" x14ac:dyDescent="0.3">
      <c r="C153" s="5"/>
      <c r="D153" s="6"/>
      <c r="E153" s="6"/>
      <c r="F153" s="6"/>
      <c r="G153" s="5"/>
      <c r="H153" s="5"/>
      <c r="I153" s="5"/>
      <c r="J153" s="7"/>
      <c r="K153" s="7"/>
      <c r="L153" s="4"/>
      <c r="Q153" s="2"/>
    </row>
    <row r="154" spans="3:17" x14ac:dyDescent="0.3">
      <c r="C154" s="5"/>
      <c r="D154" s="6"/>
      <c r="E154" s="6"/>
      <c r="F154" s="6"/>
      <c r="G154" s="5"/>
      <c r="H154" s="5"/>
      <c r="I154" s="5"/>
      <c r="J154" s="7"/>
      <c r="K154" s="7"/>
      <c r="L154" s="4"/>
      <c r="Q154" s="2"/>
    </row>
    <row r="155" spans="3:17" x14ac:dyDescent="0.3">
      <c r="C155" s="5"/>
      <c r="D155" s="6"/>
      <c r="E155" s="6"/>
      <c r="F155" s="6"/>
      <c r="G155" s="5"/>
      <c r="H155" s="5"/>
      <c r="I155" s="5"/>
      <c r="J155" s="7"/>
      <c r="K155" s="7"/>
      <c r="L155" s="4"/>
      <c r="Q155" s="2"/>
    </row>
    <row r="156" spans="3:17" x14ac:dyDescent="0.3">
      <c r="C156" s="5"/>
      <c r="D156" s="6"/>
      <c r="E156" s="6"/>
      <c r="F156" s="6"/>
      <c r="G156" s="5"/>
      <c r="H156" s="5"/>
      <c r="I156" s="5"/>
      <c r="J156" s="7"/>
      <c r="K156" s="7"/>
      <c r="L156" s="4"/>
      <c r="Q156" s="2"/>
    </row>
    <row r="157" spans="3:17" x14ac:dyDescent="0.3">
      <c r="C157" s="5"/>
      <c r="D157" s="6"/>
      <c r="E157" s="6"/>
      <c r="F157" s="6"/>
      <c r="G157" s="5"/>
      <c r="H157" s="5"/>
      <c r="I157" s="5"/>
      <c r="J157" s="7"/>
      <c r="K157" s="7"/>
      <c r="L157" s="4"/>
      <c r="Q157" s="2"/>
    </row>
    <row r="158" spans="3:17" x14ac:dyDescent="0.3">
      <c r="C158" s="5"/>
      <c r="D158" s="6"/>
      <c r="E158" s="6"/>
      <c r="F158" s="6"/>
      <c r="G158" s="5"/>
      <c r="H158" s="5"/>
      <c r="I158" s="5"/>
      <c r="J158" s="7"/>
      <c r="K158" s="7"/>
      <c r="L158" s="4"/>
      <c r="Q158" s="2"/>
    </row>
    <row r="159" spans="3:17" x14ac:dyDescent="0.3">
      <c r="C159" s="5"/>
      <c r="D159" s="6"/>
      <c r="E159" s="6"/>
      <c r="F159" s="6"/>
      <c r="G159" s="5"/>
      <c r="H159" s="5"/>
      <c r="I159" s="5"/>
      <c r="J159" s="7"/>
      <c r="K159" s="7"/>
      <c r="L159" s="4"/>
      <c r="Q159" s="2"/>
    </row>
    <row r="160" spans="3:17" x14ac:dyDescent="0.3">
      <c r="C160" s="5"/>
      <c r="D160" s="6"/>
      <c r="E160" s="6"/>
      <c r="F160" s="6"/>
      <c r="G160" s="5"/>
      <c r="H160" s="5"/>
      <c r="I160" s="5"/>
      <c r="J160" s="7"/>
      <c r="K160" s="7"/>
      <c r="L160" s="4"/>
      <c r="Q160" s="2"/>
    </row>
    <row r="161" spans="3:17" x14ac:dyDescent="0.3">
      <c r="C161" s="5"/>
      <c r="D161" s="6"/>
      <c r="E161" s="6"/>
      <c r="F161" s="6"/>
      <c r="G161" s="5"/>
      <c r="H161" s="5"/>
      <c r="I161" s="5"/>
      <c r="J161" s="7"/>
      <c r="K161" s="7"/>
      <c r="L161" s="4"/>
      <c r="Q161" s="2"/>
    </row>
    <row r="162" spans="3:17" x14ac:dyDescent="0.3">
      <c r="C162" s="5"/>
      <c r="D162" s="6"/>
      <c r="E162" s="6"/>
      <c r="F162" s="6"/>
      <c r="G162" s="5"/>
      <c r="H162" s="5"/>
      <c r="I162" s="5"/>
      <c r="J162" s="7"/>
      <c r="K162" s="7"/>
      <c r="L162" s="4"/>
      <c r="Q162" s="2"/>
    </row>
    <row r="163" spans="3:17" x14ac:dyDescent="0.3">
      <c r="C163" s="5"/>
      <c r="D163" s="6"/>
      <c r="E163" s="6"/>
      <c r="F163" s="6"/>
      <c r="G163" s="5"/>
      <c r="H163" s="5"/>
      <c r="I163" s="5"/>
      <c r="J163" s="7"/>
      <c r="K163" s="7"/>
      <c r="L163" s="4"/>
      <c r="Q163" s="2"/>
    </row>
    <row r="164" spans="3:17" x14ac:dyDescent="0.3">
      <c r="C164" s="5"/>
      <c r="D164" s="6"/>
      <c r="E164" s="6"/>
      <c r="F164" s="6"/>
      <c r="G164" s="5"/>
      <c r="H164" s="5"/>
      <c r="I164" s="5"/>
      <c r="J164" s="7"/>
      <c r="K164" s="7"/>
      <c r="L164" s="4"/>
      <c r="Q164" s="2"/>
    </row>
    <row r="165" spans="3:17" x14ac:dyDescent="0.3">
      <c r="C165" s="5"/>
      <c r="D165" s="6"/>
      <c r="E165" s="6"/>
      <c r="F165" s="6"/>
      <c r="G165" s="5"/>
      <c r="H165" s="5"/>
      <c r="I165" s="5"/>
      <c r="J165" s="7"/>
      <c r="K165" s="7"/>
      <c r="L165" s="4"/>
      <c r="Q165" s="2"/>
    </row>
    <row r="166" spans="3:17" x14ac:dyDescent="0.3">
      <c r="C166" s="5"/>
      <c r="D166" s="6"/>
      <c r="E166" s="6"/>
      <c r="F166" s="6"/>
      <c r="G166" s="5"/>
      <c r="H166" s="5"/>
      <c r="I166" s="5"/>
      <c r="J166" s="7"/>
      <c r="K166" s="7"/>
      <c r="L166" s="4"/>
      <c r="Q166" s="2"/>
    </row>
    <row r="167" spans="3:17" x14ac:dyDescent="0.3">
      <c r="C167" s="5"/>
      <c r="D167" s="6"/>
      <c r="E167" s="6"/>
      <c r="F167" s="6"/>
      <c r="G167" s="5"/>
      <c r="H167" s="5"/>
      <c r="I167" s="5"/>
      <c r="J167" s="7"/>
      <c r="K167" s="7"/>
      <c r="L167" s="4"/>
      <c r="Q167" s="2"/>
    </row>
    <row r="168" spans="3:17" x14ac:dyDescent="0.3">
      <c r="C168" s="5"/>
      <c r="D168" s="6"/>
      <c r="E168" s="6"/>
      <c r="F168" s="6"/>
      <c r="G168" s="5"/>
      <c r="H168" s="5"/>
      <c r="I168" s="5"/>
      <c r="J168" s="7"/>
      <c r="K168" s="7"/>
      <c r="L168" s="4"/>
      <c r="Q168" s="2"/>
    </row>
    <row r="169" spans="3:17" x14ac:dyDescent="0.3">
      <c r="C169" s="5"/>
      <c r="D169" s="6"/>
      <c r="E169" s="6"/>
      <c r="F169" s="6"/>
      <c r="G169" s="5"/>
      <c r="H169" s="5"/>
      <c r="I169" s="5"/>
      <c r="J169" s="7"/>
      <c r="K169" s="7"/>
      <c r="L169" s="4"/>
      <c r="Q169" s="2"/>
    </row>
    <row r="170" spans="3:17" x14ac:dyDescent="0.3">
      <c r="C170" s="5"/>
      <c r="D170" s="6"/>
      <c r="E170" s="6"/>
      <c r="F170" s="6"/>
      <c r="G170" s="5"/>
      <c r="H170" s="5"/>
      <c r="I170" s="5"/>
      <c r="J170" s="7"/>
      <c r="K170" s="7"/>
      <c r="L170" s="4"/>
      <c r="Q170" s="2"/>
    </row>
    <row r="171" spans="3:17" x14ac:dyDescent="0.3">
      <c r="C171" s="5"/>
      <c r="D171" s="6"/>
      <c r="E171" s="6"/>
      <c r="F171" s="6"/>
      <c r="G171" s="5"/>
      <c r="H171" s="5"/>
      <c r="I171" s="5"/>
      <c r="J171" s="7"/>
      <c r="K171" s="7"/>
      <c r="L171" s="4"/>
      <c r="Q171" s="2"/>
    </row>
    <row r="172" spans="3:17" x14ac:dyDescent="0.3">
      <c r="C172" s="5"/>
      <c r="D172" s="6"/>
      <c r="E172" s="6"/>
      <c r="F172" s="6"/>
      <c r="G172" s="5"/>
      <c r="H172" s="5"/>
      <c r="I172" s="5"/>
      <c r="J172" s="7"/>
      <c r="K172" s="7"/>
      <c r="L172" s="4"/>
      <c r="Q172" s="2"/>
    </row>
    <row r="173" spans="3:17" x14ac:dyDescent="0.3">
      <c r="C173" s="5"/>
      <c r="D173" s="6"/>
      <c r="E173" s="6"/>
      <c r="F173" s="6"/>
      <c r="G173" s="5"/>
      <c r="H173" s="5"/>
      <c r="I173" s="5"/>
      <c r="J173" s="7"/>
      <c r="K173" s="7"/>
      <c r="L173" s="4"/>
      <c r="Q173" s="2"/>
    </row>
    <row r="174" spans="3:17" x14ac:dyDescent="0.3">
      <c r="C174" s="5"/>
      <c r="D174" s="6"/>
      <c r="E174" s="6"/>
      <c r="F174" s="6"/>
      <c r="G174" s="5"/>
      <c r="H174" s="5"/>
      <c r="I174" s="5"/>
      <c r="J174" s="7"/>
      <c r="K174" s="7"/>
      <c r="L174" s="4"/>
      <c r="Q174" s="2"/>
    </row>
    <row r="175" spans="3:17" x14ac:dyDescent="0.3">
      <c r="C175" s="5"/>
      <c r="D175" s="6"/>
      <c r="E175" s="6"/>
      <c r="F175" s="6"/>
      <c r="G175" s="5"/>
      <c r="H175" s="5"/>
      <c r="I175" s="5"/>
      <c r="J175" s="7"/>
      <c r="K175" s="7"/>
      <c r="L175" s="4"/>
      <c r="Q175" s="2"/>
    </row>
    <row r="176" spans="3:17" x14ac:dyDescent="0.3">
      <c r="C176" s="5"/>
      <c r="D176" s="6"/>
      <c r="E176" s="6"/>
      <c r="F176" s="6"/>
      <c r="G176" s="5"/>
      <c r="H176" s="5"/>
      <c r="I176" s="5"/>
      <c r="J176" s="7"/>
      <c r="K176" s="7"/>
      <c r="L176" s="4"/>
      <c r="Q176" s="2"/>
    </row>
    <row r="177" spans="3:17" x14ac:dyDescent="0.3">
      <c r="C177" s="5"/>
      <c r="D177" s="6"/>
      <c r="E177" s="6"/>
      <c r="F177" s="6"/>
      <c r="G177" s="5"/>
      <c r="H177" s="5"/>
      <c r="I177" s="5"/>
      <c r="J177" s="7"/>
      <c r="K177" s="7"/>
      <c r="L177" s="4"/>
      <c r="Q177" s="2"/>
    </row>
    <row r="178" spans="3:17" x14ac:dyDescent="0.3">
      <c r="C178" s="5"/>
      <c r="D178" s="6"/>
      <c r="E178" s="6"/>
      <c r="F178" s="6"/>
      <c r="G178" s="5"/>
      <c r="H178" s="5"/>
      <c r="I178" s="5"/>
      <c r="J178" s="7"/>
      <c r="K178" s="7"/>
      <c r="L178" s="4"/>
      <c r="Q178" s="2"/>
    </row>
    <row r="179" spans="3:17" x14ac:dyDescent="0.3">
      <c r="C179" s="5"/>
      <c r="D179" s="6"/>
      <c r="E179" s="6"/>
      <c r="F179" s="6"/>
      <c r="G179" s="5"/>
      <c r="H179" s="5"/>
      <c r="I179" s="5"/>
      <c r="J179" s="7"/>
      <c r="K179" s="7"/>
      <c r="L179" s="4"/>
      <c r="Q179" s="2"/>
    </row>
    <row r="180" spans="3:17" x14ac:dyDescent="0.3">
      <c r="C180" s="5"/>
      <c r="D180" s="6"/>
      <c r="E180" s="6"/>
      <c r="F180" s="6"/>
      <c r="G180" s="5"/>
      <c r="H180" s="5"/>
      <c r="I180" s="5"/>
      <c r="J180" s="7"/>
      <c r="K180" s="7"/>
      <c r="L180" s="4"/>
      <c r="Q180" s="2"/>
    </row>
    <row r="181" spans="3:17" x14ac:dyDescent="0.3">
      <c r="C181" s="5"/>
      <c r="D181" s="6"/>
      <c r="E181" s="6"/>
      <c r="F181" s="6"/>
      <c r="G181" s="5"/>
      <c r="H181" s="5"/>
      <c r="I181" s="5"/>
      <c r="J181" s="7"/>
      <c r="K181" s="7"/>
      <c r="L181" s="4"/>
      <c r="Q181" s="2"/>
    </row>
    <row r="182" spans="3:17" x14ac:dyDescent="0.3">
      <c r="C182" s="5"/>
      <c r="D182" s="6"/>
      <c r="E182" s="6"/>
      <c r="F182" s="6"/>
      <c r="G182" s="5"/>
      <c r="H182" s="5"/>
      <c r="I182" s="5"/>
      <c r="J182" s="7"/>
      <c r="K182" s="7"/>
      <c r="L182" s="4"/>
      <c r="Q182" s="2"/>
    </row>
    <row r="183" spans="3:17" x14ac:dyDescent="0.3">
      <c r="C183" s="5"/>
      <c r="D183" s="6"/>
      <c r="E183" s="6"/>
      <c r="F183" s="6"/>
      <c r="G183" s="5"/>
      <c r="H183" s="5"/>
      <c r="I183" s="5"/>
      <c r="J183" s="7"/>
      <c r="K183" s="7"/>
      <c r="L183" s="4"/>
      <c r="Q183" s="2"/>
    </row>
    <row r="184" spans="3:17" x14ac:dyDescent="0.3">
      <c r="C184" s="5"/>
      <c r="D184" s="6"/>
      <c r="E184" s="6"/>
      <c r="F184" s="6"/>
      <c r="G184" s="5"/>
      <c r="H184" s="5"/>
      <c r="I184" s="5"/>
      <c r="J184" s="7"/>
      <c r="K184" s="7"/>
      <c r="L184" s="4"/>
      <c r="Q184" s="2"/>
    </row>
    <row r="185" spans="3:17" x14ac:dyDescent="0.3">
      <c r="C185" s="5"/>
      <c r="D185" s="6"/>
      <c r="E185" s="6"/>
      <c r="F185" s="6"/>
      <c r="G185" s="5"/>
      <c r="H185" s="5"/>
      <c r="I185" s="5"/>
      <c r="J185" s="7"/>
      <c r="K185" s="7"/>
      <c r="L185" s="4"/>
      <c r="Q185" s="2"/>
    </row>
    <row r="186" spans="3:17" x14ac:dyDescent="0.3">
      <c r="C186" s="5"/>
      <c r="D186" s="6"/>
      <c r="E186" s="6"/>
      <c r="F186" s="6"/>
      <c r="G186" s="5"/>
      <c r="H186" s="5"/>
      <c r="I186" s="5"/>
      <c r="J186" s="7"/>
      <c r="K186" s="7"/>
      <c r="L186" s="4"/>
      <c r="Q186" s="2"/>
    </row>
    <row r="187" spans="3:17" x14ac:dyDescent="0.3">
      <c r="C187" s="5"/>
      <c r="D187" s="6"/>
      <c r="E187" s="6"/>
      <c r="F187" s="6"/>
      <c r="G187" s="5"/>
      <c r="H187" s="5"/>
      <c r="I187" s="5"/>
      <c r="J187" s="7"/>
      <c r="K187" s="7"/>
      <c r="L187" s="4"/>
      <c r="Q187" s="2"/>
    </row>
    <row r="188" spans="3:17" x14ac:dyDescent="0.3">
      <c r="C188" s="5"/>
      <c r="D188" s="6"/>
      <c r="E188" s="6"/>
      <c r="F188" s="6"/>
      <c r="G188" s="5"/>
      <c r="H188" s="5"/>
      <c r="I188" s="5"/>
      <c r="J188" s="7"/>
      <c r="K188" s="7"/>
      <c r="L188" s="4"/>
      <c r="Q188" s="2"/>
    </row>
    <row r="189" spans="3:17" x14ac:dyDescent="0.3">
      <c r="C189" s="5"/>
      <c r="D189" s="6"/>
      <c r="E189" s="6"/>
      <c r="F189" s="6"/>
      <c r="G189" s="5"/>
      <c r="H189" s="5"/>
      <c r="I189" s="5"/>
      <c r="J189" s="7"/>
      <c r="K189" s="7"/>
      <c r="L189" s="4"/>
      <c r="Q189" s="2"/>
    </row>
  </sheetData>
  <conditionalFormatting sqref="B6">
    <cfRule type="expression" dxfId="19" priority="21" stopIfTrue="1">
      <formula>$A$6="Flowpath"</formula>
    </cfRule>
  </conditionalFormatting>
  <conditionalFormatting sqref="J7">
    <cfRule type="expression" dxfId="18" priority="20" stopIfTrue="1">
      <formula>$A7="Pipe"</formula>
    </cfRule>
  </conditionalFormatting>
  <conditionalFormatting sqref="C13:C189 G13:G189 O13:O189 Q13:Q189 A13:A189 J13:J189 M13:M189">
    <cfRule type="expression" dxfId="17" priority="15">
      <formula>OR($A13="Pipe",$A13="Valve",$A13="Connection",$A13="Tank")</formula>
    </cfRule>
  </conditionalFormatting>
  <conditionalFormatting sqref="B13:B189 F13:F189 I13:I189 K13:K189 N13:N189 P13:P189 R13:R189">
    <cfRule type="expression" dxfId="16" priority="16">
      <formula>OR($A13="Pipe",$A13="Valve",$A13="Connection",$A13="Tank")</formula>
    </cfRule>
  </conditionalFormatting>
  <conditionalFormatting sqref="D13:E189 H13:H189 L13:L189">
    <cfRule type="expression" dxfId="15" priority="14">
      <formula>OR($A13="Pipe",$A13="Valve",$A13="Connection",$A13="Tank")</formula>
    </cfRule>
  </conditionalFormatting>
  <conditionalFormatting sqref="Q88:Q189 Q13:R87 A13:L189">
    <cfRule type="expression" dxfId="14" priority="13">
      <formula>$A13="Pipe"</formula>
    </cfRule>
  </conditionalFormatting>
  <conditionalFormatting sqref="R88:R189 M13:P189">
    <cfRule type="expression" dxfId="13" priority="12">
      <formula>OR($A13="Pipe",$A13="Tank")</formula>
    </cfRule>
  </conditionalFormatting>
  <conditionalFormatting sqref="A13:R189">
    <cfRule type="expression" dxfId="12" priority="11">
      <formula>OR($A13="Valve",$A13="Connection")</formula>
    </cfRule>
  </conditionalFormatting>
  <conditionalFormatting sqref="Q13:R189 A13:L189">
    <cfRule type="expression" dxfId="11" priority="10">
      <formula>OR($A13="Tank")</formula>
    </cfRule>
  </conditionalFormatting>
  <conditionalFormatting sqref="G13:I189">
    <cfRule type="cellIs" dxfId="10" priority="9" operator="notEqual">
      <formula>0</formula>
    </cfRule>
  </conditionalFormatting>
  <hyperlinks>
    <hyperlink ref="B3" r:id="rId1" xr:uid="{41EF5D93-740E-4591-AA6E-C27D61C3AA1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ddPipe">
                <anchor moveWithCells="1" sizeWithCells="1">
                  <from>
                    <xdr:col>0</xdr:col>
                    <xdr:colOff>487680</xdr:colOff>
                    <xdr:row>3</xdr:row>
                    <xdr:rowOff>15240</xdr:rowOff>
                  </from>
                  <to>
                    <xdr:col>3</xdr:col>
                    <xdr:colOff>182880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WriteToFile">
                <anchor moveWithCells="1" sizeWithCells="1">
                  <from>
                    <xdr:col>5</xdr:col>
                    <xdr:colOff>464820</xdr:colOff>
                    <xdr:row>1</xdr:row>
                    <xdr:rowOff>68580</xdr:rowOff>
                  </from>
                  <to>
                    <xdr:col>7</xdr:col>
                    <xdr:colOff>426720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enerateScadFile">
                <anchor moveWithCells="1" sizeWithCells="1">
                  <from>
                    <xdr:col>4</xdr:col>
                    <xdr:colOff>198120</xdr:colOff>
                    <xdr:row>4</xdr:row>
                    <xdr:rowOff>38100</xdr:rowOff>
                  </from>
                  <to>
                    <xdr:col>6</xdr:col>
                    <xdr:colOff>167640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6D1A-CBBD-4B32-93E1-7EFE7D82D11B}">
  <sheetPr codeName="Blad2"/>
  <dimension ref="A1:X189"/>
  <sheetViews>
    <sheetView tabSelected="1" zoomScale="85" zoomScaleNormal="85" workbookViewId="0">
      <pane ySplit="5" topLeftCell="A102" activePane="bottomLeft" state="frozenSplit"/>
      <selection pane="bottomLeft" activeCell="L115" sqref="L115"/>
    </sheetView>
  </sheetViews>
  <sheetFormatPr defaultRowHeight="14.4" x14ac:dyDescent="0.3"/>
  <cols>
    <col min="1" max="1" width="12.109375" customWidth="1"/>
    <col min="2" max="2" width="10.44140625" customWidth="1"/>
    <col min="3" max="3" width="12.5546875" customWidth="1"/>
    <col min="4" max="9" width="10.44140625" customWidth="1"/>
    <col min="10" max="10" width="11.44140625" customWidth="1"/>
    <col min="11" max="15" width="10.44140625" customWidth="1"/>
  </cols>
  <sheetData>
    <row r="1" spans="1:22" ht="15.6" x14ac:dyDescent="0.3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28</v>
      </c>
      <c r="G1" s="1" t="s">
        <v>19</v>
      </c>
      <c r="H1" s="1" t="s">
        <v>20</v>
      </c>
      <c r="I1" s="1" t="s">
        <v>21</v>
      </c>
      <c r="J1" s="1" t="s">
        <v>8</v>
      </c>
      <c r="K1" s="1" t="s">
        <v>16</v>
      </c>
      <c r="L1" s="1" t="s">
        <v>1</v>
      </c>
      <c r="M1" s="1" t="s">
        <v>12</v>
      </c>
      <c r="N1" s="1" t="s">
        <v>15</v>
      </c>
      <c r="O1" s="1" t="s">
        <v>13</v>
      </c>
      <c r="P1" s="1" t="s">
        <v>14</v>
      </c>
      <c r="Q1" s="1" t="s">
        <v>5</v>
      </c>
      <c r="R1" s="1" t="s">
        <v>6</v>
      </c>
      <c r="S1" s="1" t="s">
        <v>55</v>
      </c>
      <c r="U1" s="1"/>
      <c r="V1" s="1"/>
    </row>
    <row r="2" spans="1:22" x14ac:dyDescent="0.3">
      <c r="A2" t="s">
        <v>29</v>
      </c>
      <c r="B2" t="s">
        <v>30</v>
      </c>
    </row>
    <row r="3" spans="1:22" x14ac:dyDescent="0.3">
      <c r="B3" s="9" t="s">
        <v>31</v>
      </c>
    </row>
    <row r="5" spans="1:2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2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22" x14ac:dyDescent="0.3">
      <c r="A9" s="3" t="s">
        <v>32</v>
      </c>
      <c r="B9" s="3" t="str">
        <f>B14</f>
        <v>TANK_14</v>
      </c>
      <c r="C9" s="3">
        <v>1</v>
      </c>
      <c r="D9" s="3">
        <v>0</v>
      </c>
      <c r="E9" s="3">
        <v>0</v>
      </c>
      <c r="F9" s="3">
        <v>50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22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22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2" x14ac:dyDescent="0.3">
      <c r="A13" t="s">
        <v>33</v>
      </c>
      <c r="B13" t="s">
        <v>41</v>
      </c>
      <c r="C13" s="5"/>
      <c r="D13" s="6"/>
      <c r="E13" s="6"/>
      <c r="F13" s="6"/>
      <c r="G13" s="8"/>
      <c r="H13" s="8"/>
      <c r="I13" s="8"/>
      <c r="J13" s="7"/>
      <c r="K13" s="7"/>
      <c r="L13" s="4"/>
    </row>
    <row r="14" spans="1:22" x14ac:dyDescent="0.3">
      <c r="A14" t="s">
        <v>23</v>
      </c>
      <c r="B14" t="str">
        <f>CONCATENATE("TANK_",ROW())</f>
        <v>TANK_14</v>
      </c>
      <c r="C14" s="5">
        <v>2</v>
      </c>
      <c r="D14" s="6">
        <v>-90</v>
      </c>
      <c r="E14" s="6">
        <v>0</v>
      </c>
      <c r="F14" s="6">
        <v>0</v>
      </c>
      <c r="G14" s="8">
        <v>0</v>
      </c>
      <c r="H14" s="8">
        <v>0</v>
      </c>
      <c r="I14" s="8">
        <v>0</v>
      </c>
      <c r="J14" s="7">
        <v>1200</v>
      </c>
      <c r="K14" s="7">
        <v>2.02</v>
      </c>
      <c r="L14" s="4" t="s">
        <v>24</v>
      </c>
      <c r="M14" t="s">
        <v>17</v>
      </c>
      <c r="N14" t="s">
        <v>17</v>
      </c>
      <c r="O14" t="s">
        <v>17</v>
      </c>
      <c r="P14" t="s">
        <v>17</v>
      </c>
      <c r="Q14">
        <v>1.5</v>
      </c>
      <c r="R14" t="s">
        <v>17</v>
      </c>
    </row>
    <row r="15" spans="1:22" x14ac:dyDescent="0.3">
      <c r="C15" s="5"/>
      <c r="D15" s="6"/>
      <c r="E15" s="6"/>
      <c r="F15" s="6"/>
      <c r="G15" s="8"/>
      <c r="H15" s="8"/>
      <c r="I15" s="8"/>
      <c r="J15" s="7"/>
      <c r="K15" s="7"/>
      <c r="L15" s="4"/>
    </row>
    <row r="16" spans="1:22" x14ac:dyDescent="0.3">
      <c r="A16" t="s">
        <v>11</v>
      </c>
      <c r="B16" t="str">
        <f>CONCATENATE("COMP_",ROW())</f>
        <v>COMP_16</v>
      </c>
      <c r="C16" s="5">
        <v>0</v>
      </c>
      <c r="D16" s="6">
        <v>0</v>
      </c>
      <c r="E16" s="6">
        <v>0</v>
      </c>
      <c r="F16" s="6">
        <v>0</v>
      </c>
      <c r="G16" s="8">
        <v>0</v>
      </c>
      <c r="H16" s="8">
        <v>0</v>
      </c>
      <c r="I16" s="8">
        <v>0</v>
      </c>
      <c r="J16" s="7">
        <v>97.93</v>
      </c>
      <c r="K16" s="7">
        <v>2.02</v>
      </c>
      <c r="L16" s="4" t="s">
        <v>22</v>
      </c>
      <c r="M16" t="str">
        <f ca="1">OFFSET($A$1,ROW()-3,1)</f>
        <v>TANK_14</v>
      </c>
      <c r="N16">
        <v>2</v>
      </c>
      <c r="O16" t="str">
        <f ca="1">OFFSET($A$1,ROW()+1,1)</f>
        <v>PIPE_18</v>
      </c>
      <c r="P16">
        <v>1</v>
      </c>
    </row>
    <row r="17" spans="1:24" x14ac:dyDescent="0.3">
      <c r="C17" s="5"/>
      <c r="D17" s="6"/>
      <c r="E17" s="6"/>
      <c r="F17" s="6"/>
      <c r="G17" s="8"/>
      <c r="H17" s="8"/>
      <c r="I17" s="8"/>
      <c r="J17" s="7"/>
      <c r="K17" s="7"/>
      <c r="L17" s="4"/>
    </row>
    <row r="18" spans="1:24" x14ac:dyDescent="0.3">
      <c r="A18" t="s">
        <v>7</v>
      </c>
      <c r="B18" t="str">
        <f t="shared" ref="B18:B23" si="0">CONCATENATE("PIPE_",ROW())</f>
        <v>PIPE_18</v>
      </c>
      <c r="C18" s="5">
        <v>0.5</v>
      </c>
      <c r="D18" s="6">
        <v>-90</v>
      </c>
      <c r="E18" s="6">
        <v>0</v>
      </c>
      <c r="F18" s="6">
        <v>0</v>
      </c>
      <c r="G18" s="8">
        <v>0</v>
      </c>
      <c r="H18" s="8">
        <v>0</v>
      </c>
      <c r="I18" s="8">
        <v>0</v>
      </c>
      <c r="J18" s="7">
        <v>114.3</v>
      </c>
      <c r="K18" s="7">
        <v>3.05</v>
      </c>
      <c r="L18" s="4" t="s">
        <v>7</v>
      </c>
      <c r="M18" t="s">
        <v>17</v>
      </c>
      <c r="N18" t="s">
        <v>17</v>
      </c>
      <c r="O18" t="s">
        <v>17</v>
      </c>
      <c r="P18" t="s">
        <v>17</v>
      </c>
      <c r="Q18">
        <v>1.5</v>
      </c>
      <c r="R18" t="s">
        <v>17</v>
      </c>
    </row>
    <row r="19" spans="1:24" x14ac:dyDescent="0.3">
      <c r="A19" t="s">
        <v>7</v>
      </c>
      <c r="B19" t="str">
        <f t="shared" si="0"/>
        <v>PIPE_19</v>
      </c>
      <c r="C19" s="5">
        <v>1.972</v>
      </c>
      <c r="D19" s="6">
        <v>0</v>
      </c>
      <c r="E19" s="6">
        <f>270+ATAN(1000/1700)*180/PI()</f>
        <v>300.46554491945989</v>
      </c>
      <c r="F19" s="6">
        <v>0</v>
      </c>
      <c r="G19" s="8">
        <v>0</v>
      </c>
      <c r="H19" s="8">
        <v>0</v>
      </c>
      <c r="I19" s="8">
        <v>0</v>
      </c>
      <c r="J19" s="7">
        <v>114.3</v>
      </c>
      <c r="K19" s="7">
        <v>3.05</v>
      </c>
      <c r="L19" s="4" t="s">
        <v>7</v>
      </c>
      <c r="M19" t="s">
        <v>17</v>
      </c>
      <c r="N19" t="s">
        <v>17</v>
      </c>
      <c r="O19" t="s">
        <v>17</v>
      </c>
      <c r="P19" t="s">
        <v>17</v>
      </c>
      <c r="Q19">
        <v>1.5</v>
      </c>
      <c r="R19" t="s">
        <v>17</v>
      </c>
      <c r="T19" t="s">
        <v>17</v>
      </c>
      <c r="U19" t="s">
        <v>17</v>
      </c>
      <c r="V19" t="s">
        <v>17</v>
      </c>
      <c r="W19" t="s">
        <v>17</v>
      </c>
      <c r="X19" t="s">
        <v>17</v>
      </c>
    </row>
    <row r="20" spans="1:24" x14ac:dyDescent="0.3">
      <c r="A20" t="s">
        <v>7</v>
      </c>
      <c r="B20" t="str">
        <f t="shared" si="0"/>
        <v>PIPE_20</v>
      </c>
      <c r="C20" s="5">
        <v>1.5</v>
      </c>
      <c r="D20" s="6">
        <v>-90</v>
      </c>
      <c r="E20" s="6">
        <v>0</v>
      </c>
      <c r="F20" s="6">
        <v>0</v>
      </c>
      <c r="G20" s="8">
        <v>0</v>
      </c>
      <c r="H20" s="8">
        <v>0</v>
      </c>
      <c r="I20" s="8">
        <v>0</v>
      </c>
      <c r="J20" s="7">
        <v>114.3</v>
      </c>
      <c r="K20" s="7">
        <v>3.05</v>
      </c>
      <c r="L20" s="4" t="s">
        <v>7</v>
      </c>
      <c r="M20" t="s">
        <v>17</v>
      </c>
      <c r="N20" t="s">
        <v>17</v>
      </c>
      <c r="O20" t="s">
        <v>17</v>
      </c>
      <c r="P20" t="s">
        <v>17</v>
      </c>
      <c r="Q20">
        <v>1.5</v>
      </c>
    </row>
    <row r="21" spans="1:24" x14ac:dyDescent="0.3">
      <c r="A21" t="s">
        <v>7</v>
      </c>
      <c r="B21" t="str">
        <f t="shared" si="0"/>
        <v>PIPE_21</v>
      </c>
      <c r="C21" s="5">
        <v>0.5</v>
      </c>
      <c r="D21" s="6">
        <v>0</v>
      </c>
      <c r="E21" s="6">
        <v>270</v>
      </c>
      <c r="F21" s="6">
        <v>0</v>
      </c>
      <c r="G21" s="8">
        <v>0</v>
      </c>
      <c r="H21" s="8">
        <v>0</v>
      </c>
      <c r="I21" s="8">
        <v>0</v>
      </c>
      <c r="J21" s="7">
        <v>114.3</v>
      </c>
      <c r="K21" s="7">
        <v>3.05</v>
      </c>
      <c r="L21" s="4" t="s">
        <v>7</v>
      </c>
      <c r="M21" t="s">
        <v>17</v>
      </c>
      <c r="N21" t="s">
        <v>17</v>
      </c>
      <c r="O21" t="s">
        <v>17</v>
      </c>
      <c r="P21" t="s">
        <v>17</v>
      </c>
      <c r="Q21">
        <v>1.5</v>
      </c>
    </row>
    <row r="22" spans="1:24" x14ac:dyDescent="0.3">
      <c r="A22" t="s">
        <v>7</v>
      </c>
      <c r="B22" t="str">
        <f t="shared" si="0"/>
        <v>PIPE_22</v>
      </c>
      <c r="C22" s="5">
        <v>1.7</v>
      </c>
      <c r="D22" s="6">
        <v>-90</v>
      </c>
      <c r="E22" s="6">
        <v>0</v>
      </c>
      <c r="F22" s="6">
        <v>0</v>
      </c>
      <c r="G22" s="8">
        <v>0</v>
      </c>
      <c r="H22" s="8">
        <v>0</v>
      </c>
      <c r="I22" s="8">
        <v>0</v>
      </c>
      <c r="J22" s="7">
        <v>114.3</v>
      </c>
      <c r="K22" s="7">
        <v>3.05</v>
      </c>
      <c r="L22" s="4" t="s">
        <v>7</v>
      </c>
      <c r="M22" t="s">
        <v>17</v>
      </c>
      <c r="N22" t="s">
        <v>17</v>
      </c>
      <c r="O22" t="s">
        <v>17</v>
      </c>
      <c r="P22" t="s">
        <v>17</v>
      </c>
      <c r="Q22">
        <v>1.5</v>
      </c>
    </row>
    <row r="23" spans="1:24" x14ac:dyDescent="0.3">
      <c r="A23" t="s">
        <v>7</v>
      </c>
      <c r="B23" t="str">
        <f t="shared" si="0"/>
        <v>PIPE_23</v>
      </c>
      <c r="C23" s="5">
        <f>0.152+0.221</f>
        <v>0.373</v>
      </c>
      <c r="D23" s="6">
        <v>0</v>
      </c>
      <c r="E23" s="6">
        <v>90</v>
      </c>
      <c r="F23" s="6">
        <v>0</v>
      </c>
      <c r="G23" s="8">
        <v>0</v>
      </c>
      <c r="H23" s="8">
        <v>0</v>
      </c>
      <c r="I23" s="8">
        <v>0</v>
      </c>
      <c r="J23" s="7">
        <v>114.3</v>
      </c>
      <c r="K23" s="7">
        <v>3.05</v>
      </c>
      <c r="L23" s="4" t="s">
        <v>7</v>
      </c>
      <c r="M23" t="s">
        <v>17</v>
      </c>
      <c r="N23" t="s">
        <v>17</v>
      </c>
      <c r="O23" t="s">
        <v>17</v>
      </c>
      <c r="P23" t="s">
        <v>17</v>
      </c>
      <c r="Q23">
        <v>1.5</v>
      </c>
    </row>
    <row r="24" spans="1:24" x14ac:dyDescent="0.3">
      <c r="C24" s="5"/>
      <c r="D24" s="6"/>
      <c r="E24" s="6"/>
      <c r="F24" s="6"/>
      <c r="G24" s="8"/>
      <c r="H24" s="8"/>
      <c r="I24" s="8"/>
      <c r="J24" s="7"/>
      <c r="K24" s="7"/>
      <c r="L24" s="4"/>
    </row>
    <row r="25" spans="1:24" x14ac:dyDescent="0.3">
      <c r="A25" t="s">
        <v>9</v>
      </c>
      <c r="B25" t="str">
        <f>CONCATENATE("COMP_",ROW())</f>
        <v>COMP_25</v>
      </c>
      <c r="C25" s="5">
        <v>0.1</v>
      </c>
      <c r="D25" s="6">
        <v>0</v>
      </c>
      <c r="E25" s="6">
        <v>90</v>
      </c>
      <c r="F25" s="6">
        <v>0</v>
      </c>
      <c r="G25" s="8">
        <v>0</v>
      </c>
      <c r="H25" s="8">
        <v>0</v>
      </c>
      <c r="I25" s="8">
        <v>0</v>
      </c>
      <c r="J25" s="7">
        <v>125</v>
      </c>
      <c r="K25" s="7">
        <v>2.02</v>
      </c>
      <c r="L25" s="4" t="s">
        <v>22</v>
      </c>
      <c r="M25" t="str">
        <f ca="1">OFFSET($A$1,ROW()-3,1)</f>
        <v>PIPE_23</v>
      </c>
      <c r="N25">
        <v>2</v>
      </c>
      <c r="O25" t="str">
        <f ca="1">OFFSET($A$1,ROW()+1,1)</f>
        <v>COMP_27</v>
      </c>
      <c r="P25">
        <v>1</v>
      </c>
      <c r="Q25">
        <v>0.125</v>
      </c>
    </row>
    <row r="26" spans="1:24" x14ac:dyDescent="0.3">
      <c r="C26" s="5"/>
      <c r="D26" s="6"/>
      <c r="E26" s="6"/>
      <c r="F26" s="6"/>
      <c r="G26" s="8"/>
      <c r="H26" s="8"/>
      <c r="I26" s="8"/>
      <c r="J26" s="7"/>
      <c r="K26" s="7"/>
      <c r="L26" s="4"/>
    </row>
    <row r="27" spans="1:24" x14ac:dyDescent="0.3">
      <c r="A27" t="s">
        <v>10</v>
      </c>
      <c r="B27" t="str">
        <f>CONCATENATE("COMP_",ROW())</f>
        <v>COMP_27</v>
      </c>
      <c r="C27" s="5">
        <v>0.35499999999999998</v>
      </c>
      <c r="D27" s="6">
        <v>0</v>
      </c>
      <c r="E27" s="6">
        <v>90</v>
      </c>
      <c r="F27" s="6">
        <v>0</v>
      </c>
      <c r="G27" s="8">
        <v>0</v>
      </c>
      <c r="H27" s="8">
        <v>0</v>
      </c>
      <c r="I27" s="8">
        <v>0</v>
      </c>
      <c r="J27" s="7">
        <v>125</v>
      </c>
      <c r="K27" s="7">
        <v>2.02</v>
      </c>
      <c r="L27" s="4" t="s">
        <v>36</v>
      </c>
      <c r="M27" t="str">
        <f ca="1">OFFSET($A$1,ROW()-3,1)</f>
        <v>COMP_25</v>
      </c>
      <c r="N27">
        <v>2</v>
      </c>
      <c r="O27" t="str">
        <f ca="1">OFFSET($A$1,ROW()+1,1)</f>
        <v>COMP_29</v>
      </c>
      <c r="P27">
        <v>1</v>
      </c>
    </row>
    <row r="28" spans="1:24" x14ac:dyDescent="0.3">
      <c r="C28" s="5"/>
      <c r="D28" s="6"/>
      <c r="E28" s="6"/>
      <c r="F28" s="6"/>
      <c r="G28" s="8"/>
      <c r="H28" s="8"/>
      <c r="I28" s="8"/>
      <c r="J28" s="7"/>
      <c r="K28" s="7"/>
      <c r="L28" s="4"/>
    </row>
    <row r="29" spans="1:24" x14ac:dyDescent="0.3">
      <c r="A29" t="s">
        <v>9</v>
      </c>
      <c r="B29" t="str">
        <f>CONCATENATE("COMP_",ROW())</f>
        <v>COMP_29</v>
      </c>
      <c r="C29" s="5">
        <v>0.1</v>
      </c>
      <c r="D29" s="6">
        <v>0</v>
      </c>
      <c r="E29" s="6">
        <v>90</v>
      </c>
      <c r="F29" s="6">
        <v>0</v>
      </c>
      <c r="G29" s="8">
        <v>0</v>
      </c>
      <c r="H29" s="8">
        <v>0</v>
      </c>
      <c r="I29" s="8">
        <v>0</v>
      </c>
      <c r="J29" s="7">
        <v>125</v>
      </c>
      <c r="K29" s="7">
        <v>2.02</v>
      </c>
      <c r="L29" s="4" t="s">
        <v>22</v>
      </c>
      <c r="M29" t="str">
        <f ca="1">OFFSET($A$1,ROW()-3,1)</f>
        <v>COMP_27</v>
      </c>
      <c r="N29">
        <v>2</v>
      </c>
      <c r="O29" t="str">
        <f ca="1">OFFSET($A$1,ROW()+1,1)</f>
        <v>PIPE_31</v>
      </c>
      <c r="P29">
        <v>1</v>
      </c>
      <c r="Q29">
        <v>0.1143</v>
      </c>
    </row>
    <row r="30" spans="1:24" x14ac:dyDescent="0.3">
      <c r="C30" s="5"/>
      <c r="D30" s="6"/>
      <c r="E30" s="6"/>
      <c r="F30" s="6"/>
      <c r="G30" s="8"/>
      <c r="H30" s="8"/>
      <c r="I30" s="8"/>
      <c r="J30" s="7"/>
      <c r="K30" s="7"/>
      <c r="L30" s="4"/>
    </row>
    <row r="31" spans="1:24" x14ac:dyDescent="0.3">
      <c r="A31" t="s">
        <v>7</v>
      </c>
      <c r="B31" t="str">
        <f>CONCATENATE("PIPE_",ROW())</f>
        <v>PIPE_31</v>
      </c>
      <c r="C31" s="5">
        <v>0.44500000000000001</v>
      </c>
      <c r="D31" s="6">
        <v>0</v>
      </c>
      <c r="E31" s="6">
        <v>90</v>
      </c>
      <c r="F31" s="6">
        <v>0</v>
      </c>
      <c r="G31" s="8">
        <v>0</v>
      </c>
      <c r="H31" s="8">
        <v>0</v>
      </c>
      <c r="I31" s="8">
        <v>0</v>
      </c>
      <c r="J31" s="7">
        <v>114.3</v>
      </c>
      <c r="K31" s="7">
        <v>3.05</v>
      </c>
      <c r="L31" s="4" t="s">
        <v>7</v>
      </c>
      <c r="M31" t="s">
        <v>17</v>
      </c>
      <c r="N31" t="s">
        <v>17</v>
      </c>
      <c r="O31" t="s">
        <v>17</v>
      </c>
      <c r="P31" t="s">
        <v>17</v>
      </c>
      <c r="Q31">
        <v>1.5</v>
      </c>
    </row>
    <row r="32" spans="1:24" x14ac:dyDescent="0.3">
      <c r="C32" s="5"/>
      <c r="D32" s="6"/>
      <c r="E32" s="6"/>
      <c r="F32" s="6"/>
      <c r="G32" s="8"/>
      <c r="H32" s="8"/>
      <c r="I32" s="8"/>
      <c r="J32" s="7"/>
      <c r="K32" s="7"/>
      <c r="L32" s="4"/>
    </row>
    <row r="33" spans="1:17" x14ac:dyDescent="0.3">
      <c r="A33" t="s">
        <v>9</v>
      </c>
      <c r="B33" t="str">
        <f>CONCATENATE("COMP_",ROW())</f>
        <v>COMP_33</v>
      </c>
      <c r="C33" s="5">
        <v>0.1</v>
      </c>
      <c r="D33" s="6">
        <v>0</v>
      </c>
      <c r="E33" s="6">
        <v>90</v>
      </c>
      <c r="F33" s="6">
        <v>0</v>
      </c>
      <c r="G33" s="8">
        <v>0</v>
      </c>
      <c r="H33" s="8">
        <v>0</v>
      </c>
      <c r="I33" s="8">
        <v>0</v>
      </c>
      <c r="J33" s="7">
        <v>125</v>
      </c>
      <c r="K33" s="7">
        <v>2.02</v>
      </c>
      <c r="L33" s="4" t="s">
        <v>22</v>
      </c>
      <c r="M33" t="str">
        <f ca="1">OFFSET($A$1,ROW()-3,1)</f>
        <v>PIPE_31</v>
      </c>
      <c r="N33">
        <v>2</v>
      </c>
      <c r="O33" t="str">
        <f ca="1">OFFSET($A$1,ROW()+1,1)</f>
        <v>COMP_35</v>
      </c>
      <c r="P33">
        <v>1</v>
      </c>
      <c r="Q33">
        <v>0.125</v>
      </c>
    </row>
    <row r="34" spans="1:17" x14ac:dyDescent="0.3">
      <c r="C34" s="5"/>
      <c r="D34" s="6"/>
      <c r="E34" s="6"/>
      <c r="F34" s="6"/>
      <c r="G34" s="8"/>
      <c r="H34" s="8"/>
      <c r="I34" s="8"/>
      <c r="J34" s="7"/>
      <c r="K34" s="7"/>
      <c r="L34" s="4"/>
    </row>
    <row r="35" spans="1:17" x14ac:dyDescent="0.3">
      <c r="A35" t="s">
        <v>10</v>
      </c>
      <c r="B35" t="str">
        <f>CONCATENATE("COMP_",ROW())</f>
        <v>COMP_35</v>
      </c>
      <c r="C35" s="5">
        <v>0.35499999999999998</v>
      </c>
      <c r="D35" s="6">
        <v>0</v>
      </c>
      <c r="E35" s="6">
        <v>90</v>
      </c>
      <c r="F35" s="6">
        <v>0</v>
      </c>
      <c r="G35" s="8">
        <v>0</v>
      </c>
      <c r="H35" s="8">
        <v>0</v>
      </c>
      <c r="I35" s="8">
        <v>0</v>
      </c>
      <c r="J35" s="7">
        <v>125</v>
      </c>
      <c r="K35" s="7">
        <v>2.02</v>
      </c>
      <c r="L35" s="4" t="s">
        <v>37</v>
      </c>
      <c r="M35" t="str">
        <f ca="1">OFFSET($A$1,ROW()-3,1)</f>
        <v>COMP_33</v>
      </c>
      <c r="N35">
        <v>2</v>
      </c>
      <c r="O35" t="str">
        <f ca="1">OFFSET($A$1,ROW()+1,1)</f>
        <v>COMP_37</v>
      </c>
      <c r="P35">
        <v>1</v>
      </c>
    </row>
    <row r="36" spans="1:17" x14ac:dyDescent="0.3">
      <c r="C36" s="5"/>
      <c r="D36" s="6"/>
      <c r="E36" s="6"/>
      <c r="F36" s="6"/>
      <c r="G36" s="8"/>
      <c r="H36" s="8"/>
      <c r="I36" s="8"/>
      <c r="J36" s="7"/>
      <c r="K36" s="7"/>
      <c r="L36" s="4"/>
    </row>
    <row r="37" spans="1:17" x14ac:dyDescent="0.3">
      <c r="A37" t="s">
        <v>9</v>
      </c>
      <c r="B37" t="str">
        <f>CONCATENATE("COMP_",ROW())</f>
        <v>COMP_37</v>
      </c>
      <c r="C37" s="5">
        <v>0.1</v>
      </c>
      <c r="D37" s="6">
        <v>0</v>
      </c>
      <c r="E37" s="6">
        <v>90</v>
      </c>
      <c r="F37" s="6">
        <v>0</v>
      </c>
      <c r="G37" s="8">
        <v>0</v>
      </c>
      <c r="H37" s="8">
        <v>0</v>
      </c>
      <c r="I37" s="8">
        <v>0</v>
      </c>
      <c r="J37" s="7">
        <v>125</v>
      </c>
      <c r="K37" s="7">
        <v>2.02</v>
      </c>
      <c r="L37" s="4" t="s">
        <v>22</v>
      </c>
      <c r="M37" t="str">
        <f ca="1">OFFSET($A$1,ROW()-3,1)</f>
        <v>COMP_35</v>
      </c>
      <c r="N37">
        <v>2</v>
      </c>
      <c r="O37" t="str">
        <f ca="1">OFFSET($A$1,ROW()+1,1)</f>
        <v>PIPE_39</v>
      </c>
      <c r="P37">
        <v>1</v>
      </c>
      <c r="Q37">
        <v>0.1143</v>
      </c>
    </row>
    <row r="38" spans="1:17" x14ac:dyDescent="0.3">
      <c r="C38" s="5"/>
      <c r="D38" s="6"/>
      <c r="E38" s="6"/>
      <c r="F38" s="6"/>
      <c r="G38" s="8"/>
      <c r="H38" s="8"/>
      <c r="I38" s="8"/>
      <c r="J38" s="7"/>
      <c r="K38" s="7"/>
      <c r="L38" s="4"/>
    </row>
    <row r="39" spans="1:17" x14ac:dyDescent="0.3">
      <c r="A39" t="s">
        <v>7</v>
      </c>
      <c r="B39" t="str">
        <f>CONCATENATE("PIPE_",ROW())</f>
        <v>PIPE_39</v>
      </c>
      <c r="C39" s="5">
        <f>0.175+0.105</f>
        <v>0.27999999999999997</v>
      </c>
      <c r="D39" s="6">
        <v>0</v>
      </c>
      <c r="E39" s="6">
        <v>90</v>
      </c>
      <c r="F39" s="6">
        <v>0</v>
      </c>
      <c r="G39" s="8">
        <v>0</v>
      </c>
      <c r="H39" s="8">
        <v>0</v>
      </c>
      <c r="I39" s="8">
        <v>0</v>
      </c>
      <c r="J39" s="7">
        <v>114.3</v>
      </c>
      <c r="K39" s="7">
        <v>3.05</v>
      </c>
      <c r="L39" s="4" t="s">
        <v>7</v>
      </c>
      <c r="M39" t="s">
        <v>17</v>
      </c>
      <c r="N39" t="s">
        <v>17</v>
      </c>
      <c r="O39" t="s">
        <v>17</v>
      </c>
      <c r="P39" t="s">
        <v>17</v>
      </c>
      <c r="Q39">
        <v>1.5</v>
      </c>
    </row>
    <row r="40" spans="1:17" x14ac:dyDescent="0.3">
      <c r="A40" t="s">
        <v>7</v>
      </c>
      <c r="B40" t="str">
        <f>CONCATENATE("PIPE_",ROW())</f>
        <v>PIPE_40</v>
      </c>
      <c r="C40" s="5">
        <f>0.105</f>
        <v>0.105</v>
      </c>
      <c r="D40" s="6">
        <v>0</v>
      </c>
      <c r="E40" s="6">
        <v>90</v>
      </c>
      <c r="F40" s="6">
        <v>0</v>
      </c>
      <c r="G40" s="8">
        <v>0</v>
      </c>
      <c r="H40" s="8">
        <v>0</v>
      </c>
      <c r="I40" s="8">
        <v>0</v>
      </c>
      <c r="J40" s="7">
        <v>114.3</v>
      </c>
      <c r="K40" s="7">
        <v>3.05</v>
      </c>
      <c r="L40" s="4" t="s">
        <v>7</v>
      </c>
      <c r="M40" t="s">
        <v>17</v>
      </c>
      <c r="N40" t="s">
        <v>17</v>
      </c>
      <c r="O40" t="s">
        <v>17</v>
      </c>
      <c r="P40" t="s">
        <v>17</v>
      </c>
      <c r="Q40">
        <v>1.5</v>
      </c>
    </row>
    <row r="41" spans="1:17" x14ac:dyDescent="0.3">
      <c r="C41" s="5"/>
      <c r="D41" s="6"/>
      <c r="E41" s="6"/>
      <c r="F41" s="6"/>
      <c r="G41" s="8"/>
      <c r="H41" s="8"/>
      <c r="I41" s="8"/>
      <c r="J41" s="7"/>
      <c r="K41" s="7"/>
      <c r="L41" s="4"/>
    </row>
    <row r="42" spans="1:17" x14ac:dyDescent="0.3">
      <c r="A42" t="s">
        <v>10</v>
      </c>
      <c r="B42" t="str">
        <f>CONCATENATE("COMP_",ROW())</f>
        <v>COMP_42</v>
      </c>
      <c r="C42" s="5">
        <v>0.35499999999999998</v>
      </c>
      <c r="D42" s="6">
        <v>0</v>
      </c>
      <c r="E42" s="6">
        <v>90</v>
      </c>
      <c r="F42" s="6">
        <v>0</v>
      </c>
      <c r="G42" s="8">
        <v>0</v>
      </c>
      <c r="H42" s="8">
        <v>0</v>
      </c>
      <c r="I42" s="8">
        <v>0</v>
      </c>
      <c r="J42" s="7">
        <v>125</v>
      </c>
      <c r="K42" s="7">
        <v>2.02</v>
      </c>
      <c r="L42" s="4" t="s">
        <v>38</v>
      </c>
      <c r="M42" t="str">
        <f ca="1">OFFSET($A$1,ROW()-3,1)</f>
        <v>PIPE_40</v>
      </c>
      <c r="N42">
        <v>2</v>
      </c>
      <c r="O42" t="str">
        <f ca="1">OFFSET($A$1,ROW()+1,1)</f>
        <v>PIPE_44</v>
      </c>
      <c r="P42">
        <v>1</v>
      </c>
    </row>
    <row r="43" spans="1:17" x14ac:dyDescent="0.3">
      <c r="C43" s="5"/>
      <c r="D43" s="6"/>
      <c r="E43" s="6"/>
      <c r="F43" s="6"/>
      <c r="G43" s="8"/>
      <c r="H43" s="8"/>
      <c r="I43" s="8"/>
      <c r="J43" s="7"/>
      <c r="K43" s="7"/>
      <c r="L43" s="4"/>
    </row>
    <row r="44" spans="1:17" x14ac:dyDescent="0.3">
      <c r="A44" t="s">
        <v>7</v>
      </c>
      <c r="B44" t="str">
        <f t="shared" ref="B44:B51" si="1">CONCATENATE("PIPE_",ROW())</f>
        <v>PIPE_44</v>
      </c>
      <c r="C44" s="5">
        <v>0.152</v>
      </c>
      <c r="D44" s="6">
        <v>0</v>
      </c>
      <c r="E44" s="6">
        <v>90</v>
      </c>
      <c r="F44" s="6">
        <v>0</v>
      </c>
      <c r="G44" s="8">
        <v>0</v>
      </c>
      <c r="H44" s="8">
        <v>0</v>
      </c>
      <c r="I44" s="8">
        <v>0</v>
      </c>
      <c r="J44" s="7">
        <v>114.3</v>
      </c>
      <c r="K44" s="7">
        <v>3.05</v>
      </c>
      <c r="L44" s="4" t="s">
        <v>7</v>
      </c>
      <c r="M44" t="s">
        <v>17</v>
      </c>
      <c r="N44" t="s">
        <v>17</v>
      </c>
      <c r="O44" t="s">
        <v>17</v>
      </c>
      <c r="P44" t="s">
        <v>17</v>
      </c>
      <c r="Q44">
        <v>1.5</v>
      </c>
    </row>
    <row r="45" spans="1:17" x14ac:dyDescent="0.3">
      <c r="A45" t="s">
        <v>7</v>
      </c>
      <c r="B45" t="str">
        <f t="shared" si="1"/>
        <v>PIPE_45</v>
      </c>
      <c r="C45" s="5">
        <f>1.15+0.064</f>
        <v>1.214</v>
      </c>
      <c r="D45" s="6">
        <v>0</v>
      </c>
      <c r="E45" s="6">
        <v>180</v>
      </c>
      <c r="F45" s="6">
        <v>0</v>
      </c>
      <c r="G45" s="8">
        <v>0</v>
      </c>
      <c r="H45" s="8">
        <v>0</v>
      </c>
      <c r="I45" s="8">
        <v>0</v>
      </c>
      <c r="J45" s="7">
        <v>114.3</v>
      </c>
      <c r="K45" s="7">
        <v>3.05</v>
      </c>
      <c r="L45" s="4" t="s">
        <v>7</v>
      </c>
      <c r="M45" t="s">
        <v>17</v>
      </c>
      <c r="N45" t="s">
        <v>17</v>
      </c>
      <c r="O45" t="s">
        <v>17</v>
      </c>
      <c r="P45" t="s">
        <v>17</v>
      </c>
      <c r="Q45">
        <v>1.5</v>
      </c>
    </row>
    <row r="46" spans="1:17" x14ac:dyDescent="0.3">
      <c r="A46" t="s">
        <v>7</v>
      </c>
      <c r="B46" t="str">
        <f t="shared" si="1"/>
        <v>PIPE_46</v>
      </c>
      <c r="C46" s="5">
        <v>0.84799999999999998</v>
      </c>
      <c r="D46" s="6">
        <v>0</v>
      </c>
      <c r="E46" s="6">
        <f>180+45</f>
        <v>225</v>
      </c>
      <c r="F46" s="6">
        <v>0</v>
      </c>
      <c r="G46" s="8">
        <v>0</v>
      </c>
      <c r="H46" s="8">
        <v>0</v>
      </c>
      <c r="I46" s="8">
        <v>0</v>
      </c>
      <c r="J46" s="7">
        <v>114.3</v>
      </c>
      <c r="K46" s="7">
        <v>3.05</v>
      </c>
      <c r="L46" s="4" t="s">
        <v>7</v>
      </c>
      <c r="M46" t="s">
        <v>17</v>
      </c>
      <c r="N46" t="s">
        <v>17</v>
      </c>
      <c r="O46" t="s">
        <v>17</v>
      </c>
      <c r="P46" t="s">
        <v>17</v>
      </c>
      <c r="Q46">
        <v>1.5</v>
      </c>
    </row>
    <row r="47" spans="1:17" x14ac:dyDescent="0.3">
      <c r="A47" t="s">
        <v>7</v>
      </c>
      <c r="B47" t="str">
        <f t="shared" si="1"/>
        <v>PIPE_47</v>
      </c>
      <c r="C47" s="5">
        <v>0.35</v>
      </c>
      <c r="D47" s="6">
        <v>0</v>
      </c>
      <c r="E47" s="6">
        <v>270</v>
      </c>
      <c r="F47" s="6">
        <v>0</v>
      </c>
      <c r="G47" s="8">
        <v>0</v>
      </c>
      <c r="H47" s="8">
        <v>0</v>
      </c>
      <c r="I47" s="8">
        <v>0</v>
      </c>
      <c r="J47" s="7">
        <v>114.3</v>
      </c>
      <c r="K47" s="7">
        <v>3.05</v>
      </c>
      <c r="L47" s="4" t="s">
        <v>7</v>
      </c>
      <c r="M47" t="s">
        <v>17</v>
      </c>
      <c r="N47" t="s">
        <v>17</v>
      </c>
      <c r="O47" t="s">
        <v>17</v>
      </c>
      <c r="P47" t="s">
        <v>17</v>
      </c>
      <c r="Q47">
        <v>1.5</v>
      </c>
    </row>
    <row r="48" spans="1:17" x14ac:dyDescent="0.3">
      <c r="A48" t="s">
        <v>7</v>
      </c>
      <c r="B48" t="str">
        <f t="shared" si="1"/>
        <v>PIPE_48</v>
      </c>
      <c r="C48" s="5">
        <v>5.3</v>
      </c>
      <c r="D48" s="6">
        <v>-90</v>
      </c>
      <c r="E48" s="6">
        <v>0</v>
      </c>
      <c r="F48" s="6">
        <v>0</v>
      </c>
      <c r="G48" s="8">
        <v>0</v>
      </c>
      <c r="H48" s="8">
        <v>0</v>
      </c>
      <c r="I48" s="8">
        <v>0</v>
      </c>
      <c r="J48" s="7">
        <v>114.3</v>
      </c>
      <c r="K48" s="7">
        <v>3.05</v>
      </c>
      <c r="L48" s="4" t="s">
        <v>7</v>
      </c>
      <c r="M48" t="s">
        <v>17</v>
      </c>
      <c r="N48" t="s">
        <v>17</v>
      </c>
      <c r="O48" t="s">
        <v>17</v>
      </c>
      <c r="P48" t="s">
        <v>17</v>
      </c>
      <c r="Q48">
        <v>1.5</v>
      </c>
    </row>
    <row r="49" spans="1:19" x14ac:dyDescent="0.3">
      <c r="A49" t="s">
        <v>7</v>
      </c>
      <c r="B49" t="str">
        <f t="shared" si="1"/>
        <v>PIPE_49</v>
      </c>
      <c r="C49" s="5">
        <v>2.0499999999999998</v>
      </c>
      <c r="D49" s="6">
        <v>0</v>
      </c>
      <c r="E49" s="6">
        <v>0</v>
      </c>
      <c r="F49" s="6">
        <v>0</v>
      </c>
      <c r="G49" s="8">
        <v>0</v>
      </c>
      <c r="H49" s="8">
        <v>0</v>
      </c>
      <c r="I49" s="8">
        <v>0</v>
      </c>
      <c r="J49" s="7">
        <v>114.3</v>
      </c>
      <c r="K49" s="7">
        <v>3.05</v>
      </c>
      <c r="L49" s="4" t="s">
        <v>7</v>
      </c>
      <c r="M49" t="s">
        <v>17</v>
      </c>
      <c r="N49" t="s">
        <v>17</v>
      </c>
      <c r="O49" t="s">
        <v>17</v>
      </c>
      <c r="P49" t="s">
        <v>17</v>
      </c>
      <c r="Q49">
        <v>1</v>
      </c>
    </row>
    <row r="50" spans="1:19" x14ac:dyDescent="0.3">
      <c r="A50" t="s">
        <v>7</v>
      </c>
      <c r="B50" t="str">
        <f t="shared" si="1"/>
        <v>PIPE_50</v>
      </c>
      <c r="C50" s="5">
        <f>0.152+0.055</f>
        <v>0.20699999999999999</v>
      </c>
      <c r="D50" s="6">
        <f>-(90-24.9)</f>
        <v>-65.099999999999994</v>
      </c>
      <c r="E50" s="6">
        <v>180</v>
      </c>
      <c r="F50" s="6">
        <v>0</v>
      </c>
      <c r="G50" s="8">
        <v>0</v>
      </c>
      <c r="H50" s="8">
        <v>0</v>
      </c>
      <c r="I50" s="8">
        <v>0</v>
      </c>
      <c r="J50" s="7">
        <v>114.3</v>
      </c>
      <c r="K50" s="7">
        <v>3.05</v>
      </c>
      <c r="L50" s="4" t="s">
        <v>7</v>
      </c>
      <c r="M50" t="s">
        <v>17</v>
      </c>
      <c r="N50" t="s">
        <v>17</v>
      </c>
      <c r="O50" t="s">
        <v>17</v>
      </c>
      <c r="P50" t="s">
        <v>17</v>
      </c>
      <c r="Q50">
        <v>1</v>
      </c>
      <c r="S50" t="s">
        <v>40</v>
      </c>
    </row>
    <row r="51" spans="1:19" x14ac:dyDescent="0.3">
      <c r="A51" t="s">
        <v>7</v>
      </c>
      <c r="B51" t="str">
        <f t="shared" si="1"/>
        <v>PIPE_51</v>
      </c>
      <c r="C51" s="5">
        <v>1.61</v>
      </c>
      <c r="D51" s="6">
        <v>-90</v>
      </c>
      <c r="E51" s="6">
        <v>0</v>
      </c>
      <c r="F51" s="6">
        <v>0</v>
      </c>
      <c r="G51" s="8">
        <v>0</v>
      </c>
      <c r="H51" s="8">
        <v>0</v>
      </c>
      <c r="I51" s="8">
        <v>0</v>
      </c>
      <c r="J51" s="7">
        <v>114.3</v>
      </c>
      <c r="K51" s="7">
        <v>3.05</v>
      </c>
      <c r="L51" s="4" t="s">
        <v>7</v>
      </c>
      <c r="M51" t="s">
        <v>17</v>
      </c>
      <c r="N51" t="s">
        <v>17</v>
      </c>
      <c r="O51" t="s">
        <v>17</v>
      </c>
      <c r="P51" t="s">
        <v>17</v>
      </c>
      <c r="Q51">
        <v>1.5</v>
      </c>
      <c r="S51" t="s">
        <v>39</v>
      </c>
    </row>
    <row r="52" spans="1:19" x14ac:dyDescent="0.3">
      <c r="C52" s="5"/>
      <c r="D52" s="6"/>
      <c r="E52" s="6"/>
      <c r="F52" s="6"/>
      <c r="G52" s="8"/>
      <c r="H52" s="8"/>
      <c r="I52" s="8"/>
      <c r="J52" s="7"/>
      <c r="K52" s="7"/>
      <c r="L52" s="4"/>
    </row>
    <row r="53" spans="1:19" x14ac:dyDescent="0.3">
      <c r="A53" t="s">
        <v>11</v>
      </c>
      <c r="B53" t="str">
        <f>CONCATENATE("COMP_",ROW())</f>
        <v>COMP_53</v>
      </c>
      <c r="C53" s="5">
        <v>0</v>
      </c>
      <c r="D53" s="6">
        <v>-90</v>
      </c>
      <c r="E53" s="6">
        <v>0</v>
      </c>
      <c r="F53" s="6">
        <v>0</v>
      </c>
      <c r="G53" s="8">
        <v>0</v>
      </c>
      <c r="H53" s="8">
        <v>0</v>
      </c>
      <c r="I53" s="8">
        <v>0</v>
      </c>
      <c r="J53" s="7">
        <v>125</v>
      </c>
      <c r="K53" s="7">
        <v>2.02</v>
      </c>
      <c r="L53" s="4" t="s">
        <v>22</v>
      </c>
      <c r="M53" t="str">
        <f ca="1">OFFSET($A$1,ROW()-3,1)</f>
        <v>PIPE_51</v>
      </c>
      <c r="N53">
        <v>2</v>
      </c>
      <c r="O53" t="str">
        <f>B85</f>
        <v>PIPE_85</v>
      </c>
      <c r="P53">
        <v>1</v>
      </c>
    </row>
    <row r="54" spans="1:19" x14ac:dyDescent="0.3">
      <c r="C54" s="5"/>
      <c r="D54" s="6"/>
      <c r="E54" s="6"/>
      <c r="F54" s="6"/>
      <c r="G54" s="8"/>
      <c r="H54" s="8"/>
      <c r="I54" s="8"/>
      <c r="J54" s="7"/>
      <c r="K54" s="7"/>
      <c r="L54" s="4"/>
    </row>
    <row r="55" spans="1:19" x14ac:dyDescent="0.3">
      <c r="C55" s="5"/>
      <c r="D55" s="6"/>
      <c r="E55" s="6"/>
      <c r="F55" s="6"/>
      <c r="G55" s="8"/>
      <c r="H55" s="8"/>
      <c r="I55" s="8"/>
      <c r="J55" s="7"/>
      <c r="K55" s="7"/>
      <c r="L55" s="4"/>
    </row>
    <row r="56" spans="1:19" x14ac:dyDescent="0.3">
      <c r="A56" t="s">
        <v>33</v>
      </c>
      <c r="B56" t="s">
        <v>41</v>
      </c>
      <c r="C56" s="5"/>
      <c r="D56" s="6"/>
      <c r="E56" s="6"/>
      <c r="F56" s="6"/>
      <c r="G56" s="8"/>
      <c r="H56" s="8"/>
      <c r="I56" s="8"/>
      <c r="J56" s="7"/>
      <c r="K56" s="7"/>
      <c r="L56" s="4"/>
    </row>
    <row r="57" spans="1:19" x14ac:dyDescent="0.3">
      <c r="A57" t="s">
        <v>7</v>
      </c>
      <c r="B57" t="str">
        <f>CONCATENATE("PIPE_",ROW())</f>
        <v>PIPE_57</v>
      </c>
      <c r="C57" s="5">
        <v>12</v>
      </c>
      <c r="D57" s="6">
        <v>0</v>
      </c>
      <c r="E57" s="6">
        <v>270</v>
      </c>
      <c r="F57" s="6">
        <v>0</v>
      </c>
      <c r="G57" s="8">
        <v>0</v>
      </c>
      <c r="H57" s="8">
        <v>0</v>
      </c>
      <c r="I57" s="8">
        <v>0</v>
      </c>
      <c r="J57" s="7">
        <v>273</v>
      </c>
      <c r="K57" s="7">
        <v>4.1900000000000004</v>
      </c>
      <c r="L57" s="4" t="s">
        <v>7</v>
      </c>
      <c r="M57" t="s">
        <v>17</v>
      </c>
      <c r="N57" t="s">
        <v>17</v>
      </c>
      <c r="O57" t="s">
        <v>17</v>
      </c>
      <c r="P57" t="s">
        <v>17</v>
      </c>
      <c r="Q57">
        <v>1.5</v>
      </c>
    </row>
    <row r="58" spans="1:19" x14ac:dyDescent="0.3">
      <c r="A58" t="s">
        <v>7</v>
      </c>
      <c r="B58" t="str">
        <f>CONCATENATE("PIPE_",ROW())</f>
        <v>PIPE_58</v>
      </c>
      <c r="C58" s="5">
        <v>5.25</v>
      </c>
      <c r="D58" s="6">
        <v>0</v>
      </c>
      <c r="E58" s="6">
        <v>0</v>
      </c>
      <c r="F58" s="6">
        <v>0</v>
      </c>
      <c r="G58" s="8">
        <v>0</v>
      </c>
      <c r="H58" s="8">
        <v>0</v>
      </c>
      <c r="I58" s="8">
        <v>0</v>
      </c>
      <c r="J58" s="7">
        <v>273</v>
      </c>
      <c r="K58" s="7">
        <v>4.1900000000000004</v>
      </c>
      <c r="L58" s="4" t="s">
        <v>7</v>
      </c>
      <c r="M58" t="s">
        <v>17</v>
      </c>
      <c r="N58" t="s">
        <v>17</v>
      </c>
      <c r="O58" t="s">
        <v>17</v>
      </c>
      <c r="P58" t="s">
        <v>17</v>
      </c>
      <c r="Q58">
        <v>1.5</v>
      </c>
    </row>
    <row r="59" spans="1:19" x14ac:dyDescent="0.3">
      <c r="A59" t="s">
        <v>7</v>
      </c>
      <c r="B59" t="str">
        <f>CONCATENATE("PIPE_",ROW())</f>
        <v>PIPE_59</v>
      </c>
      <c r="C59" s="5">
        <v>8</v>
      </c>
      <c r="D59" s="6">
        <v>0</v>
      </c>
      <c r="E59" s="6">
        <v>270</v>
      </c>
      <c r="F59" s="6">
        <v>0</v>
      </c>
      <c r="G59" s="8">
        <v>0</v>
      </c>
      <c r="H59" s="8">
        <v>0</v>
      </c>
      <c r="I59" s="8">
        <v>0</v>
      </c>
      <c r="J59" s="7">
        <v>273</v>
      </c>
      <c r="K59" s="7">
        <v>4.1900000000000004</v>
      </c>
      <c r="L59" s="4" t="s">
        <v>7</v>
      </c>
      <c r="M59" t="s">
        <v>17</v>
      </c>
      <c r="N59" t="s">
        <v>17</v>
      </c>
      <c r="O59" t="s">
        <v>17</v>
      </c>
      <c r="P59" t="s">
        <v>17</v>
      </c>
      <c r="Q59">
        <v>1.5</v>
      </c>
    </row>
    <row r="60" spans="1:19" x14ac:dyDescent="0.3">
      <c r="A60" t="s">
        <v>7</v>
      </c>
      <c r="B60" t="str">
        <f>CONCATENATE("PIPE_",ROW())</f>
        <v>PIPE_60</v>
      </c>
      <c r="C60" s="5">
        <v>0.216</v>
      </c>
      <c r="D60" s="6">
        <v>0</v>
      </c>
      <c r="E60" s="6">
        <v>270</v>
      </c>
      <c r="F60" s="6">
        <v>0</v>
      </c>
      <c r="G60" s="8">
        <v>0</v>
      </c>
      <c r="H60" s="8">
        <v>0</v>
      </c>
      <c r="I60" s="8">
        <v>0</v>
      </c>
      <c r="J60" s="7">
        <v>273</v>
      </c>
      <c r="K60" s="7">
        <v>4.1900000000000004</v>
      </c>
      <c r="L60" s="4" t="s">
        <v>7</v>
      </c>
      <c r="M60" t="s">
        <v>17</v>
      </c>
      <c r="N60" t="s">
        <v>17</v>
      </c>
      <c r="O60" t="s">
        <v>17</v>
      </c>
      <c r="P60" t="s">
        <v>17</v>
      </c>
      <c r="Q60">
        <v>1.5</v>
      </c>
    </row>
    <row r="61" spans="1:19" x14ac:dyDescent="0.3">
      <c r="C61" s="5"/>
      <c r="D61" s="6"/>
      <c r="E61" s="6"/>
      <c r="F61" s="6"/>
      <c r="G61" s="8"/>
      <c r="H61" s="8"/>
      <c r="I61" s="8"/>
      <c r="J61" s="7"/>
      <c r="K61" s="7"/>
      <c r="L61" s="4"/>
    </row>
    <row r="62" spans="1:19" x14ac:dyDescent="0.3">
      <c r="A62" t="s">
        <v>9</v>
      </c>
      <c r="B62" t="str">
        <f>CONCATENATE("COMP_",ROW())</f>
        <v>COMP_62</v>
      </c>
      <c r="C62" s="5">
        <v>0.17799999999999999</v>
      </c>
      <c r="D62" s="6">
        <v>0</v>
      </c>
      <c r="E62" s="6">
        <v>270</v>
      </c>
      <c r="F62" s="6">
        <v>0</v>
      </c>
      <c r="G62" s="8">
        <v>0</v>
      </c>
      <c r="H62" s="8">
        <v>0</v>
      </c>
      <c r="I62" s="8">
        <v>0</v>
      </c>
      <c r="J62" s="7">
        <v>273</v>
      </c>
      <c r="K62" s="7">
        <v>4.1900000000000004</v>
      </c>
      <c r="L62" s="4" t="s">
        <v>22</v>
      </c>
      <c r="M62" t="str">
        <f ca="1">OFFSET($A$1,ROW()-3,1)</f>
        <v>PIPE_60</v>
      </c>
      <c r="N62">
        <v>2</v>
      </c>
      <c r="O62" t="str">
        <f ca="1">OFFSET($A$1,ROW()+1,1)</f>
        <v>PIPE_64</v>
      </c>
      <c r="P62">
        <v>1</v>
      </c>
      <c r="Q62">
        <v>0.2198</v>
      </c>
    </row>
    <row r="63" spans="1:19" x14ac:dyDescent="0.3">
      <c r="C63" s="5"/>
      <c r="D63" s="6"/>
      <c r="E63" s="6"/>
      <c r="F63" s="6"/>
      <c r="G63" s="8"/>
      <c r="H63" s="8"/>
      <c r="I63" s="8"/>
      <c r="J63" s="7"/>
      <c r="K63" s="7"/>
      <c r="L63" s="4"/>
    </row>
    <row r="64" spans="1:19" x14ac:dyDescent="0.3">
      <c r="A64" t="s">
        <v>7</v>
      </c>
      <c r="B64" t="str">
        <f>CONCATENATE("PIPE_",ROW())</f>
        <v>PIPE_64</v>
      </c>
      <c r="C64" s="5">
        <f>9.851+0.305</f>
        <v>10.156000000000001</v>
      </c>
      <c r="D64" s="6">
        <v>0</v>
      </c>
      <c r="E64" s="6">
        <v>270</v>
      </c>
      <c r="F64" s="6">
        <v>0</v>
      </c>
      <c r="G64" s="8">
        <v>0</v>
      </c>
      <c r="H64" s="8">
        <v>0</v>
      </c>
      <c r="I64" s="8">
        <v>0</v>
      </c>
      <c r="J64" s="7">
        <v>219.8</v>
      </c>
      <c r="K64" s="7">
        <v>3.76</v>
      </c>
      <c r="L64" s="4" t="s">
        <v>7</v>
      </c>
      <c r="M64" t="s">
        <v>17</v>
      </c>
      <c r="N64" t="s">
        <v>17</v>
      </c>
      <c r="O64" t="s">
        <v>17</v>
      </c>
      <c r="P64" t="s">
        <v>17</v>
      </c>
      <c r="Q64">
        <v>1.5</v>
      </c>
    </row>
    <row r="65" spans="1:19" x14ac:dyDescent="0.3">
      <c r="A65" t="s">
        <v>7</v>
      </c>
      <c r="B65" t="str">
        <f>CONCATENATE("PIPE_",ROW())</f>
        <v>PIPE_65</v>
      </c>
      <c r="C65" s="5">
        <v>1.35</v>
      </c>
      <c r="D65" s="6">
        <v>0</v>
      </c>
      <c r="E65" s="6">
        <v>180</v>
      </c>
      <c r="F65" s="6">
        <v>0</v>
      </c>
      <c r="G65" s="8">
        <v>0</v>
      </c>
      <c r="H65" s="8">
        <v>0</v>
      </c>
      <c r="I65" s="8">
        <v>0</v>
      </c>
      <c r="J65" s="7">
        <v>219.8</v>
      </c>
      <c r="K65" s="7">
        <v>3.76</v>
      </c>
      <c r="L65" s="4" t="s">
        <v>7</v>
      </c>
      <c r="M65" t="s">
        <v>17</v>
      </c>
      <c r="N65" t="s">
        <v>17</v>
      </c>
      <c r="O65" t="s">
        <v>17</v>
      </c>
      <c r="P65" t="s">
        <v>17</v>
      </c>
      <c r="Q65">
        <v>1.5</v>
      </c>
    </row>
    <row r="66" spans="1:19" x14ac:dyDescent="0.3">
      <c r="A66" t="s">
        <v>7</v>
      </c>
      <c r="B66" t="str">
        <f>CONCATENATE("PIPE_",ROW())</f>
        <v>PIPE_66</v>
      </c>
      <c r="C66" s="5">
        <f>0.305+0.1</f>
        <v>0.40500000000000003</v>
      </c>
      <c r="D66" s="6">
        <v>0</v>
      </c>
      <c r="E66" s="6">
        <v>90</v>
      </c>
      <c r="F66" s="6">
        <v>0</v>
      </c>
      <c r="G66" s="8">
        <v>0</v>
      </c>
      <c r="H66" s="8">
        <v>0</v>
      </c>
      <c r="I66" s="8">
        <v>0</v>
      </c>
      <c r="J66" s="7">
        <v>219.8</v>
      </c>
      <c r="K66" s="7">
        <v>3.76</v>
      </c>
      <c r="L66" s="4" t="s">
        <v>7</v>
      </c>
      <c r="M66" t="s">
        <v>17</v>
      </c>
      <c r="N66" t="s">
        <v>17</v>
      </c>
      <c r="O66" t="s">
        <v>17</v>
      </c>
      <c r="P66" t="s">
        <v>17</v>
      </c>
      <c r="Q66">
        <v>1.5</v>
      </c>
    </row>
    <row r="67" spans="1:19" x14ac:dyDescent="0.3">
      <c r="C67" s="5"/>
      <c r="D67" s="6"/>
      <c r="E67" s="6"/>
      <c r="F67" s="6"/>
      <c r="G67" s="8"/>
      <c r="H67" s="8"/>
      <c r="I67" s="8"/>
      <c r="J67" s="7"/>
      <c r="K67" s="7"/>
      <c r="L67" s="4"/>
    </row>
    <row r="68" spans="1:19" x14ac:dyDescent="0.3">
      <c r="A68" t="s">
        <v>9</v>
      </c>
      <c r="B68" t="str">
        <f>CONCATENATE("COMP_",ROW())</f>
        <v>COMP_68</v>
      </c>
      <c r="C68" s="5">
        <v>0.24099999999999999</v>
      </c>
      <c r="D68" s="6">
        <v>0</v>
      </c>
      <c r="E68" s="6">
        <v>90</v>
      </c>
      <c r="F68" s="6">
        <v>0</v>
      </c>
      <c r="G68" s="8">
        <v>0</v>
      </c>
      <c r="H68" s="8">
        <v>0</v>
      </c>
      <c r="I68" s="8">
        <v>0</v>
      </c>
      <c r="J68" s="7">
        <v>219.8</v>
      </c>
      <c r="K68" s="7">
        <v>3.76</v>
      </c>
      <c r="L68" s="4" t="s">
        <v>22</v>
      </c>
      <c r="M68" t="str">
        <f ca="1">OFFSET($A$1,ROW()-3,1)</f>
        <v>PIPE_66</v>
      </c>
      <c r="N68">
        <v>2</v>
      </c>
      <c r="O68" t="str">
        <f ca="1">OFFSET($A$1,ROW()+1,1)</f>
        <v>COMP_70</v>
      </c>
      <c r="P68">
        <v>1</v>
      </c>
      <c r="Q68">
        <v>0.22</v>
      </c>
    </row>
    <row r="69" spans="1:19" x14ac:dyDescent="0.3">
      <c r="C69" s="5"/>
      <c r="D69" s="6"/>
      <c r="E69" s="6"/>
      <c r="F69" s="6"/>
      <c r="G69" s="8"/>
      <c r="H69" s="8"/>
      <c r="I69" s="8"/>
      <c r="J69" s="7"/>
      <c r="K69" s="7"/>
      <c r="L69" s="4"/>
    </row>
    <row r="70" spans="1:19" x14ac:dyDescent="0.3">
      <c r="A70" t="s">
        <v>10</v>
      </c>
      <c r="B70" t="str">
        <f>CONCATENATE("COMP_",ROW())</f>
        <v>COMP_70</v>
      </c>
      <c r="C70" s="5">
        <v>0.50800000000000001</v>
      </c>
      <c r="D70" s="6">
        <v>0</v>
      </c>
      <c r="E70" s="6">
        <v>90</v>
      </c>
      <c r="F70" s="6">
        <v>0</v>
      </c>
      <c r="G70" s="8">
        <v>0</v>
      </c>
      <c r="H70" s="8">
        <v>0</v>
      </c>
      <c r="I70" s="8">
        <v>0</v>
      </c>
      <c r="J70" s="7">
        <v>220</v>
      </c>
      <c r="K70" s="7">
        <v>3.76</v>
      </c>
      <c r="L70" s="4" t="s">
        <v>42</v>
      </c>
      <c r="M70" t="str">
        <f ca="1">OFFSET($A$1,ROW()-3,1)</f>
        <v>COMP_68</v>
      </c>
      <c r="N70">
        <v>2</v>
      </c>
      <c r="O70" t="str">
        <f ca="1">OFFSET($A$1,ROW()+1,1)</f>
        <v>COMP_72</v>
      </c>
      <c r="P70">
        <v>1</v>
      </c>
    </row>
    <row r="71" spans="1:19" x14ac:dyDescent="0.3">
      <c r="C71" s="5"/>
      <c r="D71" s="6"/>
      <c r="E71" s="6"/>
      <c r="F71" s="6"/>
      <c r="G71" s="8"/>
      <c r="H71" s="8"/>
      <c r="I71" s="8"/>
      <c r="J71" s="7"/>
      <c r="K71" s="7"/>
      <c r="L71" s="4"/>
    </row>
    <row r="72" spans="1:19" x14ac:dyDescent="0.3">
      <c r="A72" t="s">
        <v>9</v>
      </c>
      <c r="B72" t="str">
        <f>CONCATENATE("COMP_",ROW())</f>
        <v>COMP_72</v>
      </c>
      <c r="C72" s="5">
        <v>0.2</v>
      </c>
      <c r="D72" s="6">
        <v>0</v>
      </c>
      <c r="E72" s="6">
        <v>90</v>
      </c>
      <c r="F72" s="6">
        <v>0</v>
      </c>
      <c r="G72" s="8">
        <v>0</v>
      </c>
      <c r="H72" s="8">
        <v>0</v>
      </c>
      <c r="I72" s="8">
        <v>0</v>
      </c>
      <c r="J72" s="7">
        <v>220</v>
      </c>
      <c r="K72" s="7">
        <v>3.76</v>
      </c>
      <c r="L72" s="4" t="s">
        <v>22</v>
      </c>
      <c r="M72" t="str">
        <f ca="1">OFFSET($A$1,ROW()-3,1)</f>
        <v>COMP_70</v>
      </c>
      <c r="N72">
        <v>2</v>
      </c>
      <c r="O72" t="str">
        <f ca="1">OFFSET($A$1,ROW()+1,1)</f>
        <v>PIPE_74</v>
      </c>
      <c r="P72">
        <v>1</v>
      </c>
      <c r="Q72">
        <v>0.2198</v>
      </c>
    </row>
    <row r="73" spans="1:19" x14ac:dyDescent="0.3">
      <c r="C73" s="5"/>
      <c r="D73" s="6"/>
      <c r="E73" s="6"/>
      <c r="F73" s="6"/>
      <c r="G73" s="8"/>
      <c r="H73" s="8"/>
      <c r="I73" s="8"/>
      <c r="J73" s="7"/>
      <c r="K73" s="7"/>
      <c r="L73" s="4"/>
    </row>
    <row r="74" spans="1:19" x14ac:dyDescent="0.3">
      <c r="A74" t="s">
        <v>7</v>
      </c>
      <c r="B74" t="str">
        <f>CONCATENATE("PIPE_",ROW())</f>
        <v>PIPE_74</v>
      </c>
      <c r="C74" s="5">
        <f>0.268+0.178</f>
        <v>0.44600000000000001</v>
      </c>
      <c r="D74" s="6">
        <v>0</v>
      </c>
      <c r="E74" s="6">
        <v>90</v>
      </c>
      <c r="F74" s="6">
        <v>0</v>
      </c>
      <c r="G74" s="8">
        <v>0</v>
      </c>
      <c r="H74" s="8">
        <v>0</v>
      </c>
      <c r="I74" s="8">
        <v>0</v>
      </c>
      <c r="J74" s="7">
        <v>219.8</v>
      </c>
      <c r="K74" s="7">
        <v>3.76</v>
      </c>
      <c r="L74" s="4" t="s">
        <v>7</v>
      </c>
      <c r="M74" t="s">
        <v>17</v>
      </c>
      <c r="N74" t="s">
        <v>17</v>
      </c>
      <c r="O74" t="s">
        <v>17</v>
      </c>
      <c r="P74" t="s">
        <v>17</v>
      </c>
      <c r="Q74">
        <v>1.5</v>
      </c>
      <c r="S74" t="s">
        <v>45</v>
      </c>
    </row>
    <row r="75" spans="1:19" x14ac:dyDescent="0.3">
      <c r="A75" t="s">
        <v>7</v>
      </c>
      <c r="B75" t="str">
        <f>CONCATENATE("PIPE_",ROW())</f>
        <v>PIPE_75</v>
      </c>
      <c r="C75" s="5">
        <f>0.178+0.2</f>
        <v>0.378</v>
      </c>
      <c r="D75" s="6">
        <v>0</v>
      </c>
      <c r="E75" s="6">
        <v>90</v>
      </c>
      <c r="F75" s="6">
        <v>0</v>
      </c>
      <c r="G75" s="8">
        <v>0</v>
      </c>
      <c r="H75" s="8">
        <v>0</v>
      </c>
      <c r="I75" s="8">
        <v>0</v>
      </c>
      <c r="J75" s="7">
        <v>219.8</v>
      </c>
      <c r="K75" s="7">
        <v>3.76</v>
      </c>
      <c r="L75" s="4" t="s">
        <v>7</v>
      </c>
      <c r="M75" t="s">
        <v>17</v>
      </c>
      <c r="N75" t="s">
        <v>17</v>
      </c>
      <c r="O75" t="s">
        <v>17</v>
      </c>
      <c r="P75" t="s">
        <v>17</v>
      </c>
      <c r="Q75">
        <v>1.5</v>
      </c>
    </row>
    <row r="76" spans="1:19" x14ac:dyDescent="0.3">
      <c r="C76" s="5"/>
      <c r="D76" s="6"/>
      <c r="E76" s="6"/>
      <c r="F76" s="6"/>
      <c r="G76" s="8"/>
      <c r="H76" s="8"/>
      <c r="I76" s="8"/>
      <c r="J76" s="7"/>
      <c r="K76" s="7"/>
      <c r="L76" s="4"/>
    </row>
    <row r="77" spans="1:19" x14ac:dyDescent="0.3">
      <c r="A77" t="s">
        <v>10</v>
      </c>
      <c r="B77" t="str">
        <f>CONCATENATE("COMP_",ROW())</f>
        <v>COMP_77</v>
      </c>
      <c r="C77" s="5">
        <v>0.50800000000000001</v>
      </c>
      <c r="D77" s="6">
        <v>0</v>
      </c>
      <c r="E77" s="6">
        <v>90</v>
      </c>
      <c r="F77" s="6">
        <v>0</v>
      </c>
      <c r="G77" s="8">
        <v>0</v>
      </c>
      <c r="H77" s="8">
        <v>0</v>
      </c>
      <c r="I77" s="8">
        <v>0</v>
      </c>
      <c r="J77" s="7">
        <v>220</v>
      </c>
      <c r="K77" s="7">
        <v>3.76</v>
      </c>
      <c r="L77" s="4" t="s">
        <v>43</v>
      </c>
      <c r="M77" t="str">
        <f ca="1">OFFSET($A$1,ROW()-3,1)</f>
        <v>PIPE_75</v>
      </c>
      <c r="N77">
        <v>2</v>
      </c>
      <c r="O77" t="str">
        <f ca="1">OFFSET($A$1,ROW()+1,1)</f>
        <v>PIPE_79</v>
      </c>
      <c r="P77">
        <v>1</v>
      </c>
    </row>
    <row r="78" spans="1:19" x14ac:dyDescent="0.3">
      <c r="C78" s="5"/>
      <c r="D78" s="6"/>
      <c r="E78" s="6"/>
      <c r="F78" s="6"/>
      <c r="G78" s="8"/>
      <c r="H78" s="8"/>
      <c r="I78" s="8"/>
      <c r="J78" s="7"/>
      <c r="K78" s="7"/>
      <c r="L78" s="4"/>
    </row>
    <row r="79" spans="1:19" x14ac:dyDescent="0.3">
      <c r="A79" t="s">
        <v>7</v>
      </c>
      <c r="B79" t="str">
        <f>CONCATENATE("PIPE_",ROW())</f>
        <v>PIPE_79</v>
      </c>
      <c r="C79" s="5">
        <f>0.2+0.478+0.2</f>
        <v>0.87799999999999989</v>
      </c>
      <c r="D79" s="6">
        <v>0</v>
      </c>
      <c r="E79" s="6">
        <v>90</v>
      </c>
      <c r="F79" s="6">
        <v>0</v>
      </c>
      <c r="G79" s="8">
        <v>0</v>
      </c>
      <c r="H79" s="8">
        <v>0</v>
      </c>
      <c r="I79" s="8">
        <v>0</v>
      </c>
      <c r="J79" s="7">
        <v>219.8</v>
      </c>
      <c r="K79" s="7">
        <v>3.76</v>
      </c>
      <c r="L79" s="4" t="s">
        <v>7</v>
      </c>
      <c r="M79" t="s">
        <v>17</v>
      </c>
      <c r="N79" t="s">
        <v>17</v>
      </c>
      <c r="O79" t="s">
        <v>17</v>
      </c>
      <c r="P79" t="s">
        <v>17</v>
      </c>
      <c r="Q79">
        <v>1.5</v>
      </c>
    </row>
    <row r="80" spans="1:19" x14ac:dyDescent="0.3">
      <c r="C80" s="5"/>
      <c r="D80" s="6"/>
      <c r="E80" s="6"/>
      <c r="F80" s="6"/>
      <c r="G80" s="8"/>
      <c r="H80" s="8"/>
      <c r="I80" s="8"/>
      <c r="J80" s="7"/>
      <c r="K80" s="7"/>
      <c r="L80" s="4"/>
    </row>
    <row r="81" spans="1:19" x14ac:dyDescent="0.3">
      <c r="A81" t="s">
        <v>10</v>
      </c>
      <c r="B81" t="str">
        <f>CONCATENATE("COMP_",ROW())</f>
        <v>COMP_81</v>
      </c>
      <c r="C81" s="5">
        <v>0.50800000000000001</v>
      </c>
      <c r="D81" s="6">
        <v>0</v>
      </c>
      <c r="E81" s="6">
        <v>90</v>
      </c>
      <c r="F81" s="6">
        <v>0</v>
      </c>
      <c r="G81" s="8">
        <v>0</v>
      </c>
      <c r="H81" s="8">
        <v>0</v>
      </c>
      <c r="I81" s="8">
        <v>0</v>
      </c>
      <c r="J81" s="7">
        <v>220</v>
      </c>
      <c r="K81" s="7">
        <v>3.76</v>
      </c>
      <c r="L81" s="4" t="s">
        <v>44</v>
      </c>
      <c r="M81" t="str">
        <f ca="1">OFFSET($A$1,ROW()-3,1)</f>
        <v>PIPE_79</v>
      </c>
      <c r="N81">
        <v>2</v>
      </c>
      <c r="O81" t="str">
        <f ca="1">OFFSET($A$1,ROW()+1,1)</f>
        <v>PIPE_83</v>
      </c>
      <c r="P81">
        <v>1</v>
      </c>
    </row>
    <row r="82" spans="1:19" x14ac:dyDescent="0.3">
      <c r="C82" s="5"/>
      <c r="D82" s="6"/>
      <c r="E82" s="6"/>
      <c r="F82" s="6"/>
      <c r="G82" s="8"/>
      <c r="H82" s="8"/>
      <c r="I82" s="8"/>
      <c r="J82" s="7"/>
      <c r="K82" s="7"/>
      <c r="L82" s="4"/>
    </row>
    <row r="83" spans="1:19" x14ac:dyDescent="0.3">
      <c r="A83" t="s">
        <v>7</v>
      </c>
      <c r="B83" t="str">
        <f>CONCATENATE("PIPE_",ROW())</f>
        <v>PIPE_83</v>
      </c>
      <c r="C83" s="5">
        <f>0.2+0.178</f>
        <v>0.378</v>
      </c>
      <c r="D83" s="6">
        <v>0</v>
      </c>
      <c r="E83" s="6">
        <v>90</v>
      </c>
      <c r="F83" s="6">
        <v>0</v>
      </c>
      <c r="G83" s="8">
        <v>0</v>
      </c>
      <c r="H83" s="8">
        <v>0</v>
      </c>
      <c r="I83" s="8">
        <v>0</v>
      </c>
      <c r="J83" s="7">
        <v>219.8</v>
      </c>
      <c r="K83" s="7">
        <v>3.76</v>
      </c>
      <c r="L83" s="4" t="s">
        <v>7</v>
      </c>
      <c r="M83" t="s">
        <v>17</v>
      </c>
      <c r="N83" t="s">
        <v>17</v>
      </c>
      <c r="O83" t="s">
        <v>17</v>
      </c>
      <c r="P83" t="s">
        <v>17</v>
      </c>
      <c r="Q83">
        <v>1.5</v>
      </c>
      <c r="S83" t="s">
        <v>54</v>
      </c>
    </row>
    <row r="84" spans="1:19" x14ac:dyDescent="0.3">
      <c r="A84" t="s">
        <v>7</v>
      </c>
      <c r="B84" t="str">
        <f>CONCATENATE("PIPE_",ROW())</f>
        <v>PIPE_84</v>
      </c>
      <c r="C84" s="5">
        <f>0.178+0.1+0.178</f>
        <v>0.45600000000000002</v>
      </c>
      <c r="D84" s="6">
        <v>0</v>
      </c>
      <c r="E84" s="6">
        <v>90</v>
      </c>
      <c r="F84" s="6">
        <v>0</v>
      </c>
      <c r="G84" s="8">
        <v>0</v>
      </c>
      <c r="H84" s="8">
        <v>0</v>
      </c>
      <c r="I84" s="8">
        <v>0</v>
      </c>
      <c r="J84" s="7">
        <v>219.8</v>
      </c>
      <c r="K84" s="7">
        <v>3.76</v>
      </c>
      <c r="L84" s="4" t="s">
        <v>7</v>
      </c>
      <c r="M84" t="s">
        <v>17</v>
      </c>
      <c r="N84" t="s">
        <v>17</v>
      </c>
      <c r="O84" t="s">
        <v>17</v>
      </c>
      <c r="P84" t="s">
        <v>17</v>
      </c>
      <c r="Q84">
        <v>1.5</v>
      </c>
      <c r="S84" t="s">
        <v>47</v>
      </c>
    </row>
    <row r="85" spans="1:19" x14ac:dyDescent="0.3">
      <c r="A85" t="s">
        <v>7</v>
      </c>
      <c r="B85" t="str">
        <f>CONCATENATE("PIPE_",ROW())</f>
        <v>PIPE_85</v>
      </c>
      <c r="C85" s="5">
        <f>0.178+0.412+0.2</f>
        <v>0.79</v>
      </c>
      <c r="D85" s="6">
        <v>0</v>
      </c>
      <c r="E85" s="6">
        <v>90</v>
      </c>
      <c r="F85" s="6">
        <v>0</v>
      </c>
      <c r="G85" s="8">
        <v>0</v>
      </c>
      <c r="H85" s="8">
        <v>0</v>
      </c>
      <c r="I85" s="8">
        <v>0</v>
      </c>
      <c r="J85" s="7">
        <v>219.8</v>
      </c>
      <c r="K85" s="7">
        <v>3.76</v>
      </c>
      <c r="L85" s="4" t="s">
        <v>7</v>
      </c>
      <c r="M85" t="s">
        <v>17</v>
      </c>
      <c r="N85" t="s">
        <v>17</v>
      </c>
      <c r="O85" t="s">
        <v>17</v>
      </c>
      <c r="P85" t="s">
        <v>17</v>
      </c>
      <c r="Q85">
        <v>1.5</v>
      </c>
    </row>
    <row r="86" spans="1:19" x14ac:dyDescent="0.3">
      <c r="C86" s="5"/>
      <c r="D86" s="6"/>
      <c r="E86" s="6"/>
      <c r="F86" s="6"/>
      <c r="G86" s="8"/>
      <c r="H86" s="8"/>
      <c r="I86" s="8"/>
      <c r="J86" s="7"/>
      <c r="K86" s="7"/>
      <c r="L86" s="4"/>
    </row>
    <row r="87" spans="1:19" x14ac:dyDescent="0.3">
      <c r="A87" t="s">
        <v>10</v>
      </c>
      <c r="B87" t="str">
        <f>CONCATENATE("COMP_",ROW())</f>
        <v>COMP_87</v>
      </c>
      <c r="C87" s="5">
        <v>0.50800000000000001</v>
      </c>
      <c r="D87" s="6">
        <v>0</v>
      </c>
      <c r="E87" s="6">
        <v>90</v>
      </c>
      <c r="F87" s="6">
        <v>0</v>
      </c>
      <c r="G87" s="8">
        <v>0</v>
      </c>
      <c r="H87" s="8">
        <v>0</v>
      </c>
      <c r="I87" s="8">
        <v>0</v>
      </c>
      <c r="J87" s="7">
        <v>220</v>
      </c>
      <c r="K87" s="7">
        <v>3.76</v>
      </c>
      <c r="L87" s="4" t="s">
        <v>46</v>
      </c>
      <c r="M87" t="str">
        <f ca="1">OFFSET($A$1,ROW()-3,1)</f>
        <v>PIPE_85</v>
      </c>
      <c r="N87">
        <v>2</v>
      </c>
      <c r="O87" t="str">
        <f ca="1">OFFSET($A$1,ROW()+1,1)</f>
        <v>PIPE_89</v>
      </c>
      <c r="P87">
        <v>1</v>
      </c>
    </row>
    <row r="88" spans="1:19" x14ac:dyDescent="0.3">
      <c r="C88" s="5"/>
      <c r="D88" s="6"/>
      <c r="E88" s="6"/>
      <c r="F88" s="6"/>
      <c r="G88" s="8"/>
      <c r="H88" s="8"/>
      <c r="I88" s="8"/>
      <c r="J88" s="7"/>
      <c r="K88" s="7"/>
      <c r="L88" s="4"/>
    </row>
    <row r="89" spans="1:19" x14ac:dyDescent="0.3">
      <c r="A89" t="s">
        <v>7</v>
      </c>
      <c r="B89" t="str">
        <f>CONCATENATE("PIPE_",ROW())</f>
        <v>PIPE_89</v>
      </c>
      <c r="C89" s="5">
        <f>0.2+0.592+0.2</f>
        <v>0.99199999999999999</v>
      </c>
      <c r="D89" s="6">
        <v>0</v>
      </c>
      <c r="E89" s="6">
        <v>90</v>
      </c>
      <c r="F89" s="6">
        <v>0</v>
      </c>
      <c r="G89" s="8">
        <v>0</v>
      </c>
      <c r="H89" s="8">
        <v>0</v>
      </c>
      <c r="I89" s="8">
        <v>0</v>
      </c>
      <c r="J89" s="7">
        <v>219.8</v>
      </c>
      <c r="K89" s="7">
        <v>3.76</v>
      </c>
      <c r="L89" s="4" t="s">
        <v>7</v>
      </c>
      <c r="M89" t="s">
        <v>17</v>
      </c>
      <c r="N89" t="s">
        <v>17</v>
      </c>
      <c r="O89" t="s">
        <v>17</v>
      </c>
      <c r="P89" t="s">
        <v>17</v>
      </c>
      <c r="Q89">
        <v>1.5</v>
      </c>
    </row>
    <row r="90" spans="1:19" x14ac:dyDescent="0.3">
      <c r="C90" s="5"/>
      <c r="D90" s="6"/>
      <c r="E90" s="6"/>
      <c r="F90" s="6"/>
      <c r="G90" s="8"/>
      <c r="H90" s="8"/>
      <c r="I90" s="8"/>
      <c r="J90" s="7"/>
      <c r="K90" s="7"/>
      <c r="L90" s="4"/>
    </row>
    <row r="91" spans="1:19" x14ac:dyDescent="0.3">
      <c r="A91" t="s">
        <v>10</v>
      </c>
      <c r="B91" t="str">
        <f>CONCATENATE("COMP_",ROW())</f>
        <v>COMP_91</v>
      </c>
      <c r="C91" s="5">
        <v>0.50800000000000001</v>
      </c>
      <c r="D91" s="6">
        <v>0</v>
      </c>
      <c r="E91" s="6">
        <v>90</v>
      </c>
      <c r="F91" s="6">
        <v>0</v>
      </c>
      <c r="G91" s="8">
        <v>0</v>
      </c>
      <c r="H91" s="8">
        <v>0</v>
      </c>
      <c r="I91" s="8">
        <v>0</v>
      </c>
      <c r="J91" s="7">
        <v>220</v>
      </c>
      <c r="K91" s="7">
        <v>3.76</v>
      </c>
      <c r="L91" s="4" t="s">
        <v>48</v>
      </c>
      <c r="M91" t="str">
        <f ca="1">OFFSET($A$1,ROW()-3,1)</f>
        <v>PIPE_89</v>
      </c>
      <c r="N91">
        <v>2</v>
      </c>
      <c r="O91" t="str">
        <f ca="1">OFFSET($A$1,ROW()+1,1)</f>
        <v>PIPE_93</v>
      </c>
      <c r="P91">
        <v>1</v>
      </c>
    </row>
    <row r="92" spans="1:19" x14ac:dyDescent="0.3">
      <c r="C92" s="5"/>
      <c r="D92" s="6"/>
      <c r="E92" s="6"/>
      <c r="F92" s="6"/>
      <c r="G92" s="8"/>
      <c r="H92" s="8"/>
      <c r="I92" s="8"/>
      <c r="J92" s="7"/>
      <c r="K92" s="7"/>
      <c r="L92" s="4"/>
    </row>
    <row r="93" spans="1:19" x14ac:dyDescent="0.3">
      <c r="A93" t="s">
        <v>7</v>
      </c>
      <c r="B93" t="str">
        <f>CONCATENATE("PIPE_",ROW())</f>
        <v>PIPE_93</v>
      </c>
      <c r="C93" s="5">
        <f>0.2+0.303+0.178</f>
        <v>0.68100000000000005</v>
      </c>
      <c r="D93" s="6">
        <v>0</v>
      </c>
      <c r="E93" s="6">
        <v>90</v>
      </c>
      <c r="F93" s="6">
        <v>0</v>
      </c>
      <c r="G93" s="8">
        <v>0</v>
      </c>
      <c r="H93" s="8">
        <v>0</v>
      </c>
      <c r="I93" s="8">
        <v>0</v>
      </c>
      <c r="J93" s="7">
        <v>219.8</v>
      </c>
      <c r="K93" s="7">
        <v>3.76</v>
      </c>
      <c r="L93" s="4" t="s">
        <v>7</v>
      </c>
      <c r="M93" t="s">
        <v>17</v>
      </c>
      <c r="N93" t="s">
        <v>17</v>
      </c>
      <c r="O93" t="s">
        <v>17</v>
      </c>
      <c r="P93" t="s">
        <v>17</v>
      </c>
      <c r="Q93">
        <v>1.5</v>
      </c>
      <c r="S93" t="s">
        <v>49</v>
      </c>
    </row>
    <row r="94" spans="1:19" x14ac:dyDescent="0.3">
      <c r="A94" t="s">
        <v>7</v>
      </c>
      <c r="B94" t="str">
        <f>CONCATENATE("PIPE_",ROW())</f>
        <v>PIPE_94</v>
      </c>
      <c r="C94" s="5">
        <f>0.178+0.733+0.2</f>
        <v>1.111</v>
      </c>
      <c r="D94" s="6">
        <v>0</v>
      </c>
      <c r="E94" s="6">
        <v>90</v>
      </c>
      <c r="F94" s="6">
        <v>0</v>
      </c>
      <c r="G94" s="8">
        <v>0</v>
      </c>
      <c r="H94" s="8">
        <v>0</v>
      </c>
      <c r="I94" s="8">
        <v>0</v>
      </c>
      <c r="J94" s="7">
        <v>219.8</v>
      </c>
      <c r="K94" s="7">
        <v>3.76</v>
      </c>
      <c r="L94" s="4" t="s">
        <v>7</v>
      </c>
      <c r="M94" t="s">
        <v>17</v>
      </c>
      <c r="N94" t="s">
        <v>17</v>
      </c>
      <c r="O94" t="s">
        <v>17</v>
      </c>
      <c r="P94" t="s">
        <v>17</v>
      </c>
      <c r="Q94">
        <v>1.5</v>
      </c>
    </row>
    <row r="95" spans="1:19" x14ac:dyDescent="0.3">
      <c r="C95" s="5"/>
      <c r="D95" s="6"/>
      <c r="E95" s="6"/>
      <c r="F95" s="6"/>
      <c r="G95" s="8"/>
      <c r="H95" s="8"/>
      <c r="I95" s="8"/>
      <c r="J95" s="7"/>
      <c r="K95" s="7"/>
      <c r="L95" s="4"/>
    </row>
    <row r="96" spans="1:19" x14ac:dyDescent="0.3">
      <c r="A96" t="s">
        <v>10</v>
      </c>
      <c r="B96" t="str">
        <f>CONCATENATE("COMP_",ROW())</f>
        <v>COMP_96</v>
      </c>
      <c r="C96" s="5">
        <v>0.50800000000000001</v>
      </c>
      <c r="D96" s="6">
        <v>0</v>
      </c>
      <c r="E96" s="6">
        <v>90</v>
      </c>
      <c r="F96" s="6">
        <v>0</v>
      </c>
      <c r="G96" s="8">
        <v>0</v>
      </c>
      <c r="H96" s="8">
        <v>0</v>
      </c>
      <c r="I96" s="8">
        <v>0</v>
      </c>
      <c r="J96" s="7">
        <v>220</v>
      </c>
      <c r="K96" s="7">
        <v>3.76</v>
      </c>
      <c r="L96" s="4" t="s">
        <v>50</v>
      </c>
      <c r="M96" t="str">
        <f ca="1">OFFSET($A$1,ROW()-3,1)</f>
        <v>PIPE_94</v>
      </c>
      <c r="N96">
        <v>2</v>
      </c>
      <c r="O96" t="str">
        <f ca="1">OFFSET($A$1,ROW()+1,1)</f>
        <v>PIPE_98</v>
      </c>
      <c r="P96">
        <v>1</v>
      </c>
    </row>
    <row r="97" spans="1:19" x14ac:dyDescent="0.3">
      <c r="C97" s="5"/>
      <c r="D97" s="6"/>
      <c r="E97" s="6"/>
      <c r="F97" s="6"/>
      <c r="G97" s="8"/>
      <c r="H97" s="8"/>
      <c r="I97" s="8"/>
      <c r="J97" s="7"/>
      <c r="K97" s="7"/>
      <c r="L97" s="4"/>
    </row>
    <row r="98" spans="1:19" x14ac:dyDescent="0.3">
      <c r="A98" t="s">
        <v>7</v>
      </c>
      <c r="B98" t="str">
        <f>CONCATENATE("PIPE_",ROW())</f>
        <v>PIPE_98</v>
      </c>
      <c r="C98" s="5">
        <f>0.241+0.305</f>
        <v>0.54600000000000004</v>
      </c>
      <c r="D98" s="6">
        <v>0</v>
      </c>
      <c r="E98" s="6">
        <v>90</v>
      </c>
      <c r="F98" s="6">
        <v>0</v>
      </c>
      <c r="G98" s="8">
        <v>0</v>
      </c>
      <c r="H98" s="8">
        <v>0</v>
      </c>
      <c r="I98" s="8">
        <v>0</v>
      </c>
      <c r="J98" s="7">
        <v>219.8</v>
      </c>
      <c r="K98" s="7">
        <v>3.76</v>
      </c>
      <c r="L98" s="4" t="s">
        <v>7</v>
      </c>
      <c r="M98" t="s">
        <v>17</v>
      </c>
      <c r="N98" t="s">
        <v>17</v>
      </c>
      <c r="O98" t="s">
        <v>17</v>
      </c>
      <c r="P98" t="s">
        <v>17</v>
      </c>
      <c r="Q98">
        <v>1.5</v>
      </c>
    </row>
    <row r="99" spans="1:19" x14ac:dyDescent="0.3">
      <c r="A99" t="s">
        <v>7</v>
      </c>
      <c r="B99" t="str">
        <f>CONCATENATE("PIPE_",ROW())</f>
        <v>PIPE_99</v>
      </c>
      <c r="C99" s="5">
        <v>1.35</v>
      </c>
      <c r="D99" s="6">
        <v>0</v>
      </c>
      <c r="E99" s="6">
        <v>0</v>
      </c>
      <c r="F99" s="6">
        <v>0</v>
      </c>
      <c r="G99" s="8">
        <v>0</v>
      </c>
      <c r="H99" s="8">
        <v>0</v>
      </c>
      <c r="I99" s="8">
        <v>0</v>
      </c>
      <c r="J99" s="7">
        <v>219.8</v>
      </c>
      <c r="K99" s="7">
        <v>3.76</v>
      </c>
      <c r="L99" s="4" t="s">
        <v>7</v>
      </c>
      <c r="M99" t="s">
        <v>17</v>
      </c>
      <c r="N99" t="s">
        <v>17</v>
      </c>
      <c r="O99" t="s">
        <v>17</v>
      </c>
      <c r="P99" t="s">
        <v>17</v>
      </c>
      <c r="Q99">
        <v>1.5</v>
      </c>
    </row>
    <row r="100" spans="1:19" x14ac:dyDescent="0.3">
      <c r="C100" s="5"/>
      <c r="D100" s="6"/>
      <c r="E100" s="6"/>
      <c r="F100" s="6"/>
      <c r="G100" s="8"/>
      <c r="H100" s="8"/>
      <c r="I100" s="8"/>
      <c r="J100" s="7"/>
      <c r="K100" s="7"/>
      <c r="L100" s="4"/>
    </row>
    <row r="101" spans="1:19" x14ac:dyDescent="0.3">
      <c r="A101" t="s">
        <v>11</v>
      </c>
      <c r="B101" t="str">
        <f>CONCATENATE("COMP_",ROW())</f>
        <v>COMP_101</v>
      </c>
      <c r="C101" s="5">
        <v>0</v>
      </c>
      <c r="D101" s="6">
        <v>0</v>
      </c>
      <c r="E101" s="6">
        <v>0</v>
      </c>
      <c r="F101" s="6">
        <v>0</v>
      </c>
      <c r="G101" s="8">
        <v>0</v>
      </c>
      <c r="H101" s="8">
        <v>0</v>
      </c>
      <c r="I101" s="8">
        <v>0</v>
      </c>
      <c r="J101" s="7">
        <v>220</v>
      </c>
      <c r="K101" s="7">
        <v>3.76</v>
      </c>
      <c r="L101" s="4" t="s">
        <v>22</v>
      </c>
      <c r="M101" t="str">
        <f ca="1">OFFSET($A$1,ROW()-3,1)</f>
        <v>PIPE_99</v>
      </c>
      <c r="N101">
        <v>2</v>
      </c>
      <c r="O101" t="str">
        <f>B60</f>
        <v>PIPE_60</v>
      </c>
      <c r="P101">
        <v>1</v>
      </c>
    </row>
    <row r="102" spans="1:19" x14ac:dyDescent="0.3">
      <c r="C102" s="5"/>
      <c r="D102" s="6"/>
      <c r="E102" s="6"/>
      <c r="F102" s="6"/>
      <c r="G102" s="8"/>
      <c r="H102" s="8"/>
      <c r="I102" s="8"/>
      <c r="J102" s="7"/>
      <c r="K102" s="7"/>
      <c r="L102" s="4"/>
    </row>
    <row r="103" spans="1:19" x14ac:dyDescent="0.3">
      <c r="C103" s="5"/>
      <c r="D103" s="6"/>
      <c r="E103" s="6"/>
      <c r="F103" s="6"/>
      <c r="G103" s="8"/>
      <c r="H103" s="8"/>
      <c r="I103" s="8"/>
      <c r="J103" s="7"/>
      <c r="K103" s="7"/>
      <c r="L103" s="4"/>
    </row>
    <row r="104" spans="1:19" x14ac:dyDescent="0.3">
      <c r="C104" s="5"/>
      <c r="D104" s="6"/>
      <c r="E104" s="6"/>
      <c r="F104" s="6"/>
      <c r="G104" s="8"/>
      <c r="H104" s="8"/>
      <c r="I104" s="8"/>
      <c r="J104" s="7"/>
      <c r="K104" s="7"/>
      <c r="L104" s="4"/>
    </row>
    <row r="105" spans="1:19" x14ac:dyDescent="0.3">
      <c r="A105" t="s">
        <v>33</v>
      </c>
      <c r="B105" t="s">
        <v>51</v>
      </c>
      <c r="C105" s="5"/>
      <c r="D105" s="6"/>
      <c r="E105" s="6"/>
      <c r="F105" s="6"/>
      <c r="G105" s="8"/>
      <c r="H105" s="8"/>
      <c r="I105" s="8"/>
      <c r="J105" s="7"/>
      <c r="K105" s="7"/>
      <c r="L105" s="4"/>
    </row>
    <row r="106" spans="1:19" x14ac:dyDescent="0.3">
      <c r="A106" t="s">
        <v>11</v>
      </c>
      <c r="B106" t="str">
        <f>CONCATENATE("COMP_",ROW())</f>
        <v>COMP_106</v>
      </c>
      <c r="C106" s="5">
        <v>0</v>
      </c>
      <c r="D106" s="6">
        <v>0</v>
      </c>
      <c r="E106" s="6">
        <v>0</v>
      </c>
      <c r="F106" s="6">
        <v>0</v>
      </c>
      <c r="G106" s="8">
        <v>0</v>
      </c>
      <c r="H106" s="8">
        <v>0</v>
      </c>
      <c r="I106" s="8">
        <v>0</v>
      </c>
      <c r="J106" s="7">
        <f>6*25.4</f>
        <v>152.39999999999998</v>
      </c>
      <c r="K106" s="7">
        <v>3.76</v>
      </c>
      <c r="L106" s="4" t="s">
        <v>22</v>
      </c>
      <c r="M106" t="str">
        <f>B83</f>
        <v>PIPE_83</v>
      </c>
      <c r="N106">
        <v>2</v>
      </c>
      <c r="O106" t="str">
        <f ca="1">OFFSET($A$1,ROW()+1,1)</f>
        <v>PIPE_108</v>
      </c>
      <c r="P106">
        <v>1</v>
      </c>
    </row>
    <row r="107" spans="1:19" x14ac:dyDescent="0.3">
      <c r="C107" s="5"/>
      <c r="D107" s="6"/>
      <c r="E107" s="6"/>
      <c r="F107" s="6"/>
      <c r="G107" s="8"/>
      <c r="H107" s="8"/>
      <c r="I107" s="8"/>
      <c r="J107" s="7"/>
      <c r="K107" s="7"/>
      <c r="L107" s="4"/>
    </row>
    <row r="108" spans="1:19" x14ac:dyDescent="0.3">
      <c r="A108" t="s">
        <v>7</v>
      </c>
      <c r="B108" t="str">
        <f t="shared" ref="B108:B113" si="2">CONCATENATE("PIPE_",ROW())</f>
        <v>PIPE_108</v>
      </c>
      <c r="C108" s="5">
        <v>0.5</v>
      </c>
      <c r="D108" s="6">
        <v>0</v>
      </c>
      <c r="E108" s="6">
        <v>0</v>
      </c>
      <c r="F108" s="6">
        <v>0</v>
      </c>
      <c r="G108" s="8">
        <v>0</v>
      </c>
      <c r="H108" s="8">
        <v>0</v>
      </c>
      <c r="I108" s="8">
        <v>0</v>
      </c>
      <c r="J108" s="7">
        <f t="shared" ref="J108:J113" si="3">6*25.4</f>
        <v>152.39999999999998</v>
      </c>
      <c r="K108" s="7">
        <v>3.76</v>
      </c>
      <c r="L108" s="4" t="s">
        <v>7</v>
      </c>
      <c r="M108" t="s">
        <v>17</v>
      </c>
      <c r="N108" t="s">
        <v>17</v>
      </c>
      <c r="O108" t="s">
        <v>17</v>
      </c>
      <c r="P108" t="s">
        <v>17</v>
      </c>
      <c r="Q108">
        <v>1.5</v>
      </c>
    </row>
    <row r="109" spans="1:19" x14ac:dyDescent="0.3">
      <c r="A109" t="s">
        <v>7</v>
      </c>
      <c r="B109" t="str">
        <f t="shared" si="2"/>
        <v>PIPE_109</v>
      </c>
      <c r="C109" s="5">
        <v>1.49</v>
      </c>
      <c r="D109" s="6">
        <v>90</v>
      </c>
      <c r="E109" s="6">
        <v>0</v>
      </c>
      <c r="F109" s="6">
        <v>0</v>
      </c>
      <c r="G109" s="8">
        <v>0</v>
      </c>
      <c r="H109" s="8">
        <v>0</v>
      </c>
      <c r="I109" s="8">
        <v>0</v>
      </c>
      <c r="J109" s="7">
        <f t="shared" si="3"/>
        <v>152.39999999999998</v>
      </c>
      <c r="K109" s="7">
        <v>3.76</v>
      </c>
      <c r="L109" s="4" t="s">
        <v>7</v>
      </c>
      <c r="M109" t="s">
        <v>17</v>
      </c>
      <c r="N109" t="s">
        <v>17</v>
      </c>
      <c r="O109" t="s">
        <v>17</v>
      </c>
      <c r="P109" t="s">
        <v>17</v>
      </c>
      <c r="Q109">
        <v>1.5</v>
      </c>
    </row>
    <row r="110" spans="1:19" x14ac:dyDescent="0.3">
      <c r="A110" t="s">
        <v>7</v>
      </c>
      <c r="B110" t="str">
        <f t="shared" si="2"/>
        <v>PIPE_110</v>
      </c>
      <c r="C110" s="5">
        <v>1.49</v>
      </c>
      <c r="D110" s="6">
        <v>0</v>
      </c>
      <c r="E110" s="6">
        <v>270</v>
      </c>
      <c r="F110" s="6">
        <v>0</v>
      </c>
      <c r="G110" s="8">
        <v>0</v>
      </c>
      <c r="H110" s="8">
        <v>0</v>
      </c>
      <c r="I110" s="8">
        <v>0</v>
      </c>
      <c r="J110" s="7">
        <f t="shared" si="3"/>
        <v>152.39999999999998</v>
      </c>
      <c r="K110" s="7">
        <v>3.76</v>
      </c>
      <c r="L110" s="4" t="s">
        <v>7</v>
      </c>
      <c r="M110" t="s">
        <v>17</v>
      </c>
      <c r="N110" t="s">
        <v>17</v>
      </c>
      <c r="O110" t="s">
        <v>17</v>
      </c>
      <c r="P110" t="s">
        <v>17</v>
      </c>
      <c r="Q110">
        <v>1.5</v>
      </c>
      <c r="S110" t="s">
        <v>52</v>
      </c>
    </row>
    <row r="111" spans="1:19" x14ac:dyDescent="0.3">
      <c r="A111" t="s">
        <v>7</v>
      </c>
      <c r="B111" t="str">
        <f t="shared" si="2"/>
        <v>PIPE_111</v>
      </c>
      <c r="C111" s="5">
        <v>1.49</v>
      </c>
      <c r="D111" s="6">
        <v>0</v>
      </c>
      <c r="E111" s="6">
        <v>0</v>
      </c>
      <c r="F111" s="6">
        <v>0</v>
      </c>
      <c r="G111" s="8">
        <v>0</v>
      </c>
      <c r="H111" s="8">
        <v>0</v>
      </c>
      <c r="I111" s="8">
        <v>0</v>
      </c>
      <c r="J111" s="7">
        <f t="shared" si="3"/>
        <v>152.39999999999998</v>
      </c>
      <c r="K111" s="7">
        <v>3.76</v>
      </c>
      <c r="L111" s="4" t="s">
        <v>7</v>
      </c>
      <c r="M111" t="s">
        <v>17</v>
      </c>
      <c r="N111" t="s">
        <v>17</v>
      </c>
      <c r="O111" t="s">
        <v>17</v>
      </c>
      <c r="P111" t="s">
        <v>17</v>
      </c>
      <c r="Q111">
        <v>1.5</v>
      </c>
      <c r="S111" t="s">
        <v>52</v>
      </c>
    </row>
    <row r="112" spans="1:19" x14ac:dyDescent="0.3">
      <c r="A112" t="s">
        <v>7</v>
      </c>
      <c r="B112" t="str">
        <f t="shared" si="2"/>
        <v>PIPE_112</v>
      </c>
      <c r="C112" s="5">
        <v>3.2</v>
      </c>
      <c r="D112" s="6">
        <v>90</v>
      </c>
      <c r="E112" s="6">
        <v>0</v>
      </c>
      <c r="F112" s="6">
        <v>0</v>
      </c>
      <c r="G112" s="8">
        <v>0</v>
      </c>
      <c r="H112" s="8">
        <v>0</v>
      </c>
      <c r="I112" s="8">
        <v>0</v>
      </c>
      <c r="J112" s="7">
        <f t="shared" si="3"/>
        <v>152.39999999999998</v>
      </c>
      <c r="K112" s="7">
        <v>3.76</v>
      </c>
      <c r="L112" s="4" t="s">
        <v>7</v>
      </c>
      <c r="M112" t="s">
        <v>17</v>
      </c>
      <c r="N112" t="s">
        <v>17</v>
      </c>
      <c r="O112" t="s">
        <v>17</v>
      </c>
      <c r="P112" t="s">
        <v>17</v>
      </c>
      <c r="Q112">
        <v>1.5</v>
      </c>
    </row>
    <row r="113" spans="1:19" x14ac:dyDescent="0.3">
      <c r="A113" t="s">
        <v>7</v>
      </c>
      <c r="B113" t="str">
        <f t="shared" si="2"/>
        <v>PIPE_113</v>
      </c>
      <c r="C113" s="5">
        <f>0.229+0.1</f>
        <v>0.32900000000000001</v>
      </c>
      <c r="D113" s="6">
        <v>0</v>
      </c>
      <c r="E113" s="6">
        <v>51</v>
      </c>
      <c r="F113" s="6">
        <v>0</v>
      </c>
      <c r="G113" s="8">
        <v>0</v>
      </c>
      <c r="H113" s="8">
        <v>0</v>
      </c>
      <c r="I113" s="8">
        <v>0</v>
      </c>
      <c r="J113" s="7">
        <f t="shared" si="3"/>
        <v>152.39999999999998</v>
      </c>
      <c r="K113" s="7">
        <v>3.76</v>
      </c>
      <c r="L113" s="4" t="s">
        <v>7</v>
      </c>
      <c r="M113" t="s">
        <v>17</v>
      </c>
      <c r="N113" t="s">
        <v>17</v>
      </c>
      <c r="O113" t="s">
        <v>17</v>
      </c>
      <c r="P113" t="s">
        <v>17</v>
      </c>
      <c r="Q113">
        <v>1.5</v>
      </c>
    </row>
    <row r="114" spans="1:19" x14ac:dyDescent="0.3">
      <c r="C114" s="5"/>
      <c r="D114" s="6"/>
      <c r="E114" s="6"/>
      <c r="F114" s="6"/>
      <c r="G114" s="8"/>
      <c r="H114" s="8"/>
      <c r="I114" s="8"/>
      <c r="J114" s="7"/>
      <c r="K114" s="7"/>
      <c r="L114" s="4"/>
    </row>
    <row r="115" spans="1:19" x14ac:dyDescent="0.3">
      <c r="A115" t="s">
        <v>10</v>
      </c>
      <c r="B115" t="str">
        <f>CONCATENATE("COMP_",ROW())</f>
        <v>COMP_115</v>
      </c>
      <c r="C115" s="5">
        <v>0.50800000000000001</v>
      </c>
      <c r="D115" s="6">
        <v>0</v>
      </c>
      <c r="E115" s="6">
        <v>51</v>
      </c>
      <c r="F115" s="6">
        <v>0</v>
      </c>
      <c r="G115" s="8">
        <v>0</v>
      </c>
      <c r="H115" s="8">
        <v>0</v>
      </c>
      <c r="I115" s="8">
        <v>0</v>
      </c>
      <c r="J115" s="7">
        <f>6*25.4</f>
        <v>152.39999999999998</v>
      </c>
      <c r="K115" s="7">
        <v>3.76</v>
      </c>
      <c r="L115" s="4" t="s">
        <v>56</v>
      </c>
      <c r="M115" t="str">
        <f ca="1">OFFSET($A$1,ROW()-3,1)</f>
        <v>PIPE_113</v>
      </c>
      <c r="N115">
        <v>2</v>
      </c>
      <c r="O115" t="str">
        <f ca="1">OFFSET($A$1,ROW()+1,1)</f>
        <v>PIPE_117</v>
      </c>
      <c r="P115">
        <v>1</v>
      </c>
    </row>
    <row r="116" spans="1:19" x14ac:dyDescent="0.3">
      <c r="C116" s="5"/>
      <c r="D116" s="6"/>
      <c r="E116" s="6"/>
      <c r="F116" s="6"/>
      <c r="G116" s="8"/>
      <c r="H116" s="8"/>
      <c r="I116" s="8"/>
      <c r="J116" s="7"/>
      <c r="K116" s="7"/>
      <c r="L116" s="4"/>
    </row>
    <row r="117" spans="1:19" x14ac:dyDescent="0.3">
      <c r="A117" t="s">
        <v>7</v>
      </c>
      <c r="B117" t="str">
        <f>CONCATENATE("PIPE_",ROW())</f>
        <v>PIPE_117</v>
      </c>
      <c r="C117" s="5">
        <f>0.15+0.15</f>
        <v>0.3</v>
      </c>
      <c r="D117" s="6">
        <v>0</v>
      </c>
      <c r="E117" s="6">
        <v>51</v>
      </c>
      <c r="F117" s="6">
        <v>0</v>
      </c>
      <c r="G117" s="8">
        <v>0</v>
      </c>
      <c r="H117" s="8">
        <v>0</v>
      </c>
      <c r="I117" s="8">
        <v>0</v>
      </c>
      <c r="J117" s="7">
        <f>6*25.4</f>
        <v>152.39999999999998</v>
      </c>
      <c r="K117" s="7">
        <v>3.76</v>
      </c>
      <c r="L117" s="4" t="s">
        <v>7</v>
      </c>
      <c r="M117" t="s">
        <v>17</v>
      </c>
      <c r="N117" t="s">
        <v>17</v>
      </c>
      <c r="O117" t="s">
        <v>17</v>
      </c>
      <c r="P117" t="s">
        <v>17</v>
      </c>
      <c r="Q117">
        <v>1.5</v>
      </c>
      <c r="S117" t="s">
        <v>53</v>
      </c>
    </row>
    <row r="118" spans="1:19" x14ac:dyDescent="0.3">
      <c r="A118" t="s">
        <v>7</v>
      </c>
      <c r="B118" t="str">
        <f>CONCATENATE("PIPE_",ROW())</f>
        <v>PIPE_118</v>
      </c>
      <c r="C118" s="5">
        <f>0.322-0.15+0.089*2+0.332+0.229</f>
        <v>0.91099999999999992</v>
      </c>
      <c r="D118" s="6">
        <v>0</v>
      </c>
      <c r="E118" s="6">
        <v>51</v>
      </c>
      <c r="F118" s="6">
        <v>0</v>
      </c>
      <c r="G118" s="8">
        <v>0</v>
      </c>
      <c r="H118" s="8">
        <v>0</v>
      </c>
      <c r="I118" s="8">
        <v>0</v>
      </c>
      <c r="J118" s="7">
        <f>6*25.4</f>
        <v>152.39999999999998</v>
      </c>
      <c r="K118" s="7">
        <v>3.76</v>
      </c>
      <c r="L118" s="4" t="s">
        <v>7</v>
      </c>
      <c r="M118" t="s">
        <v>17</v>
      </c>
      <c r="N118" t="s">
        <v>17</v>
      </c>
      <c r="O118" t="s">
        <v>17</v>
      </c>
      <c r="P118" t="s">
        <v>17</v>
      </c>
      <c r="Q118">
        <v>1.5</v>
      </c>
    </row>
    <row r="119" spans="1:19" x14ac:dyDescent="0.3">
      <c r="A119" t="s">
        <v>7</v>
      </c>
      <c r="B119" t="str">
        <f>CONCATENATE("PIPE_",ROW())</f>
        <v>PIPE_119</v>
      </c>
      <c r="C119" s="5">
        <v>0.22900000000000001</v>
      </c>
      <c r="D119" s="6">
        <v>-90</v>
      </c>
      <c r="E119" s="6">
        <v>0</v>
      </c>
      <c r="F119" s="6">
        <v>0</v>
      </c>
      <c r="G119" s="8">
        <v>0</v>
      </c>
      <c r="H119" s="8">
        <v>0</v>
      </c>
      <c r="I119" s="8">
        <v>0</v>
      </c>
      <c r="J119" s="7">
        <f>6*25.4</f>
        <v>152.39999999999998</v>
      </c>
      <c r="K119" s="7">
        <v>3.76</v>
      </c>
      <c r="L119" s="4" t="s">
        <v>7</v>
      </c>
      <c r="M119" t="s">
        <v>17</v>
      </c>
      <c r="N119" t="s">
        <v>17</v>
      </c>
      <c r="O119" t="s">
        <v>17</v>
      </c>
      <c r="P119" t="s">
        <v>17</v>
      </c>
      <c r="Q119">
        <v>1.5</v>
      </c>
    </row>
    <row r="120" spans="1:19" x14ac:dyDescent="0.3">
      <c r="C120" s="5"/>
      <c r="D120" s="6"/>
      <c r="E120" s="6"/>
      <c r="F120" s="6"/>
      <c r="G120" s="8"/>
      <c r="H120" s="8"/>
      <c r="I120" s="8"/>
      <c r="J120" s="7"/>
      <c r="K120" s="7"/>
      <c r="L120" s="4"/>
    </row>
    <row r="121" spans="1:19" x14ac:dyDescent="0.3">
      <c r="A121" t="s">
        <v>9</v>
      </c>
      <c r="B121" t="str">
        <f>CONCATENATE("COMP_",ROW())</f>
        <v>COMP_121</v>
      </c>
      <c r="C121" s="5">
        <v>0.152</v>
      </c>
      <c r="D121" s="6">
        <v>-90</v>
      </c>
      <c r="E121" s="6">
        <v>0</v>
      </c>
      <c r="F121" s="6">
        <v>0</v>
      </c>
      <c r="G121" s="8">
        <v>0</v>
      </c>
      <c r="H121" s="8">
        <v>0</v>
      </c>
      <c r="I121" s="8">
        <v>0</v>
      </c>
      <c r="J121" s="7">
        <f>6*25.4</f>
        <v>152.39999999999998</v>
      </c>
      <c r="K121" s="7">
        <v>3.76</v>
      </c>
      <c r="L121" s="4" t="s">
        <v>22</v>
      </c>
      <c r="M121" t="str">
        <f ca="1">OFFSET($A$1,ROW()-3,1)</f>
        <v>PIPE_119</v>
      </c>
      <c r="N121">
        <v>2</v>
      </c>
      <c r="O121" t="str">
        <f ca="1">OFFSET($A$1,ROW()+1,1)</f>
        <v>PIPE_123</v>
      </c>
      <c r="P121">
        <v>1</v>
      </c>
      <c r="Q121">
        <v>0.2198</v>
      </c>
    </row>
    <row r="122" spans="1:19" x14ac:dyDescent="0.3">
      <c r="C122" s="5"/>
      <c r="D122" s="6"/>
      <c r="E122" s="6"/>
      <c r="F122" s="6"/>
      <c r="G122" s="5"/>
      <c r="H122" s="5"/>
      <c r="I122" s="5"/>
      <c r="J122" s="7"/>
      <c r="K122" s="7"/>
      <c r="L122" s="4"/>
      <c r="Q122" s="2"/>
    </row>
    <row r="123" spans="1:19" x14ac:dyDescent="0.3">
      <c r="A123" t="s">
        <v>7</v>
      </c>
      <c r="B123" t="str">
        <f>CONCATENATE("PIPE_",ROW())</f>
        <v>PIPE_123</v>
      </c>
      <c r="C123" s="5">
        <v>0.22900000000000001</v>
      </c>
      <c r="D123" s="6">
        <v>-90</v>
      </c>
      <c r="E123" s="6">
        <v>0</v>
      </c>
      <c r="F123" s="6">
        <v>0</v>
      </c>
      <c r="G123" s="8">
        <v>0</v>
      </c>
      <c r="H123" s="8">
        <v>0</v>
      </c>
      <c r="I123" s="8">
        <v>0</v>
      </c>
      <c r="J123" s="7">
        <v>219.8</v>
      </c>
      <c r="K123" s="7">
        <v>3.76</v>
      </c>
      <c r="L123" s="4" t="s">
        <v>7</v>
      </c>
      <c r="M123" t="s">
        <v>17</v>
      </c>
      <c r="N123" t="s">
        <v>17</v>
      </c>
      <c r="O123" t="s">
        <v>17</v>
      </c>
      <c r="P123" t="s">
        <v>17</v>
      </c>
      <c r="Q123">
        <v>1.5</v>
      </c>
    </row>
    <row r="124" spans="1:19" x14ac:dyDescent="0.3">
      <c r="C124" s="5"/>
      <c r="D124" s="6"/>
      <c r="E124" s="6"/>
      <c r="F124" s="6"/>
      <c r="G124" s="5"/>
      <c r="H124" s="5"/>
      <c r="I124" s="5"/>
      <c r="J124" s="7"/>
      <c r="K124" s="7"/>
      <c r="L124" s="4"/>
      <c r="Q124" s="2"/>
    </row>
    <row r="125" spans="1:19" x14ac:dyDescent="0.3">
      <c r="C125" s="5"/>
      <c r="D125" s="6"/>
      <c r="E125" s="6"/>
      <c r="F125" s="6"/>
      <c r="G125" s="5"/>
      <c r="H125" s="5"/>
      <c r="I125" s="5"/>
      <c r="J125" s="7"/>
      <c r="K125" s="7"/>
      <c r="L125" s="4"/>
      <c r="Q125" s="2"/>
    </row>
    <row r="126" spans="1:19" x14ac:dyDescent="0.3">
      <c r="C126" s="5"/>
      <c r="D126" s="6"/>
      <c r="E126" s="6"/>
      <c r="F126" s="6"/>
      <c r="G126" s="5"/>
      <c r="H126" s="5"/>
      <c r="I126" s="5"/>
      <c r="J126" s="7"/>
      <c r="K126" s="7"/>
      <c r="L126" s="4"/>
      <c r="Q126" s="2"/>
    </row>
    <row r="127" spans="1:19" x14ac:dyDescent="0.3">
      <c r="C127" s="5"/>
      <c r="D127" s="6"/>
      <c r="E127" s="6"/>
      <c r="F127" s="6"/>
      <c r="G127" s="5"/>
      <c r="H127" s="5"/>
      <c r="I127" s="5"/>
      <c r="J127" s="7"/>
      <c r="K127" s="7"/>
      <c r="L127" s="4"/>
      <c r="Q127" s="2"/>
    </row>
    <row r="128" spans="1:19" x14ac:dyDescent="0.3">
      <c r="C128" s="5"/>
      <c r="D128" s="6"/>
      <c r="E128" s="6"/>
      <c r="F128" s="6"/>
      <c r="G128" s="5"/>
      <c r="H128" s="5"/>
      <c r="I128" s="5"/>
      <c r="J128" s="7"/>
      <c r="K128" s="7"/>
      <c r="L128" s="4"/>
      <c r="Q128" s="2"/>
    </row>
    <row r="129" spans="3:17" x14ac:dyDescent="0.3">
      <c r="C129" s="5"/>
      <c r="D129" s="6"/>
      <c r="E129" s="6"/>
      <c r="F129" s="6"/>
      <c r="G129" s="5"/>
      <c r="H129" s="5"/>
      <c r="I129" s="5"/>
      <c r="J129" s="7"/>
      <c r="K129" s="7"/>
      <c r="L129" s="4"/>
      <c r="Q129" s="2"/>
    </row>
    <row r="130" spans="3:17" x14ac:dyDescent="0.3">
      <c r="C130" s="5"/>
      <c r="D130" s="6"/>
      <c r="E130" s="6"/>
      <c r="F130" s="6"/>
      <c r="G130" s="5"/>
      <c r="H130" s="5"/>
      <c r="I130" s="5"/>
      <c r="J130" s="7"/>
      <c r="K130" s="7"/>
      <c r="L130" s="4"/>
      <c r="Q130" s="2"/>
    </row>
    <row r="131" spans="3:17" x14ac:dyDescent="0.3">
      <c r="C131" s="5"/>
      <c r="D131" s="6"/>
      <c r="E131" s="6"/>
      <c r="F131" s="6"/>
      <c r="G131" s="5"/>
      <c r="H131" s="5"/>
      <c r="I131" s="5"/>
      <c r="J131" s="7"/>
      <c r="K131" s="7"/>
      <c r="L131" s="4"/>
      <c r="Q131" s="2"/>
    </row>
    <row r="132" spans="3:17" x14ac:dyDescent="0.3">
      <c r="C132" s="5"/>
      <c r="D132" s="6"/>
      <c r="E132" s="6"/>
      <c r="F132" s="6"/>
      <c r="G132" s="5"/>
      <c r="H132" s="5"/>
      <c r="I132" s="5"/>
      <c r="J132" s="7"/>
      <c r="K132" s="7"/>
      <c r="L132" s="4"/>
      <c r="Q132" s="2"/>
    </row>
    <row r="133" spans="3:17" x14ac:dyDescent="0.3">
      <c r="C133" s="5"/>
      <c r="D133" s="6"/>
      <c r="E133" s="6"/>
      <c r="F133" s="6"/>
      <c r="G133" s="5"/>
      <c r="H133" s="5"/>
      <c r="I133" s="5"/>
      <c r="J133" s="7"/>
      <c r="K133" s="7"/>
      <c r="L133" s="4"/>
      <c r="Q133" s="2"/>
    </row>
    <row r="134" spans="3:17" x14ac:dyDescent="0.3">
      <c r="C134" s="5"/>
      <c r="D134" s="6"/>
      <c r="E134" s="6"/>
      <c r="F134" s="6"/>
      <c r="G134" s="5"/>
      <c r="H134" s="5"/>
      <c r="I134" s="5"/>
      <c r="J134" s="7"/>
      <c r="K134" s="7"/>
      <c r="L134" s="4"/>
      <c r="Q134" s="2"/>
    </row>
    <row r="135" spans="3:17" x14ac:dyDescent="0.3">
      <c r="C135" s="5"/>
      <c r="D135" s="6"/>
      <c r="E135" s="6"/>
      <c r="F135" s="6"/>
      <c r="G135" s="5"/>
      <c r="H135" s="5"/>
      <c r="I135" s="5"/>
      <c r="J135" s="7"/>
      <c r="K135" s="7"/>
      <c r="L135" s="4"/>
      <c r="Q135" s="2"/>
    </row>
    <row r="136" spans="3:17" x14ac:dyDescent="0.3">
      <c r="C136" s="5"/>
      <c r="D136" s="6"/>
      <c r="E136" s="6"/>
      <c r="F136" s="6"/>
      <c r="G136" s="5"/>
      <c r="H136" s="5"/>
      <c r="I136" s="5"/>
      <c r="J136" s="7"/>
      <c r="K136" s="7"/>
      <c r="L136" s="4"/>
      <c r="Q136" s="2"/>
    </row>
    <row r="137" spans="3:17" x14ac:dyDescent="0.3">
      <c r="C137" s="5"/>
      <c r="D137" s="6"/>
      <c r="E137" s="6"/>
      <c r="F137" s="6"/>
      <c r="G137" s="5"/>
      <c r="H137" s="5"/>
      <c r="I137" s="5"/>
      <c r="J137" s="7"/>
      <c r="K137" s="7"/>
      <c r="L137" s="4"/>
      <c r="Q137" s="2"/>
    </row>
    <row r="138" spans="3:17" x14ac:dyDescent="0.3">
      <c r="C138" s="5"/>
      <c r="D138" s="6"/>
      <c r="E138" s="6"/>
      <c r="F138" s="6"/>
      <c r="G138" s="5"/>
      <c r="H138" s="5"/>
      <c r="I138" s="5"/>
      <c r="J138" s="7"/>
      <c r="K138" s="7"/>
      <c r="L138" s="4"/>
      <c r="Q138" s="2"/>
    </row>
    <row r="139" spans="3:17" x14ac:dyDescent="0.3">
      <c r="C139" s="5"/>
      <c r="D139" s="6"/>
      <c r="E139" s="6"/>
      <c r="F139" s="6"/>
      <c r="G139" s="5"/>
      <c r="H139" s="5"/>
      <c r="I139" s="5"/>
      <c r="J139" s="7"/>
      <c r="K139" s="7"/>
      <c r="L139" s="4"/>
      <c r="Q139" s="2"/>
    </row>
    <row r="140" spans="3:17" x14ac:dyDescent="0.3">
      <c r="C140" s="5"/>
      <c r="D140" s="6"/>
      <c r="E140" s="6"/>
      <c r="F140" s="6"/>
      <c r="G140" s="5"/>
      <c r="H140" s="5"/>
      <c r="I140" s="5"/>
      <c r="J140" s="7"/>
      <c r="K140" s="7"/>
      <c r="L140" s="4"/>
      <c r="Q140" s="2"/>
    </row>
    <row r="141" spans="3:17" x14ac:dyDescent="0.3">
      <c r="C141" s="5"/>
      <c r="D141" s="6"/>
      <c r="E141" s="6"/>
      <c r="F141" s="6"/>
      <c r="G141" s="5"/>
      <c r="H141" s="5"/>
      <c r="I141" s="5"/>
      <c r="J141" s="7"/>
      <c r="K141" s="7"/>
      <c r="L141" s="4"/>
      <c r="Q141" s="2"/>
    </row>
    <row r="142" spans="3:17" x14ac:dyDescent="0.3">
      <c r="C142" s="5"/>
      <c r="D142" s="6"/>
      <c r="E142" s="6"/>
      <c r="F142" s="6"/>
      <c r="G142" s="5"/>
      <c r="H142" s="5"/>
      <c r="I142" s="5"/>
      <c r="J142" s="7"/>
      <c r="K142" s="7"/>
      <c r="L142" s="4"/>
      <c r="Q142" s="2"/>
    </row>
    <row r="143" spans="3:17" x14ac:dyDescent="0.3">
      <c r="C143" s="5"/>
      <c r="D143" s="6"/>
      <c r="E143" s="6"/>
      <c r="F143" s="6"/>
      <c r="G143" s="5"/>
      <c r="H143" s="5"/>
      <c r="I143" s="5"/>
      <c r="J143" s="7"/>
      <c r="K143" s="7"/>
      <c r="L143" s="4"/>
      <c r="Q143" s="2"/>
    </row>
    <row r="144" spans="3:17" x14ac:dyDescent="0.3">
      <c r="C144" s="5"/>
      <c r="D144" s="6"/>
      <c r="E144" s="6"/>
      <c r="F144" s="6"/>
      <c r="G144" s="5"/>
      <c r="H144" s="5"/>
      <c r="I144" s="5"/>
      <c r="J144" s="7"/>
      <c r="K144" s="7"/>
      <c r="L144" s="4"/>
      <c r="Q144" s="2"/>
    </row>
    <row r="145" spans="3:17" x14ac:dyDescent="0.3">
      <c r="C145" s="5"/>
      <c r="D145" s="6"/>
      <c r="E145" s="6"/>
      <c r="F145" s="6"/>
      <c r="G145" s="5"/>
      <c r="H145" s="5"/>
      <c r="I145" s="5"/>
      <c r="J145" s="7"/>
      <c r="K145" s="7"/>
      <c r="L145" s="4"/>
      <c r="Q145" s="2"/>
    </row>
    <row r="146" spans="3:17" x14ac:dyDescent="0.3">
      <c r="C146" s="5"/>
      <c r="D146" s="6"/>
      <c r="E146" s="6"/>
      <c r="F146" s="6"/>
      <c r="G146" s="5"/>
      <c r="H146" s="5"/>
      <c r="I146" s="5"/>
      <c r="J146" s="7"/>
      <c r="K146" s="7"/>
      <c r="L146" s="4"/>
      <c r="Q146" s="2"/>
    </row>
    <row r="147" spans="3:17" x14ac:dyDescent="0.3">
      <c r="C147" s="5"/>
      <c r="D147" s="6"/>
      <c r="E147" s="6"/>
      <c r="F147" s="6"/>
      <c r="G147" s="5"/>
      <c r="H147" s="5"/>
      <c r="I147" s="5"/>
      <c r="J147" s="7"/>
      <c r="K147" s="7"/>
      <c r="L147" s="4"/>
      <c r="Q147" s="2"/>
    </row>
    <row r="148" spans="3:17" x14ac:dyDescent="0.3">
      <c r="C148" s="5"/>
      <c r="D148" s="6"/>
      <c r="E148" s="6"/>
      <c r="F148" s="6"/>
      <c r="G148" s="5"/>
      <c r="H148" s="5"/>
      <c r="I148" s="5"/>
      <c r="J148" s="7"/>
      <c r="K148" s="7"/>
      <c r="L148" s="4"/>
      <c r="Q148" s="2"/>
    </row>
    <row r="149" spans="3:17" x14ac:dyDescent="0.3">
      <c r="C149" s="5"/>
      <c r="D149" s="6"/>
      <c r="E149" s="6"/>
      <c r="F149" s="6"/>
      <c r="G149" s="5"/>
      <c r="H149" s="5"/>
      <c r="I149" s="5"/>
      <c r="J149" s="7"/>
      <c r="K149" s="7"/>
      <c r="L149" s="4"/>
      <c r="Q149" s="2"/>
    </row>
    <row r="150" spans="3:17" x14ac:dyDescent="0.3">
      <c r="C150" s="5"/>
      <c r="D150" s="6"/>
      <c r="E150" s="6"/>
      <c r="F150" s="6"/>
      <c r="G150" s="5"/>
      <c r="H150" s="5"/>
      <c r="I150" s="5"/>
      <c r="J150" s="7"/>
      <c r="K150" s="7"/>
      <c r="L150" s="4"/>
      <c r="Q150" s="2"/>
    </row>
    <row r="151" spans="3:17" x14ac:dyDescent="0.3">
      <c r="C151" s="5"/>
      <c r="D151" s="6"/>
      <c r="E151" s="6"/>
      <c r="F151" s="6"/>
      <c r="G151" s="5"/>
      <c r="H151" s="5"/>
      <c r="I151" s="5"/>
      <c r="J151" s="7"/>
      <c r="K151" s="7"/>
      <c r="L151" s="4"/>
      <c r="Q151" s="2"/>
    </row>
    <row r="152" spans="3:17" x14ac:dyDescent="0.3">
      <c r="C152" s="5"/>
      <c r="D152" s="6"/>
      <c r="E152" s="6"/>
      <c r="F152" s="6"/>
      <c r="G152" s="5"/>
      <c r="H152" s="5"/>
      <c r="I152" s="5"/>
      <c r="J152" s="7"/>
      <c r="K152" s="7"/>
      <c r="L152" s="4"/>
      <c r="Q152" s="2"/>
    </row>
    <row r="153" spans="3:17" x14ac:dyDescent="0.3">
      <c r="C153" s="5"/>
      <c r="D153" s="6"/>
      <c r="E153" s="6"/>
      <c r="F153" s="6"/>
      <c r="G153" s="5"/>
      <c r="H153" s="5"/>
      <c r="I153" s="5"/>
      <c r="J153" s="7"/>
      <c r="K153" s="7"/>
      <c r="L153" s="4"/>
      <c r="Q153" s="2"/>
    </row>
    <row r="154" spans="3:17" x14ac:dyDescent="0.3">
      <c r="C154" s="5"/>
      <c r="D154" s="6"/>
      <c r="E154" s="6"/>
      <c r="F154" s="6"/>
      <c r="G154" s="5"/>
      <c r="H154" s="5"/>
      <c r="I154" s="5"/>
      <c r="J154" s="7"/>
      <c r="K154" s="7"/>
      <c r="L154" s="4"/>
      <c r="Q154" s="2"/>
    </row>
    <row r="155" spans="3:17" x14ac:dyDescent="0.3">
      <c r="C155" s="5"/>
      <c r="D155" s="6"/>
      <c r="E155" s="6"/>
      <c r="F155" s="6"/>
      <c r="G155" s="5"/>
      <c r="H155" s="5"/>
      <c r="I155" s="5"/>
      <c r="J155" s="7"/>
      <c r="K155" s="7"/>
      <c r="L155" s="4"/>
      <c r="Q155" s="2"/>
    </row>
    <row r="156" spans="3:17" x14ac:dyDescent="0.3">
      <c r="C156" s="5"/>
      <c r="D156" s="6"/>
      <c r="E156" s="6"/>
      <c r="F156" s="6"/>
      <c r="G156" s="5"/>
      <c r="H156" s="5"/>
      <c r="I156" s="5"/>
      <c r="J156" s="7"/>
      <c r="K156" s="7"/>
      <c r="L156" s="4"/>
      <c r="Q156" s="2"/>
    </row>
    <row r="157" spans="3:17" x14ac:dyDescent="0.3">
      <c r="C157" s="5"/>
      <c r="D157" s="6"/>
      <c r="E157" s="6"/>
      <c r="F157" s="6"/>
      <c r="G157" s="5"/>
      <c r="H157" s="5"/>
      <c r="I157" s="5"/>
      <c r="J157" s="7"/>
      <c r="K157" s="7"/>
      <c r="L157" s="4"/>
      <c r="Q157" s="2"/>
    </row>
    <row r="158" spans="3:17" x14ac:dyDescent="0.3">
      <c r="C158" s="5"/>
      <c r="D158" s="6"/>
      <c r="E158" s="6"/>
      <c r="F158" s="6"/>
      <c r="G158" s="5"/>
      <c r="H158" s="5"/>
      <c r="I158" s="5"/>
      <c r="J158" s="7"/>
      <c r="K158" s="7"/>
      <c r="L158" s="4"/>
      <c r="Q158" s="2"/>
    </row>
    <row r="159" spans="3:17" x14ac:dyDescent="0.3">
      <c r="C159" s="5"/>
      <c r="D159" s="6"/>
      <c r="E159" s="6"/>
      <c r="F159" s="6"/>
      <c r="G159" s="5"/>
      <c r="H159" s="5"/>
      <c r="I159" s="5"/>
      <c r="J159" s="7"/>
      <c r="K159" s="7"/>
      <c r="L159" s="4"/>
      <c r="Q159" s="2"/>
    </row>
    <row r="160" spans="3:17" x14ac:dyDescent="0.3">
      <c r="C160" s="5"/>
      <c r="D160" s="6"/>
      <c r="E160" s="6"/>
      <c r="F160" s="6"/>
      <c r="G160" s="5"/>
      <c r="H160" s="5"/>
      <c r="I160" s="5"/>
      <c r="J160" s="7"/>
      <c r="K160" s="7"/>
      <c r="L160" s="4"/>
      <c r="Q160" s="2"/>
    </row>
    <row r="161" spans="3:17" x14ac:dyDescent="0.3">
      <c r="C161" s="5"/>
      <c r="D161" s="6"/>
      <c r="E161" s="6"/>
      <c r="F161" s="6"/>
      <c r="G161" s="5"/>
      <c r="H161" s="5"/>
      <c r="I161" s="5"/>
      <c r="J161" s="7"/>
      <c r="K161" s="7"/>
      <c r="L161" s="4"/>
      <c r="Q161" s="2"/>
    </row>
    <row r="162" spans="3:17" x14ac:dyDescent="0.3">
      <c r="C162" s="5"/>
      <c r="D162" s="6"/>
      <c r="E162" s="6"/>
      <c r="F162" s="6"/>
      <c r="G162" s="5"/>
      <c r="H162" s="5"/>
      <c r="I162" s="5"/>
      <c r="J162" s="7"/>
      <c r="K162" s="7"/>
      <c r="L162" s="4"/>
      <c r="Q162" s="2"/>
    </row>
    <row r="163" spans="3:17" x14ac:dyDescent="0.3">
      <c r="C163" s="5"/>
      <c r="D163" s="6"/>
      <c r="E163" s="6"/>
      <c r="F163" s="6"/>
      <c r="G163" s="5"/>
      <c r="H163" s="5"/>
      <c r="I163" s="5"/>
      <c r="J163" s="7"/>
      <c r="K163" s="7"/>
      <c r="L163" s="4"/>
      <c r="Q163" s="2"/>
    </row>
    <row r="164" spans="3:17" x14ac:dyDescent="0.3">
      <c r="C164" s="5"/>
      <c r="D164" s="6"/>
      <c r="E164" s="6"/>
      <c r="F164" s="6"/>
      <c r="G164" s="5"/>
      <c r="H164" s="5"/>
      <c r="I164" s="5"/>
      <c r="J164" s="7"/>
      <c r="K164" s="7"/>
      <c r="L164" s="4"/>
      <c r="Q164" s="2"/>
    </row>
    <row r="165" spans="3:17" x14ac:dyDescent="0.3">
      <c r="C165" s="5"/>
      <c r="D165" s="6"/>
      <c r="E165" s="6"/>
      <c r="F165" s="6"/>
      <c r="G165" s="5"/>
      <c r="H165" s="5"/>
      <c r="I165" s="5"/>
      <c r="J165" s="7"/>
      <c r="K165" s="7"/>
      <c r="L165" s="4"/>
      <c r="Q165" s="2"/>
    </row>
    <row r="166" spans="3:17" x14ac:dyDescent="0.3">
      <c r="C166" s="5"/>
      <c r="D166" s="6"/>
      <c r="E166" s="6"/>
      <c r="F166" s="6"/>
      <c r="G166" s="5"/>
      <c r="H166" s="5"/>
      <c r="I166" s="5"/>
      <c r="J166" s="7"/>
      <c r="K166" s="7"/>
      <c r="L166" s="4"/>
      <c r="Q166" s="2"/>
    </row>
    <row r="167" spans="3:17" x14ac:dyDescent="0.3">
      <c r="C167" s="5"/>
      <c r="D167" s="6"/>
      <c r="E167" s="6"/>
      <c r="F167" s="6"/>
      <c r="G167" s="5"/>
      <c r="H167" s="5"/>
      <c r="I167" s="5"/>
      <c r="J167" s="7"/>
      <c r="K167" s="7"/>
      <c r="L167" s="4"/>
      <c r="Q167" s="2"/>
    </row>
    <row r="168" spans="3:17" x14ac:dyDescent="0.3">
      <c r="C168" s="5"/>
      <c r="D168" s="6"/>
      <c r="E168" s="6"/>
      <c r="F168" s="6"/>
      <c r="G168" s="5"/>
      <c r="H168" s="5"/>
      <c r="I168" s="5"/>
      <c r="J168" s="7"/>
      <c r="K168" s="7"/>
      <c r="L168" s="4"/>
      <c r="Q168" s="2"/>
    </row>
    <row r="169" spans="3:17" x14ac:dyDescent="0.3">
      <c r="C169" s="5"/>
      <c r="D169" s="6"/>
      <c r="E169" s="6"/>
      <c r="F169" s="6"/>
      <c r="G169" s="5"/>
      <c r="H169" s="5"/>
      <c r="I169" s="5"/>
      <c r="J169" s="7"/>
      <c r="K169" s="7"/>
      <c r="L169" s="4"/>
      <c r="Q169" s="2"/>
    </row>
    <row r="170" spans="3:17" x14ac:dyDescent="0.3">
      <c r="C170" s="5"/>
      <c r="D170" s="6"/>
      <c r="E170" s="6"/>
      <c r="F170" s="6"/>
      <c r="G170" s="5"/>
      <c r="H170" s="5"/>
      <c r="I170" s="5"/>
      <c r="J170" s="7"/>
      <c r="K170" s="7"/>
      <c r="L170" s="4"/>
      <c r="Q170" s="2"/>
    </row>
    <row r="171" spans="3:17" x14ac:dyDescent="0.3">
      <c r="C171" s="5"/>
      <c r="D171" s="6"/>
      <c r="E171" s="6"/>
      <c r="F171" s="6"/>
      <c r="G171" s="5"/>
      <c r="H171" s="5"/>
      <c r="I171" s="5"/>
      <c r="J171" s="7"/>
      <c r="K171" s="7"/>
      <c r="L171" s="4"/>
      <c r="Q171" s="2"/>
    </row>
    <row r="172" spans="3:17" x14ac:dyDescent="0.3">
      <c r="C172" s="5"/>
      <c r="D172" s="6"/>
      <c r="E172" s="6"/>
      <c r="F172" s="6"/>
      <c r="G172" s="5"/>
      <c r="H172" s="5"/>
      <c r="I172" s="5"/>
      <c r="J172" s="7"/>
      <c r="K172" s="7"/>
      <c r="L172" s="4"/>
      <c r="Q172" s="2"/>
    </row>
    <row r="173" spans="3:17" x14ac:dyDescent="0.3">
      <c r="C173" s="5"/>
      <c r="D173" s="6"/>
      <c r="E173" s="6"/>
      <c r="F173" s="6"/>
      <c r="G173" s="5"/>
      <c r="H173" s="5"/>
      <c r="I173" s="5"/>
      <c r="J173" s="7"/>
      <c r="K173" s="7"/>
      <c r="L173" s="4"/>
      <c r="Q173" s="2"/>
    </row>
    <row r="174" spans="3:17" x14ac:dyDescent="0.3">
      <c r="C174" s="5"/>
      <c r="D174" s="6"/>
      <c r="E174" s="6"/>
      <c r="F174" s="6"/>
      <c r="G174" s="5"/>
      <c r="H174" s="5"/>
      <c r="I174" s="5"/>
      <c r="J174" s="7"/>
      <c r="K174" s="7"/>
      <c r="L174" s="4"/>
      <c r="Q174" s="2"/>
    </row>
    <row r="175" spans="3:17" x14ac:dyDescent="0.3">
      <c r="C175" s="5"/>
      <c r="D175" s="6"/>
      <c r="E175" s="6"/>
      <c r="F175" s="6"/>
      <c r="G175" s="5"/>
      <c r="H175" s="5"/>
      <c r="I175" s="5"/>
      <c r="J175" s="7"/>
      <c r="K175" s="7"/>
      <c r="L175" s="4"/>
      <c r="Q175" s="2"/>
    </row>
    <row r="176" spans="3:17" x14ac:dyDescent="0.3">
      <c r="C176" s="5"/>
      <c r="D176" s="6"/>
      <c r="E176" s="6"/>
      <c r="F176" s="6"/>
      <c r="G176" s="5"/>
      <c r="H176" s="5"/>
      <c r="I176" s="5"/>
      <c r="J176" s="7"/>
      <c r="K176" s="7"/>
      <c r="L176" s="4"/>
      <c r="Q176" s="2"/>
    </row>
    <row r="177" spans="3:17" x14ac:dyDescent="0.3">
      <c r="C177" s="5"/>
      <c r="D177" s="6"/>
      <c r="E177" s="6"/>
      <c r="F177" s="6"/>
      <c r="G177" s="5"/>
      <c r="H177" s="5"/>
      <c r="I177" s="5"/>
      <c r="J177" s="7"/>
      <c r="K177" s="7"/>
      <c r="L177" s="4"/>
      <c r="Q177" s="2"/>
    </row>
    <row r="178" spans="3:17" x14ac:dyDescent="0.3">
      <c r="C178" s="5"/>
      <c r="D178" s="6"/>
      <c r="E178" s="6"/>
      <c r="F178" s="6"/>
      <c r="G178" s="5"/>
      <c r="H178" s="5"/>
      <c r="I178" s="5"/>
      <c r="J178" s="7"/>
      <c r="K178" s="7"/>
      <c r="L178" s="4"/>
      <c r="Q178" s="2"/>
    </row>
    <row r="179" spans="3:17" x14ac:dyDescent="0.3">
      <c r="C179" s="5"/>
      <c r="D179" s="6"/>
      <c r="E179" s="6"/>
      <c r="F179" s="6"/>
      <c r="G179" s="5"/>
      <c r="H179" s="5"/>
      <c r="I179" s="5"/>
      <c r="J179" s="7"/>
      <c r="K179" s="7"/>
      <c r="L179" s="4"/>
      <c r="Q179" s="2"/>
    </row>
    <row r="180" spans="3:17" x14ac:dyDescent="0.3">
      <c r="C180" s="5"/>
      <c r="D180" s="6"/>
      <c r="E180" s="6"/>
      <c r="F180" s="6"/>
      <c r="G180" s="5"/>
      <c r="H180" s="5"/>
      <c r="I180" s="5"/>
      <c r="J180" s="7"/>
      <c r="K180" s="7"/>
      <c r="L180" s="4"/>
      <c r="Q180" s="2"/>
    </row>
    <row r="181" spans="3:17" x14ac:dyDescent="0.3">
      <c r="C181" s="5"/>
      <c r="D181" s="6"/>
      <c r="E181" s="6"/>
      <c r="F181" s="6"/>
      <c r="G181" s="5"/>
      <c r="H181" s="5"/>
      <c r="I181" s="5"/>
      <c r="J181" s="7"/>
      <c r="K181" s="7"/>
      <c r="L181" s="4"/>
      <c r="Q181" s="2"/>
    </row>
    <row r="182" spans="3:17" x14ac:dyDescent="0.3">
      <c r="C182" s="5"/>
      <c r="D182" s="6"/>
      <c r="E182" s="6"/>
      <c r="F182" s="6"/>
      <c r="G182" s="5"/>
      <c r="H182" s="5"/>
      <c r="I182" s="5"/>
      <c r="J182" s="7"/>
      <c r="K182" s="7"/>
      <c r="L182" s="4"/>
      <c r="Q182" s="2"/>
    </row>
    <row r="183" spans="3:17" x14ac:dyDescent="0.3">
      <c r="C183" s="5"/>
      <c r="D183" s="6"/>
      <c r="E183" s="6"/>
      <c r="F183" s="6"/>
      <c r="G183" s="5"/>
      <c r="H183" s="5"/>
      <c r="I183" s="5"/>
      <c r="J183" s="7"/>
      <c r="K183" s="7"/>
      <c r="L183" s="4"/>
      <c r="Q183" s="2"/>
    </row>
    <row r="184" spans="3:17" x14ac:dyDescent="0.3">
      <c r="C184" s="5"/>
      <c r="D184" s="6"/>
      <c r="E184" s="6"/>
      <c r="F184" s="6"/>
      <c r="G184" s="5"/>
      <c r="H184" s="5"/>
      <c r="I184" s="5"/>
      <c r="J184" s="7"/>
      <c r="K184" s="7"/>
      <c r="L184" s="4"/>
      <c r="Q184" s="2"/>
    </row>
    <row r="185" spans="3:17" x14ac:dyDescent="0.3">
      <c r="C185" s="5"/>
      <c r="D185" s="6"/>
      <c r="E185" s="6"/>
      <c r="F185" s="6"/>
      <c r="G185" s="5"/>
      <c r="H185" s="5"/>
      <c r="I185" s="5"/>
      <c r="J185" s="7"/>
      <c r="K185" s="7"/>
      <c r="L185" s="4"/>
      <c r="Q185" s="2"/>
    </row>
    <row r="186" spans="3:17" x14ac:dyDescent="0.3">
      <c r="C186" s="5"/>
      <c r="D186" s="6"/>
      <c r="E186" s="6"/>
      <c r="F186" s="6"/>
      <c r="G186" s="5"/>
      <c r="H186" s="5"/>
      <c r="I186" s="5"/>
      <c r="J186" s="7"/>
      <c r="K186" s="7"/>
      <c r="L186" s="4"/>
      <c r="Q186" s="2"/>
    </row>
    <row r="187" spans="3:17" x14ac:dyDescent="0.3">
      <c r="C187" s="5"/>
      <c r="D187" s="6"/>
      <c r="E187" s="6"/>
      <c r="F187" s="6"/>
      <c r="G187" s="5"/>
      <c r="H187" s="5"/>
      <c r="I187" s="5"/>
      <c r="J187" s="7"/>
      <c r="K187" s="7"/>
      <c r="L187" s="4"/>
      <c r="Q187" s="2"/>
    </row>
    <row r="188" spans="3:17" x14ac:dyDescent="0.3">
      <c r="C188" s="5"/>
      <c r="D188" s="6"/>
      <c r="E188" s="6"/>
      <c r="F188" s="6"/>
      <c r="G188" s="5"/>
      <c r="H188" s="5"/>
      <c r="I188" s="5"/>
      <c r="J188" s="7"/>
      <c r="K188" s="7"/>
      <c r="L188" s="4"/>
      <c r="Q188" s="2"/>
    </row>
    <row r="189" spans="3:17" x14ac:dyDescent="0.3">
      <c r="C189" s="5"/>
      <c r="D189" s="6"/>
      <c r="E189" s="6"/>
      <c r="F189" s="6"/>
      <c r="G189" s="5"/>
      <c r="H189" s="5"/>
      <c r="I189" s="5"/>
      <c r="J189" s="7"/>
      <c r="K189" s="7"/>
      <c r="L189" s="4"/>
      <c r="Q189" s="2"/>
    </row>
  </sheetData>
  <conditionalFormatting sqref="B6">
    <cfRule type="expression" dxfId="9" priority="10" stopIfTrue="1">
      <formula>$A$6="Flowpath"</formula>
    </cfRule>
  </conditionalFormatting>
  <conditionalFormatting sqref="J7">
    <cfRule type="expression" dxfId="8" priority="9" stopIfTrue="1">
      <formula>$A7="Pipe"</formula>
    </cfRule>
  </conditionalFormatting>
  <conditionalFormatting sqref="G13:G189 Q13:Q189 M13:M189 C13:C189 A13:A189 J13:J189 O13:O189">
    <cfRule type="expression" dxfId="7" priority="7">
      <formula>OR($A13="Pipe",$A13="Valve",$A13="Connection",$A13="Tank",$A13="Reducer")</formula>
    </cfRule>
  </conditionalFormatting>
  <conditionalFormatting sqref="F13:F189 I13:I189 N13:N189 P13:P189 R13:R189 K13:K189 B13:B189">
    <cfRule type="expression" dxfId="6" priority="8">
      <formula>OR($A13="Pipe",$A13="Valve",$A13="Connection",$A13="Tank",$A13="Reducer")</formula>
    </cfRule>
  </conditionalFormatting>
  <conditionalFormatting sqref="H13:H189 L13:L189 D13:E189">
    <cfRule type="expression" dxfId="5" priority="6">
      <formula>OR($A13="Pipe",$A13="Valve",$A13="Connection",$A13="Tank",$A13="Reducer")</formula>
    </cfRule>
  </conditionalFormatting>
  <conditionalFormatting sqref="Q88:Q189 Q13:R87 Q89:R89 Q91:R91 Q93:R94 Q96:R96 Q98:R99 Q101:R101 Q106:R106 Q108:R113 Q115:R115 Q117:R119 Q121:R121 Q123:R123 A13:L189">
    <cfRule type="expression" dxfId="4" priority="5">
      <formula>$A13="Pipe"</formula>
    </cfRule>
  </conditionalFormatting>
  <conditionalFormatting sqref="R88:R189 M13:P189">
    <cfRule type="expression" dxfId="3" priority="4">
      <formula>OR($A13="Pipe",$A13="Tank")</formula>
    </cfRule>
  </conditionalFormatting>
  <conditionalFormatting sqref="A13:R189">
    <cfRule type="expression" dxfId="2" priority="3">
      <formula>OR($A13="Valve",$A13="Connection",$A13="Reducer")</formula>
    </cfRule>
  </conditionalFormatting>
  <conditionalFormatting sqref="Q13:R189 A13:L189">
    <cfRule type="expression" dxfId="1" priority="2">
      <formula>OR($A13="Tank")</formula>
    </cfRule>
  </conditionalFormatting>
  <conditionalFormatting sqref="G13:I189">
    <cfRule type="cellIs" dxfId="0" priority="1" operator="notEqual">
      <formula>0</formula>
    </cfRule>
  </conditionalFormatting>
  <hyperlinks>
    <hyperlink ref="B3" r:id="rId1" xr:uid="{58CC2759-3FFB-4CC3-97CB-B61DB9523E3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 moveWithCells="1" sizeWithCells="1">
                  <from>
                    <xdr:col>8</xdr:col>
                    <xdr:colOff>518160</xdr:colOff>
                    <xdr:row>1</xdr:row>
                    <xdr:rowOff>160020</xdr:rowOff>
                  </from>
                  <to>
                    <xdr:col>11</xdr:col>
                    <xdr:colOff>396240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WriteToFile">
                <anchor moveWithCells="1" sizeWithCells="1">
                  <from>
                    <xdr:col>5</xdr:col>
                    <xdr:colOff>464820</xdr:colOff>
                    <xdr:row>1</xdr:row>
                    <xdr:rowOff>68580</xdr:rowOff>
                  </from>
                  <to>
                    <xdr:col>7</xdr:col>
                    <xdr:colOff>426720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GenerateScadFile">
                <anchor moveWithCells="1" sizeWithCells="1">
                  <from>
                    <xdr:col>3</xdr:col>
                    <xdr:colOff>381000</xdr:colOff>
                    <xdr:row>1</xdr:row>
                    <xdr:rowOff>83820</xdr:rowOff>
                  </from>
                  <to>
                    <xdr:col>5</xdr:col>
                    <xdr:colOff>350520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Tank system</vt:lpstr>
      <vt:lpstr>Laddningspumpar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Daniel Edebro</cp:lastModifiedBy>
  <dcterms:created xsi:type="dcterms:W3CDTF">2019-07-12T20:23:23Z</dcterms:created>
  <dcterms:modified xsi:type="dcterms:W3CDTF">2019-08-18T20:19:13Z</dcterms:modified>
</cp:coreProperties>
</file>